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7afe107b5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6ffc29bf9f4264"/>
    <x:sheet xmlns:r="http://schemas.openxmlformats.org/officeDocument/2006/relationships" name="Financial Health" sheetId="2" r:id="Rb3718c0710494608"/>
    <x:sheet xmlns:r="http://schemas.openxmlformats.org/officeDocument/2006/relationships" name="Scenario Model" sheetId="3" r:id="Rb103e2eb5e1b448a"/>
    <x:sheet xmlns:r="http://schemas.openxmlformats.org/officeDocument/2006/relationships" name="Assumptions" sheetId="4" r:id="R6e7cdb7232aa4bcc"/>
    <x:sheet xmlns:r="http://schemas.openxmlformats.org/officeDocument/2006/relationships" name="Forecast Comparison" sheetId="5" r:id="Rfc57912de82d4757"/>
    <x:sheet xmlns:r="http://schemas.openxmlformats.org/officeDocument/2006/relationships" name="Variance Drivers" sheetId="6" r:id="R65ce98cd30754df0"/>
    <x:sheet xmlns:r="http://schemas.openxmlformats.org/officeDocument/2006/relationships" name="Research Changes" sheetId="7" r:id="R88596e5f6a704c7f"/>
    <x:sheet xmlns:r="http://schemas.openxmlformats.org/officeDocument/2006/relationships" name="Market Evidence" sheetId="8" r:id="Reac27b31eedf4e46"/>
    <x:sheet xmlns:r="http://schemas.openxmlformats.org/officeDocument/2006/relationships" name="Historical Financials" sheetId="9" r:id="R65f2ab166a1e43a9"/>
    <x:sheet xmlns:r="http://schemas.openxmlformats.org/officeDocument/2006/relationships" name="Sources and Checks" sheetId="10" r:id="Rca6075f7a4a7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(0.0%);&quot;–&quot;"/>
    <x:numFmt numFmtId="201" formatCode="$#,##0.0&quot;M&quot;;($#,##0.0&quot;M&quot;);&quot;–&quot;"/>
    <x:numFmt numFmtId="202" formatCode="#,##0.0"/>
    <x:numFmt numFmtId="203" formatCode="0.0&quot;%&quot;"/>
    <x:numFmt numFmtId="204" formatCode="$0.00"/>
    <x:numFmt numFmtId="205" formatCode="0.0&quot; pp&quot;;(0.0&quot; pp&quot;);&quot;–&quot;"/>
    <x:numFmt numFmtId="206" formatCode="0.000000"/>
  </x:numFmts>
  <x:fonts count="7">
    <x:font>
      <x:sz val="11"/>
      <x:name val="Carlito"/>
    </x:font>
    <x:font>
      <x:sz val="12"/>
      <x:name val="Arial"/>
    </x:font>
    <x:font>
      <x:b/>
      <x:sz val="18"/>
      <x:color rgb="FFC8102E"/>
      <x:name val="Arial"/>
    </x:font>
    <x:font>
      <x:sz val="12"/>
      <x:color rgb="FF0000FF"/>
      <x:name val="Arial"/>
    </x:font>
    <x:font>
      <x:sz val="12"/>
      <x:color rgb="FF111111"/>
      <x:name val="Arial"/>
    </x:font>
    <x:font>
      <x:b/>
      <x:sz val="12"/>
      <x:color rgb="FFFFFFFF"/>
      <x:name val="Arial"/>
    </x:font>
    <x:font>
      <x:sz val="12"/>
      <x:color rgb="FF16713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C8102E"/>
      </x:patternFill>
    </x:fill>
  </x:fills>
  <x:borders count="2">
    <x:border/>
    <x:border>
      <x:bottom style="thin">
        <x:color rgb="FFC8102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color rgb="FFBD2939"/>
      </x:font>
    </x:dxf>
    <x:dxf>
      <x:font>
        <x:color rgb="FF16713E"/>
      </x:font>
    </x:dxf>
    <x:dxf>
      <x:font>
        <x:color rgb="FFBD2939"/>
      </x:font>
    </x:dxf>
    <x:dxf>
      <x:font>
        <x:color rgb="FF16713E"/>
      </x:font>
    </x:dxf>
    <x:dxf>
      <x:font>
        <x:color rgb="FFBD2939"/>
      </x:font>
    </x:dxf>
    <x:dxf>
      <x:font>
        <x:color rgb="FF16713E"/>
      </x:font>
    </x:dxf>
    <x:dxf>
      <x:font>
        <x:color rgb="FFBD2939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1e2064b4041d2" /><Relationship Type="http://schemas.openxmlformats.org/officeDocument/2006/relationships/theme" Target="/xl/theme/theme1.xml" Id="Rf2aa83f23bc9407a" /><Relationship Type="http://schemas.openxmlformats.org/officeDocument/2006/relationships/sharedStrings" Target="/xl/sharedStrings.xml" Id="Reaa4383c24e341a2" /><Relationship Type="http://schemas.openxmlformats.org/officeDocument/2006/relationships/worksheet" Target="/xl/worksheets/sheet1.xml" Id="R396ffc29bf9f4264" /><Relationship Type="http://schemas.openxmlformats.org/officeDocument/2006/relationships/worksheet" Target="/xl/worksheets/sheet2.xml" Id="Rb3718c0710494608" /><Relationship Type="http://schemas.openxmlformats.org/officeDocument/2006/relationships/worksheet" Target="/xl/worksheets/sheet3.xml" Id="Rb103e2eb5e1b448a" /><Relationship Type="http://schemas.openxmlformats.org/officeDocument/2006/relationships/worksheet" Target="/xl/worksheets/sheet4.xml" Id="R6e7cdb7232aa4bcc" /><Relationship Type="http://schemas.openxmlformats.org/officeDocument/2006/relationships/worksheet" Target="/xl/worksheets/sheet5.xml" Id="Rfc57912de82d4757" /><Relationship Type="http://schemas.openxmlformats.org/officeDocument/2006/relationships/worksheet" Target="/xl/worksheets/sheet6.xml" Id="R65ce98cd30754df0" /><Relationship Type="http://schemas.openxmlformats.org/officeDocument/2006/relationships/worksheet" Target="/xl/worksheets/sheet7.xml" Id="R88596e5f6a704c7f" /><Relationship Type="http://schemas.openxmlformats.org/officeDocument/2006/relationships/worksheet" Target="/xl/worksheets/sheet8.xml" Id="Reac27b31eedf4e46" /><Relationship Type="http://schemas.openxmlformats.org/officeDocument/2006/relationships/worksheet" Target="/xl/worksheets/sheet9.xml" Id="R65f2ab166a1e43a9" /><Relationship Type="http://schemas.openxmlformats.org/officeDocument/2006/relationships/worksheet" Target="/xl/worksheets/sheet10.xml" Id="Rca6075f7a4a74b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a5566850c347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a47947fd3bf4b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Profit by information date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Bear profit</c:v>
          </c:tx>
          <c:spPr>
            <a:ln xmlns:a="http://schemas.openxmlformats.org/drawingml/2006/main" w="19050">
              <a:solidFill>
                <a:srgbClr val="BD2939"/>
              </a:solidFill>
              <a:prstDash val="solid"/>
            </a:ln>
          </c:spPr>
          <c:marker>
            <c:symbol val="none"/>
          </c:marker>
          <c:cat>
            <c:strRef>
              <c:f>'Summary'!$C$11:$C$14</c:f>
              <c:strCache>
                <c:ptCount val="0"/>
              </c:strCache>
            </c:strRef>
          </c:cat>
          <c:val>
            <c:numRef>
              <c:f>'Summary'!$D$11:$D$14</c:f>
              <c:numCache>
                <c:formatCode>$#,##0"M"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 profit</c:v>
          </c:tx>
          <c:spPr>
            <a:ln xmlns:a="http://schemas.openxmlformats.org/drawingml/2006/main" w="19050">
              <a:solidFill>
                <a:srgbClr val="C8102E"/>
              </a:solidFill>
              <a:prstDash val="solid"/>
            </a:ln>
          </c:spPr>
          <c:marker>
            <c:symbol val="none"/>
          </c:marker>
          <c:cat>
            <c:strRef>
              <c:f>'Summary'!$C$11:$C$14</c:f>
              <c:strCache>
                <c:ptCount val="0"/>
              </c:strCache>
            </c:strRef>
          </c:cat>
          <c:val>
            <c:numRef>
              <c:f>'Summary'!$E$11:$E$14</c:f>
              <c:numCache>
                <c:formatCode>$#,##0"M"</c:formatCode>
                <c:ptCount val="0"/>
              </c:numCache>
            </c:numRef>
          </c:val>
          <c:smooth val="0"/>
        </c:ser>
        <c:ser>
          <c:idx val="2"/>
          <c:order val="2"/>
          <c:tx>
            <c:v>Bull profit</c:v>
          </c:tx>
          <c:spPr>
            <a:ln xmlns:a="http://schemas.openxmlformats.org/drawingml/2006/main" w="19050">
              <a:solidFill>
                <a:srgbClr val="16713E"/>
              </a:solidFill>
              <a:prstDash val="solid"/>
            </a:ln>
          </c:spPr>
          <c:marker>
            <c:symbol val="none"/>
          </c:marker>
          <c:cat>
            <c:strRef>
              <c:f>'Summary'!$C$11:$C$14</c:f>
              <c:strCache>
                <c:ptCount val="0"/>
              </c:strCache>
            </c:strRef>
          </c:cat>
          <c:val>
            <c:numRef>
              <c:f>'Summary'!$F$11:$F$14</c:f>
              <c:numCache>
                <c:formatCode>$#,##0"M"</c:formatCode>
                <c:ptCount val="0"/>
              </c:numCache>
            </c:numRef>
          </c:val>
          <c:smooth val="0"/>
        </c:ser>
        <c:ser>
          <c:idx val="3"/>
          <c:order val="3"/>
          <c:tx>
            <c:v>Actual profit</c:v>
          </c:tx>
          <c:spPr>
            <a:ln xmlns:a="http://schemas.openxmlformats.org/drawingml/2006/main" w="19050">
              <a:solidFill>
                <a:srgbClr val="606870"/>
              </a:solidFill>
              <a:prstDash val="dash"/>
            </a:ln>
          </c:spPr>
          <c:marker>
            <c:symbol val="none"/>
          </c:marker>
          <c:cat>
            <c:strRef>
              <c:f>'Summary'!$C$11:$C$14</c:f>
              <c:strCache>
                <c:ptCount val="0"/>
              </c:strCache>
            </c:strRef>
          </c:cat>
          <c:val>
            <c:numRef>
              <c:f>'Summary'!$G$11:$G$14</c:f>
              <c:numCache>
                <c:formatCode>$#,##0.0"M";($#,##0.0"M");"–"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profit vs actual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C8102E"/>
            </a:solidFill>
          </c:spPr>
          <c:cat>
            <c:strRef>
              <c:f>'Scenario Model'!$G$7:$G$8</c:f>
              <c:strCache>
                <c:ptCount val="0"/>
              </c:strCache>
            </c:strRef>
          </c:cat>
          <c:val>
            <c:numRef>
              <c:f>'Scenario Model'!$H$7:$H$8</c:f>
              <c:numCache>
                <c:formatCode>$#,##0"M"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5566850c3477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47947fd3bf4ba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9cf881b8ec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7a7b72c3da14e85" /></Relationships>
</file>

<file path=xl/worksheets/sheet1.xml><?xml version="1.0" encoding="utf-8"?>
<x:worksheet xmlns:x="http://schemas.openxmlformats.org/spreadsheetml/2006/main">
  <x:sheetPr>
    <x:tabColor rgb="FFC8102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Travelers | Scenario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2"/>
      <x:c r="B5" s="2"/>
      <x:c r="C5" s="13" t="str">
        <x:v>Apr–Jun 2026</x:v>
      </x:c>
      <x:c r="D5" s="13" t="str">
        <x:v>Actual</x:v>
      </x:c>
      <x:c r="E5" s="13" t="str">
        <x:v>May base forecast</x:v>
      </x:c>
      <x:c r="F5" s="13" t="str">
        <x:v>Actual less forecast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/>
      <x:c r="C6" s="2" t="str">
        <x:v>Net Earned Premiums</x:v>
      </x:c>
      <x:c r="D6" s="19" t="n">
        <x:v>10753</x:v>
      </x:c>
      <x:c r="E6" s="19" t="n">
        <x:v>10811.789999999999</x:v>
      </x:c>
      <x:c r="F6" s="9" t="n">
        <x:f>D6-E6</x:f>
        <x:v>-58.789999999999054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Core Income</x:v>
      </x:c>
      <x:c r="D7" s="19" t="n">
        <x:v>2160</x:v>
      </x:c>
      <x:c r="E7" s="19" t="n">
        <x:v>1435.5016956</x:v>
      </x:c>
      <x:c r="F7" s="9" t="n">
        <x:f>D7-E7</x:f>
        <x:v>724.4983044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40" customHeight="1">
      <x:c r="A10" s="2"/>
      <x:c r="B10" s="2"/>
      <x:c r="C10" s="13" t="str">
        <x:v>Forecast vintage</x:v>
      </x:c>
      <x:c r="D10" s="13" t="str">
        <x:v>Bear profit</x:v>
      </x:c>
      <x:c r="E10" s="13" t="str">
        <x:v>Base profit</x:v>
      </x:c>
      <x:c r="F10" s="13" t="str">
        <x:v>Bull profit</x:v>
      </x:c>
      <x:c r="G10" s="13" t="str">
        <x:v>Actual profit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 t="str">
        <x:v>March · history only</x:v>
      </x:c>
      <x:c r="D11" s="9" t="n">
        <x:f>'Forecast Comparison'!F7</x:f>
        <x:v>271.9134599999998</x:v>
      </x:c>
      <x:c r="E11" s="9" t="n">
        <x:f>'Forecast Comparison'!F8</x:f>
        <x:v>1620.3478433999999</x:v>
      </x:c>
      <x:c r="F11" s="9" t="n">
        <x:f>'Forecast Comparison'!F9</x:f>
        <x:v>2449.1873160000005</x:v>
      </x:c>
      <x:c r="G11" s="19" t="n">
        <x:v>2160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March · market informed</x:v>
      </x:c>
      <x:c r="D12" s="9" t="n">
        <x:f>'Forecast Comparison'!F10</x:f>
        <x:v>186.72965999999977</x:v>
      </x:c>
      <x:c r="E12" s="9" t="n">
        <x:f>'Forecast Comparison'!F11</x:f>
        <x:v>1620.3478433999999</x:v>
      </x:c>
      <x:c r="F12" s="9" t="n">
        <x:f>'Forecast Comparison'!F12</x:f>
        <x:v>2449.1873160000005</x:v>
      </x:c>
      <x:c r="G12" s="19" t="n">
        <x:v>2160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 t="str">
        <x:v>May · history only</x:v>
      </x:c>
      <x:c r="D13" s="9" t="n">
        <x:f>'Forecast Comparison'!F13</x:f>
        <x:v>182.63709799999972</x:v>
      </x:c>
      <x:c r="E13" s="9" t="n">
        <x:f>'Forecast Comparison'!F14</x:f>
        <x:v>1435.5016956</x:v>
      </x:c>
      <x:c r="F13" s="9" t="n">
        <x:f>'Forecast Comparison'!F15</x:f>
        <x:v>2264.094866</x:v>
      </x:c>
      <x:c r="G13" s="19" t="n">
        <x:v>2160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 t="str">
        <x:v>May · market informed</x:v>
      </x:c>
      <x:c r="D14" s="9" t="n">
        <x:f>'Forecast Comparison'!F16</x:f>
        <x:v>99.81223399999975</x:v>
      </x:c>
      <x:c r="E14" s="9" t="n">
        <x:f>'Forecast Comparison'!F17</x:f>
        <x:v>1435.5016956</x:v>
      </x:c>
      <x:c r="F14" s="9" t="n">
        <x:f>'Forecast Comparison'!F18</x:f>
        <x:v>2264.094866</x:v>
      </x:c>
      <x:c r="G14" s="19" t="n">
        <x:v>2160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 t="str">
        <x:v>Quarter-start cutoff: 31 Mar 2026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 t="str">
        <x:v>Mid-quarter cutoff: 15 May 2026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 t="str">
        <x:v>Retrospective reconstruction using publication-date controls.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 t="str">
        <x:v>Compare March and May history-only cases to isolate newly released financial information.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conditionalFormatting sqref="F6:F7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3b9cf881b8ec44a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Earlier-quarter financial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2"/>
      <x:c r="B5" s="2"/>
      <x:c r="C5" s="13" t="str">
        <x:v>Jan–Mar metric</x:v>
      </x:c>
      <x:c r="D5" s="13" t="str">
        <x:v>2026</x:v>
      </x:c>
      <x:c r="E5" s="13" t="str">
        <x:v>2025</x:v>
      </x:c>
      <x:c r="F5" s="13" t="str">
        <x:v>Year-on-year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/>
      <x:c r="C6" s="2" t="str">
        <x:v>Net Earned Premiums</x:v>
      </x:c>
      <x:c r="D6" s="19" t="n">
        <x:v>10605</x:v>
      </x:c>
      <x:c r="E6" s="19" t="n">
        <x:v>10710</x:v>
      </x:c>
      <x:c r="F6" s="8" t="n">
        <x:f>D6/E6-1</x:f>
        <x:v>-0.009803921568627416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Core Income</x:v>
      </x:c>
      <x:c r="D7" s="19" t="n">
        <x:v>1696</x:v>
      </x:c>
      <x:c r="E7" s="19" t="n">
        <x:v>443</x:v>
      </x:c>
      <x:c r="F7" s="8" t="n">
        <x:f>D7/E7-1</x:f>
        <x:v>2.8284424379232505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 t="str">
        <x:v>Operating Cash Flow</x:v>
      </x:c>
      <x:c r="D8" s="19" t="n">
        <x:v>2198</x:v>
      </x:c>
      <x:c r="E8" s="19" t="n">
        <x:v>1360</x:v>
      </x:c>
      <x:c r="F8" s="8" t="n">
        <x:f>D8/E8-1</x:f>
        <x:v>0.6161764705882353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40" customHeight="1">
      <x:c r="A11" s="2"/>
      <x:c r="B11" s="2"/>
      <x:c r="C11" s="13" t="str">
        <x:v>Balance sheet item</x:v>
      </x:c>
      <x:c r="D11" s="13" t="str">
        <x:v>31 Mar 2026</x:v>
      </x:c>
      <x:c r="E11" s="13" t="str">
        <x:v>31 Dec 2025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Total Debt</x:v>
      </x:c>
      <x:c r="D12" s="19" t="n">
        <x:v>9268</x:v>
      </x:c>
      <x:c r="E12" s="19" t="n">
        <x:v>9267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 t="str">
        <x:v>Equity</x:v>
      </x:c>
      <x:c r="D13" s="19" t="n">
        <x:v>31986</x:v>
      </x:c>
      <x:c r="E13" s="19" t="n">
        <x:v>32894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 t="str">
        <x:v>Cash And Restricted Cash</x:v>
      </x:c>
      <x:c r="D14" s="19" t="n">
        <x:v>615</x:v>
      </x:c>
      <x:c r="E14" s="19" t="n">
        <x:v>842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/>
      <x:c r="D15" s="19"/>
      <x:c r="E15" s="19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19"/>
      <x:c r="E16" s="19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/>
      <x:c r="D17" s="19"/>
      <x:c r="E17" s="19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/>
      <x:c r="D18" s="19"/>
      <x:c r="E18" s="19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 t="str">
        <x:v>Insurance cash and equity are context, not a substitute for reserves, asset liquidity or statutory capital.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 t="str">
        <x:v>March results were published in April: available to May scenarios only.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102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One live calculation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 t="str">
        <x:v>Case selected:</x:v>
      </x:c>
      <x:c r="D4" s="22" t="str">
        <x:f>'Assumptions'!D4</x:f>
        <x:v>May · market informed · 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0" customHeight="1">
      <x:c r="A6" s="2"/>
      <x:c r="B6" s="2"/>
      <x:c r="C6" s="13" t="str">
        <x:v>Calculation</x:v>
      </x:c>
      <x:c r="D6" s="13" t="str">
        <x:v>Selected case</x:v>
      </x:c>
      <x:c r="E6" s="13" t="str">
        <x:v>Actual Apr–Jun 2026</x:v>
      </x:c>
      <x:c r="F6" s="2"/>
      <x:c r="G6" s="2" t="str">
        <x:v>Comparison</x:v>
      </x:c>
      <x:c r="H6" s="2" t="str">
        <x:v>Profit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Net Earned Premiums</x:v>
      </x:c>
      <x:c r="D7" s="23" t="n">
        <x:f>'Historical Financials'!I31*(1+'Assumptions'!D7)</x:f>
        <x:v>10811.789999999999</x:v>
      </x:c>
      <x:c r="E7" s="19" t="n">
        <x:v>10753</x:v>
      </x:c>
      <x:c r="F7" s="2"/>
      <x:c r="G7" s="2" t="str">
        <x:v>Selected case</x:v>
      </x:c>
      <x:c r="H7" s="9" t="n">
        <x:f>D15</x:f>
        <x:v>1435.5016956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 t="str">
        <x:v>Net Written Premiums</x:v>
      </x:c>
      <x:c r="D8" s="23" t="n">
        <x:f>'Historical Financials'!I6*(1+'Assumptions'!D8)</x:f>
        <x:v>11312.14</x:v>
      </x:c>
      <x:c r="E8" s="19" t="n">
        <x:v>11529</x:v>
      </x:c>
      <x:c r="F8" s="2"/>
      <x:c r="G8" s="2" t="str">
        <x:v>Actual</x:v>
      </x:c>
      <x:c r="H8" s="9" t="n">
        <x:f>E15</x:f>
        <x:v>2160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 t="str">
        <x:v>Basis Adjustment</x:v>
      </x:c>
      <x:c r="D9" s="23" t="n">
        <x:f>'Historical Financials'!I13-'Historical Financials'!I14-'Historical Financials'!I15-'Historical Financials'!I31*(1-'Historical Financials'!I12/100)</x:f>
        <x:v>-36.91300000000024</x:v>
      </x:c>
      <x:c r="E9" s="19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 t="str">
        <x:v>Underlying Underwriting Gain</x:v>
      </x:c>
      <x:c r="D10" s="23" t="n">
        <x:f>D7*(1-'Assumptions'!D9)+D9</x:f>
        <x:v>1563.23192</x:v>
      </x:c>
      <x:c r="E10" s="19" t="n">
        <x:v>1678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 t="str">
        <x:v>Underwriting Gain</x:v>
      </x:c>
      <x:c r="D11" s="23" t="n">
        <x:f>D10-'Assumptions'!D10+'Assumptions'!D11</x:f>
        <x:v>863.23192</x:v>
      </x:c>
      <x:c r="E11" s="19" t="n">
        <x:v>1738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Investment Income Pretax</x:v>
      </x:c>
      <x:c r="D12" s="23" t="n">
        <x:f>'Assumptions'!D12</x:f>
        <x:v>1030</x:v>
      </x:c>
      <x:c r="E12" s="19" t="n">
        <x:v>1070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 t="str">
        <x:v>Core Pretax Income</x:v>
      </x:c>
      <x:c r="D13" s="23" t="n">
        <x:f>D11+D12+'Assumptions'!D13</x:f>
        <x:v>1783.23192</x:v>
      </x:c>
      <x:c r="E13" s="19" t="n">
        <x:v>2707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 t="str">
        <x:v>Core Income Tax</x:v>
      </x:c>
      <x:c r="D14" s="23" t="n">
        <x:f>D13*'Assumptions'!D14</x:f>
        <x:v>347.7302244</x:v>
      </x:c>
      <x:c r="E14" s="19" t="n">
        <x:v>547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 t="str">
        <x:v>Core Income</x:v>
      </x:c>
      <x:c r="D15" s="9" t="n">
        <x:f>D13-D14</x:f>
        <x:v>1435.5016956</x:v>
      </x:c>
      <x:c r="E15" s="19" t="n">
        <x:v>2160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 t="str">
        <x:v>Core income / share (proxy)</x:v>
      </x:c>
      <x:c r="D16" s="24" t="n">
        <x:f>D15/'Assumptions'!D15</x:f>
        <x:v>6.645841183333333</x:v>
      </x:c>
      <x:c r="E16" s="25" t="n">
        <x:v>10.112359550561798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 t="str">
        <x:v>Forecasts are analyst estimates, not the company’s official budget.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 t="str">
        <x:v>Per-share proxy excludes preferred / participating-security adjustments; it is not reported core EPS.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pageMargins left="0.7" right="0.7" top="0.75" bottom="0.75" header="0.3" footer="0.3"/>
  <x:drawing xmlns:r="http://schemas.openxmlformats.org/officeDocument/2006/relationships" r:id="R17a7b72c3da14e85"/>
</x:worksheet>
</file>

<file path=xl/worksheets/sheet4.xml><?xml version="1.0" encoding="utf-8"?>
<x:worksheet xmlns:x="http://schemas.openxmlformats.org/spreadsheetml/2006/main">
  <x:sheetPr>
    <x:tabColor rgb="FFC8102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Editable scenario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 t="str">
        <x:v>Case selected:</x:v>
      </x:c>
      <x:c r="D4" s="6" t="str">
        <x:v>May · market informed · 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/>
      <x:c r="C6" s="2" t="str">
        <x:v>Driver</x:v>
      </x:c>
      <x:c r="D6" s="2" t="str">
        <x:v>Active selection</x:v>
      </x:c>
      <x:c r="E6" s="2"/>
      <x:c r="F6" s="2" t="str">
        <x:v>Model definition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Earned Premium Growth</x:v>
      </x:c>
      <x:c r="D7" s="8" t="n">
        <x:f>INDEX(D24:D35,MATCH($D$4,$C$24:$C$35,0))</x:f>
        <x:v>-0.01</x:v>
      </x:c>
      <x:c r="E7" s="2"/>
      <x:c r="F7" s="2" t="str">
        <x:v>Decimal ratio; 1% = 0.01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 t="str">
        <x:v>Written Premium Growth</x:v>
      </x:c>
      <x:c r="D8" s="8" t="n">
        <x:f>INDEX(E24:E35,MATCH($D$4,$C$24:$C$35,0))</x:f>
        <x:v>-0.02</x:v>
      </x:c>
      <x:c r="E8" s="2"/>
      <x:c r="F8" s="2" t="str">
        <x:v>Decimal ratio; 1% = 0.01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 t="str">
        <x:v>Underlying Combined Ratio</x:v>
      </x:c>
      <x:c r="D9" s="8" t="n">
        <x:f>INDEX(F24:F35,MATCH($D$4,$C$24:$C$35,0))</x:f>
        <x:v>0.852</x:v>
      </x:c>
      <x:c r="E9" s="2"/>
      <x:c r="F9" s="2" t="str">
        <x:v>Decimal ratio; 1% = 0.01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 t="str">
        <x:v>Catastrophe Losses</x:v>
      </x:c>
      <x:c r="D10" s="9" t="n">
        <x:f>INDEX(G24:G35,MATCH($D$4,$C$24:$C$35,0))</x:f>
        <x:v>1000</x:v>
      </x:c>
      <x:c r="E10" s="2"/>
      <x:c r="F10" s="2" t="str">
        <x:v>USD million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 t="str">
        <x:v>Favorable Reserve Development</x:v>
      </x:c>
      <x:c r="D11" s="9" t="n">
        <x:f>INDEX(H24:H35,MATCH($D$4,$C$24:$C$35,0))</x:f>
        <x:v>300</x:v>
      </x:c>
      <x:c r="E11" s="2"/>
      <x:c r="F11" s="2" t="str">
        <x:v>USD million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Investment Income</x:v>
      </x:c>
      <x:c r="D12" s="9" t="n">
        <x:f>INDEX(I24:I35,MATCH($D$4,$C$24:$C$35,0))</x:f>
        <x:v>1030</x:v>
      </x:c>
      <x:c r="E12" s="2"/>
      <x:c r="F12" s="2" t="str">
        <x:v>USD million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 t="str">
        <x:v>Other Income Including Interest</x:v>
      </x:c>
      <x:c r="D13" s="9" t="n">
        <x:f>INDEX(J24:J35,MATCH($D$4,$C$24:$C$35,0))</x:f>
        <x:v>-110</x:v>
      </x:c>
      <x:c r="E13" s="2"/>
      <x:c r="F13" s="2" t="str">
        <x:v>USD million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 t="str">
        <x:v>Effective Tax Rate</x:v>
      </x:c>
      <x:c r="D14" s="8" t="n">
        <x:f>INDEX(K24:K35,MATCH($D$4,$C$24:$C$35,0))</x:f>
        <x:v>0.195</x:v>
      </x:c>
      <x:c r="E14" s="2"/>
      <x:c r="F14" s="2" t="str">
        <x:v>Decimal ratio; 1% = 0.01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 t="str">
        <x:v>Diluted Shares</x:v>
      </x:c>
      <x:c r="D15" s="10" t="n">
        <x:f>INDEX(L24:L35,MATCH($D$4,$C$24:$C$35,0))</x:f>
        <x:v>216</x:v>
      </x:c>
      <x:c r="E15" s="2"/>
      <x:c r="F15" s="2" t="str">
        <x:v>million shares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 t="str">
        <x:v>Blue numbers below are editable. Original forecasts remain fixed on Forecast Comparison.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48" customHeight="1">
      <x:c r="A23" s="2"/>
      <x:c r="B23" s="2"/>
      <x:c r="C23" s="13" t="str">
        <x:v>Scenario</x:v>
      </x:c>
      <x:c r="D23" s="13" t="str">
        <x:v>Earned Premium Growth</x:v>
      </x:c>
      <x:c r="E23" s="13" t="str">
        <x:v>Written Premium Growth</x:v>
      </x:c>
      <x:c r="F23" s="13" t="str">
        <x:v>Underlying Combined Ratio</x:v>
      </x:c>
      <x:c r="G23" s="13" t="str">
        <x:v>Catastrophe Losses</x:v>
      </x:c>
      <x:c r="H23" s="13" t="str">
        <x:v>Favorable Reserve Development</x:v>
      </x:c>
      <x:c r="I23" s="13" t="str">
        <x:v>Investment Income</x:v>
      </x:c>
      <x:c r="J23" s="13" t="str">
        <x:v>Other Income Including Interest</x:v>
      </x:c>
      <x:c r="K23" s="13" t="str">
        <x:v>Effective Tax Rate</x:v>
      </x:c>
      <x:c r="L23" s="13" t="str">
        <x:v>Diluted Shares</x:v>
      </x:c>
      <x:c r="M23" s="18"/>
      <x:c r="N23" s="18"/>
      <x:c r="O23" s="18"/>
      <x:c r="P23" s="2"/>
      <x:c r="Q23" s="2"/>
    </x:row>
    <x:row r="24" ht="23" customHeight="1">
      <x:c r="A24" s="2"/>
      <x:c r="B24" s="2"/>
      <x:c r="C24" s="2" t="str">
        <x:v>March · history only · bear</x:v>
      </x:c>
      <x:c r="D24" s="15" t="n">
        <x:v>0</x:v>
      </x:c>
      <x:c r="E24" s="15" t="n">
        <x:v>-0.02</x:v>
      </x:c>
      <x:c r="F24" s="15" t="n">
        <x:v>0.88</x:v>
      </x:c>
      <x:c r="G24" s="16" t="n">
        <x:v>1800</x:v>
      </x:c>
      <x:c r="H24" s="16" t="n">
        <x:v>50</x:v>
      </x:c>
      <x:c r="I24" s="16" t="n">
        <x:v>950</x:v>
      </x:c>
      <x:c r="J24" s="16" t="n">
        <x:v>-125</x:v>
      </x:c>
      <x:c r="K24" s="15" t="n">
        <x:v>0.22</x:v>
      </x:c>
      <x:c r="L24" s="17" t="n">
        <x:v>224</x:v>
      </x:c>
      <x:c r="M24" s="2"/>
      <x:c r="N24" s="2"/>
      <x:c r="O24" s="2"/>
      <x:c r="P24" s="2"/>
      <x:c r="Q24" s="2"/>
    </x:row>
    <x:row r="25" ht="23" customHeight="1">
      <x:c r="A25" s="2"/>
      <x:c r="B25" s="2"/>
      <x:c r="C25" s="2" t="str">
        <x:v>March · history only · base</x:v>
      </x:c>
      <x:c r="D25" s="15" t="n">
        <x:v>0.03</x:v>
      </x:c>
      <x:c r="E25" s="15" t="n">
        <x:v>0.015</x:v>
      </x:c>
      <x:c r="F25" s="15" t="n">
        <x:v>0.84</x:v>
      </x:c>
      <x:c r="G25" s="16" t="n">
        <x:v>1000</x:v>
      </x:c>
      <x:c r="H25" s="16" t="n">
        <x:v>275</x:v>
      </x:c>
      <x:c r="I25" s="16" t="n">
        <x:v>1080</x:v>
      </x:c>
      <x:c r="J25" s="16" t="n">
        <x:v>-100</x:v>
      </x:c>
      <x:c r="K25" s="15" t="n">
        <x:v>0.197</x:v>
      </x:c>
      <x:c r="L25" s="17" t="n">
        <x:v>222</x:v>
      </x:c>
      <x:c r="M25" s="2"/>
      <x:c r="N25" s="2"/>
      <x:c r="O25" s="2"/>
      <x:c r="P25" s="2"/>
      <x:c r="Q25" s="2"/>
    </x:row>
    <x:row r="26" ht="23" customHeight="1">
      <x:c r="A26" s="2"/>
      <x:c r="B26" s="2"/>
      <x:c r="C26" s="2" t="str">
        <x:v>March · history only · bull</x:v>
      </x:c>
      <x:c r="D26" s="15" t="n">
        <x:v>0.06</x:v>
      </x:c>
      <x:c r="E26" s="15" t="n">
        <x:v>0.04</x:v>
      </x:c>
      <x:c r="F26" s="15" t="n">
        <x:v>0.82</x:v>
      </x:c>
      <x:c r="G26" s="16" t="n">
        <x:v>500</x:v>
      </x:c>
      <x:c r="H26" s="16" t="n">
        <x:v>375</x:v>
      </x:c>
      <x:c r="I26" s="16" t="n">
        <x:v>1150</x:v>
      </x:c>
      <x:c r="J26" s="16" t="n">
        <x:v>-85</x:v>
      </x:c>
      <x:c r="K26" s="15" t="n">
        <x:v>0.18</x:v>
      </x:c>
      <x:c r="L26" s="17" t="n">
        <x:v>219</x:v>
      </x:c>
      <x:c r="M26" s="2"/>
      <x:c r="N26" s="2"/>
      <x:c r="O26" s="2"/>
      <x:c r="P26" s="2"/>
      <x:c r="Q26" s="2"/>
    </x:row>
    <x:row r="27" ht="23" customHeight="1">
      <x:c r="A27" s="2"/>
      <x:c r="B27" s="2"/>
      <x:c r="C27" s="2" t="str">
        <x:v>March · market informed · bear</x:v>
      </x:c>
      <x:c r="D27" s="15" t="n">
        <x:v>0</x:v>
      </x:c>
      <x:c r="E27" s="15" t="n">
        <x:v>-0.02</x:v>
      </x:c>
      <x:c r="F27" s="15" t="n">
        <x:v>0.89</x:v>
      </x:c>
      <x:c r="G27" s="16" t="n">
        <x:v>1800</x:v>
      </x:c>
      <x:c r="H27" s="16" t="n">
        <x:v>50</x:v>
      </x:c>
      <x:c r="I27" s="16" t="n">
        <x:v>950</x:v>
      </x:c>
      <x:c r="J27" s="16" t="n">
        <x:v>-125</x:v>
      </x:c>
      <x:c r="K27" s="15" t="n">
        <x:v>0.22</x:v>
      </x:c>
      <x:c r="L27" s="17" t="n">
        <x:v>224</x:v>
      </x:c>
      <x:c r="M27" s="2"/>
      <x:c r="N27" s="2"/>
      <x:c r="O27" s="2"/>
      <x:c r="P27" s="2"/>
      <x:c r="Q27" s="2"/>
    </x:row>
    <x:row r="28" ht="23" customHeight="1">
      <x:c r="A28" s="2"/>
      <x:c r="B28" s="2"/>
      <x:c r="C28" s="2" t="str">
        <x:v>March · market informed · base</x:v>
      </x:c>
      <x:c r="D28" s="15" t="n">
        <x:v>0.03</x:v>
      </x:c>
      <x:c r="E28" s="15" t="n">
        <x:v>0.015</x:v>
      </x:c>
      <x:c r="F28" s="15" t="n">
        <x:v>0.84</x:v>
      </x:c>
      <x:c r="G28" s="16" t="n">
        <x:v>1000</x:v>
      </x:c>
      <x:c r="H28" s="16" t="n">
        <x:v>275</x:v>
      </x:c>
      <x:c r="I28" s="16" t="n">
        <x:v>1080</x:v>
      </x:c>
      <x:c r="J28" s="16" t="n">
        <x:v>-100</x:v>
      </x:c>
      <x:c r="K28" s="15" t="n">
        <x:v>0.197</x:v>
      </x:c>
      <x:c r="L28" s="17" t="n">
        <x:v>222</x:v>
      </x:c>
      <x:c r="M28" s="2"/>
      <x:c r="N28" s="2"/>
      <x:c r="O28" s="2"/>
      <x:c r="P28" s="2"/>
      <x:c r="Q28" s="2"/>
    </x:row>
    <x:row r="29" ht="23" customHeight="1">
      <x:c r="A29" s="2"/>
      <x:c r="B29" s="2"/>
      <x:c r="C29" s="2" t="str">
        <x:v>March · market informed · bull</x:v>
      </x:c>
      <x:c r="D29" s="15" t="n">
        <x:v>0.06</x:v>
      </x:c>
      <x:c r="E29" s="15" t="n">
        <x:v>0.04</x:v>
      </x:c>
      <x:c r="F29" s="15" t="n">
        <x:v>0.82</x:v>
      </x:c>
      <x:c r="G29" s="16" t="n">
        <x:v>500</x:v>
      </x:c>
      <x:c r="H29" s="16" t="n">
        <x:v>375</x:v>
      </x:c>
      <x:c r="I29" s="16" t="n">
        <x:v>1150</x:v>
      </x:c>
      <x:c r="J29" s="16" t="n">
        <x:v>-85</x:v>
      </x:c>
      <x:c r="K29" s="15" t="n">
        <x:v>0.18</x:v>
      </x:c>
      <x:c r="L29" s="17" t="n">
        <x:v>219</x:v>
      </x:c>
      <x:c r="M29" s="2"/>
      <x:c r="N29" s="2"/>
      <x:c r="O29" s="2"/>
      <x:c r="P29" s="2"/>
      <x:c r="Q29" s="2"/>
    </x:row>
    <x:row r="30" ht="23" customHeight="1">
      <x:c r="A30" s="2"/>
      <x:c r="B30" s="2"/>
      <x:c r="C30" s="2" t="str">
        <x:v>May · history only · bear</x:v>
      </x:c>
      <x:c r="D30" s="15" t="n">
        <x:v>-0.04</x:v>
      </x:c>
      <x:c r="E30" s="15" t="n">
        <x:v>-0.05</x:v>
      </x:c>
      <x:c r="F30" s="15" t="n">
        <x:v>0.88</x:v>
      </x:c>
      <x:c r="G30" s="16" t="n">
        <x:v>1800</x:v>
      </x:c>
      <x:c r="H30" s="16" t="n">
        <x:v>0</x:v>
      </x:c>
      <x:c r="I30" s="16" t="n">
        <x:v>950</x:v>
      </x:c>
      <x:c r="J30" s="16" t="n">
        <x:v>-140</x:v>
      </x:c>
      <x:c r="K30" s="15" t="n">
        <x:v>0.21</x:v>
      </x:c>
      <x:c r="L30" s="17" t="n">
        <x:v>219</x:v>
      </x:c>
      <x:c r="M30" s="2"/>
      <x:c r="N30" s="2"/>
      <x:c r="O30" s="2"/>
      <x:c r="P30" s="2"/>
      <x:c r="Q30" s="2"/>
    </x:row>
    <x:row r="31" ht="23" customHeight="1">
      <x:c r="A31" s="2"/>
      <x:c r="B31" s="2"/>
      <x:c r="C31" s="2" t="str">
        <x:v>May · history only · base</x:v>
      </x:c>
      <x:c r="D31" s="15" t="n">
        <x:v>-0.01</x:v>
      </x:c>
      <x:c r="E31" s="15" t="n">
        <x:v>-0.02</x:v>
      </x:c>
      <x:c r="F31" s="15" t="n">
        <x:v>0.852</x:v>
      </x:c>
      <x:c r="G31" s="16" t="n">
        <x:v>1000</x:v>
      </x:c>
      <x:c r="H31" s="16" t="n">
        <x:v>300</x:v>
      </x:c>
      <x:c r="I31" s="16" t="n">
        <x:v>1030</x:v>
      </x:c>
      <x:c r="J31" s="16" t="n">
        <x:v>-110</x:v>
      </x:c>
      <x:c r="K31" s="15" t="n">
        <x:v>0.195</x:v>
      </x:c>
      <x:c r="L31" s="17" t="n">
        <x:v>216</x:v>
      </x:c>
      <x:c r="M31" s="2"/>
      <x:c r="N31" s="2"/>
      <x:c r="O31" s="2"/>
      <x:c r="P31" s="2"/>
      <x:c r="Q31" s="2"/>
    </x:row>
    <x:row r="32" ht="23" customHeight="1">
      <x:c r="A32" s="2"/>
      <x:c r="B32" s="2"/>
      <x:c r="C32" s="2" t="str">
        <x:v>May · history only · bull</x:v>
      </x:c>
      <x:c r="D32" s="15" t="n">
        <x:v>0.02</x:v>
      </x:c>
      <x:c r="E32" s="15" t="n">
        <x:v>0.02</x:v>
      </x:c>
      <x:c r="F32" s="15" t="n">
        <x:v>0.835</x:v>
      </x:c>
      <x:c r="G32" s="16" t="n">
        <x:v>500</x:v>
      </x:c>
      <x:c r="H32" s="16" t="n">
        <x:v>425</x:v>
      </x:c>
      <x:c r="I32" s="16" t="n">
        <x:v>1120</x:v>
      </x:c>
      <x:c r="J32" s="16" t="n">
        <x:v>-85</x:v>
      </x:c>
      <x:c r="K32" s="15" t="n">
        <x:v>0.18</x:v>
      </x:c>
      <x:c r="L32" s="17" t="n">
        <x:v>213</x:v>
      </x:c>
      <x:c r="M32" s="2"/>
      <x:c r="N32" s="2"/>
      <x:c r="O32" s="2"/>
      <x:c r="P32" s="2"/>
      <x:c r="Q32" s="2"/>
    </x:row>
    <x:row r="33" ht="23" customHeight="1">
      <x:c r="A33" s="2"/>
      <x:c r="B33" s="2"/>
      <x:c r="C33" s="2" t="str">
        <x:v>May · market informed · bear</x:v>
      </x:c>
      <x:c r="D33" s="15" t="n">
        <x:v>-0.04</x:v>
      </x:c>
      <x:c r="E33" s="15" t="n">
        <x:v>-0.05</x:v>
      </x:c>
      <x:c r="F33" s="15" t="n">
        <x:v>0.89</x:v>
      </x:c>
      <x:c r="G33" s="16" t="n">
        <x:v>1800</x:v>
      </x:c>
      <x:c r="H33" s="16" t="n">
        <x:v>0</x:v>
      </x:c>
      <x:c r="I33" s="16" t="n">
        <x:v>950</x:v>
      </x:c>
      <x:c r="J33" s="16" t="n">
        <x:v>-140</x:v>
      </x:c>
      <x:c r="K33" s="15" t="n">
        <x:v>0.21</x:v>
      </x:c>
      <x:c r="L33" s="17" t="n">
        <x:v>219</x:v>
      </x:c>
      <x:c r="M33" s="2"/>
      <x:c r="N33" s="2"/>
      <x:c r="O33" s="2"/>
      <x:c r="P33" s="2"/>
      <x:c r="Q33" s="2"/>
    </x:row>
    <x:row r="34" ht="23" customHeight="1">
      <x:c r="A34" s="2"/>
      <x:c r="B34" s="2"/>
      <x:c r="C34" s="2" t="str">
        <x:v>May · market informed · base</x:v>
      </x:c>
      <x:c r="D34" s="15" t="n">
        <x:v>-0.01</x:v>
      </x:c>
      <x:c r="E34" s="15" t="n">
        <x:v>-0.02</x:v>
      </x:c>
      <x:c r="F34" s="15" t="n">
        <x:v>0.852</x:v>
      </x:c>
      <x:c r="G34" s="16" t="n">
        <x:v>1000</x:v>
      </x:c>
      <x:c r="H34" s="16" t="n">
        <x:v>300</x:v>
      </x:c>
      <x:c r="I34" s="16" t="n">
        <x:v>1030</x:v>
      </x:c>
      <x:c r="J34" s="16" t="n">
        <x:v>-110</x:v>
      </x:c>
      <x:c r="K34" s="15" t="n">
        <x:v>0.195</x:v>
      </x:c>
      <x:c r="L34" s="17" t="n">
        <x:v>216</x:v>
      </x:c>
      <x:c r="M34" s="2"/>
      <x:c r="N34" s="2"/>
      <x:c r="O34" s="2"/>
      <x:c r="P34" s="2"/>
      <x:c r="Q34" s="2"/>
    </x:row>
    <x:row r="35" ht="23" customHeight="1">
      <x:c r="A35" s="2"/>
      <x:c r="B35" s="2"/>
      <x:c r="C35" s="2" t="str">
        <x:v>May · market informed · bull</x:v>
      </x:c>
      <x:c r="D35" s="15" t="n">
        <x:v>0.02</x:v>
      </x:c>
      <x:c r="E35" s="15" t="n">
        <x:v>0.02</x:v>
      </x:c>
      <x:c r="F35" s="15" t="n">
        <x:v>0.835</x:v>
      </x:c>
      <x:c r="G35" s="16" t="n">
        <x:v>500</x:v>
      </x:c>
      <x:c r="H35" s="16" t="n">
        <x:v>425</x:v>
      </x:c>
      <x:c r="I35" s="16" t="n">
        <x:v>1120</x:v>
      </x:c>
      <x:c r="J35" s="16" t="n">
        <x:v>-85</x:v>
      </x:c>
      <x:c r="K35" s="15" t="n">
        <x:v>0.18</x:v>
      </x:c>
      <x:c r="L35" s="17" t="n">
        <x:v>213</x:v>
      </x:c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dataValidations count="1">
    <x:dataValidation type="list" sqref="D4">
      <x:formula1>$C$24:$C$35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Frozen forecasts vs actual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0" customHeight="1">
      <x:c r="A6" s="2"/>
      <x:c r="B6" s="2"/>
      <x:c r="C6" s="13" t="str">
        <x:v>Information available</x:v>
      </x:c>
      <x:c r="D6" s="13" t="str">
        <x:v>Case</x:v>
      </x:c>
      <x:c r="E6" s="13" t="str">
        <x:v>Forecast revenue</x:v>
      </x:c>
      <x:c r="F6" s="13" t="str">
        <x:v>Forecast profit</x:v>
      </x:c>
      <x:c r="G6" s="13" t="str">
        <x:v>Actual profit</x:v>
      </x:c>
      <x:c r="H6" s="13" t="str">
        <x:v>Actual less forecast</x:v>
      </x:c>
      <x:c r="I6" s="13" t="str">
        <x:v>Variance % of forecast</x:v>
      </x:c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March · history only</x:v>
      </x:c>
      <x:c r="D7" s="2" t="str">
        <x:v>Bear</x:v>
      </x:c>
      <x:c r="E7" s="19" t="n">
        <x:v>10921</x:v>
      </x:c>
      <x:c r="F7" s="19" t="n">
        <x:v>271.9134599999998</x:v>
      </x:c>
      <x:c r="G7" s="19" t="n">
        <x:v>2160</x:v>
      </x:c>
      <x:c r="H7" s="9" t="n">
        <x:f>G7-F7</x:f>
        <x:v>1888.0865400000002</x:v>
      </x:c>
      <x:c r="I7" s="8" t="n">
        <x:f>H7/ABS(F7)</x:f>
        <x:v>6.943703853424547</x:v>
      </x:c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 t="str">
        <x:v>March · history only</x:v>
      </x:c>
      <x:c r="D8" s="2" t="str">
        <x:v>Base</x:v>
      </x:c>
      <x:c r="E8" s="19" t="n">
        <x:v>11248.630000000001</x:v>
      </x:c>
      <x:c r="F8" s="19" t="n">
        <x:v>1620.3478433999999</x:v>
      </x:c>
      <x:c r="G8" s="19" t="n">
        <x:v>2160</x:v>
      </x:c>
      <x:c r="H8" s="9" t="n">
        <x:f>G8-F8</x:f>
        <x:v>539.6521566000001</x:v>
      </x:c>
      <x:c r="I8" s="8" t="n">
        <x:f>H8/ABS(F8)</x:f>
        <x:v>0.3330471039277838</x:v>
      </x:c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 t="str">
        <x:v>March · history only</x:v>
      </x:c>
      <x:c r="D9" s="2" t="str">
        <x:v>Bull</x:v>
      </x:c>
      <x:c r="E9" s="19" t="n">
        <x:v>11576.26</x:v>
      </x:c>
      <x:c r="F9" s="19" t="n">
        <x:v>2449.1873160000005</x:v>
      </x:c>
      <x:c r="G9" s="19" t="n">
        <x:v>2160</x:v>
      </x:c>
      <x:c r="H9" s="9" t="n">
        <x:f>G9-F9</x:f>
        <x:v>-289.18731600000046</x:v>
      </x:c>
      <x:c r="I9" s="8" t="n">
        <x:f>H9/ABS(F9)</x:f>
        <x:v>-0.11807480551234424</x:v>
      </x:c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 t="str">
        <x:v>March · market informed</x:v>
      </x:c>
      <x:c r="D10" s="2" t="str">
        <x:v>Bear</x:v>
      </x:c>
      <x:c r="E10" s="19" t="n">
        <x:v>10921</x:v>
      </x:c>
      <x:c r="F10" s="19" t="n">
        <x:v>186.72965999999977</x:v>
      </x:c>
      <x:c r="G10" s="19" t="n">
        <x:v>2160</x:v>
      </x:c>
      <x:c r="H10" s="9" t="n">
        <x:f>G10-F10</x:f>
        <x:v>1973.2703400000003</x:v>
      </x:c>
      <x:c r="I10" s="8" t="n">
        <x:f>H10/ABS(F10)</x:f>
        <x:v>10.567524944885578</x:v>
      </x:c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 t="str">
        <x:v>March · market informed</x:v>
      </x:c>
      <x:c r="D11" s="2" t="str">
        <x:v>Base</x:v>
      </x:c>
      <x:c r="E11" s="19" t="n">
        <x:v>11248.630000000001</x:v>
      </x:c>
      <x:c r="F11" s="19" t="n">
        <x:v>1620.3478433999999</x:v>
      </x:c>
      <x:c r="G11" s="19" t="n">
        <x:v>2160</x:v>
      </x:c>
      <x:c r="H11" s="9" t="n">
        <x:f>G11-F11</x:f>
        <x:v>539.6521566000001</x:v>
      </x:c>
      <x:c r="I11" s="8" t="n">
        <x:f>H11/ABS(F11)</x:f>
        <x:v>0.3330471039277838</x:v>
      </x:c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March · market informed</x:v>
      </x:c>
      <x:c r="D12" s="2" t="str">
        <x:v>Bull</x:v>
      </x:c>
      <x:c r="E12" s="19" t="n">
        <x:v>11576.26</x:v>
      </x:c>
      <x:c r="F12" s="19" t="n">
        <x:v>2449.1873160000005</x:v>
      </x:c>
      <x:c r="G12" s="19" t="n">
        <x:v>2160</x:v>
      </x:c>
      <x:c r="H12" s="9" t="n">
        <x:f>G12-F12</x:f>
        <x:v>-289.18731600000046</x:v>
      </x:c>
      <x:c r="I12" s="8" t="n">
        <x:f>H12/ABS(F12)</x:f>
        <x:v>-0.11807480551234424</x:v>
      </x:c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 t="str">
        <x:v>May · history only</x:v>
      </x:c>
      <x:c r="D13" s="2" t="str">
        <x:v>Bear</x:v>
      </x:c>
      <x:c r="E13" s="19" t="n">
        <x:v>10484.16</x:v>
      </x:c>
      <x:c r="F13" s="19" t="n">
        <x:v>182.63709799999972</x:v>
      </x:c>
      <x:c r="G13" s="19" t="n">
        <x:v>2160</x:v>
      </x:c>
      <x:c r="H13" s="9" t="n">
        <x:f>G13-F13</x:f>
        <x:v>1977.3629020000003</x:v>
      </x:c>
      <x:c r="I13" s="8" t="n">
        <x:f>H13/ABS(F13)</x:f>
        <x:v>10.826731938108233</x:v>
      </x:c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 t="str">
        <x:v>May · history only</x:v>
      </x:c>
      <x:c r="D14" s="2" t="str">
        <x:v>Base</x:v>
      </x:c>
      <x:c r="E14" s="19" t="n">
        <x:v>10811.789999999999</x:v>
      </x:c>
      <x:c r="F14" s="19" t="n">
        <x:v>1435.5016956</x:v>
      </x:c>
      <x:c r="G14" s="19" t="n">
        <x:v>2160</x:v>
      </x:c>
      <x:c r="H14" s="9" t="n">
        <x:f>G14-F14</x:f>
        <x:v>724.4983044</x:v>
      </x:c>
      <x:c r="I14" s="8" t="n">
        <x:f>H14/ABS(F14)</x:f>
        <x:v>0.5047004170184416</x:v>
      </x:c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 t="str">
        <x:v>May · history only</x:v>
      </x:c>
      <x:c r="D15" s="2" t="str">
        <x:v>Bull</x:v>
      </x:c>
      <x:c r="E15" s="19" t="n">
        <x:v>11139.42</x:v>
      </x:c>
      <x:c r="F15" s="19" t="n">
        <x:v>2264.094866</x:v>
      </x:c>
      <x:c r="G15" s="19" t="n">
        <x:v>2160</x:v>
      </x:c>
      <x:c r="H15" s="9" t="n">
        <x:f>G15-F15</x:f>
        <x:v>-104.09486599999991</x:v>
      </x:c>
      <x:c r="I15" s="8" t="n">
        <x:f>H15/ABS(F15)</x:f>
        <x:v>-0.04597637120387336</x:v>
      </x:c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 t="str">
        <x:v>May · market informed</x:v>
      </x:c>
      <x:c r="D16" s="2" t="str">
        <x:v>Bear</x:v>
      </x:c>
      <x:c r="E16" s="19" t="n">
        <x:v>10484.16</x:v>
      </x:c>
      <x:c r="F16" s="19" t="n">
        <x:v>99.81223399999975</x:v>
      </x:c>
      <x:c r="G16" s="19" t="n">
        <x:v>2160</x:v>
      </x:c>
      <x:c r="H16" s="9" t="n">
        <x:f>G16-F16</x:f>
        <x:v>2060.1877660000005</x:v>
      </x:c>
      <x:c r="I16" s="8" t="n">
        <x:f>H16/ABS(F16)</x:f>
        <x:v>20.640633752371535</x:v>
      </x:c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 t="str">
        <x:v>May · market informed</x:v>
      </x:c>
      <x:c r="D17" s="2" t="str">
        <x:v>Base</x:v>
      </x:c>
      <x:c r="E17" s="19" t="n">
        <x:v>10811.789999999999</x:v>
      </x:c>
      <x:c r="F17" s="19" t="n">
        <x:v>1435.5016956</x:v>
      </x:c>
      <x:c r="G17" s="19" t="n">
        <x:v>2160</x:v>
      </x:c>
      <x:c r="H17" s="9" t="n">
        <x:f>G17-F17</x:f>
        <x:v>724.4983044</x:v>
      </x:c>
      <x:c r="I17" s="8" t="n">
        <x:f>H17/ABS(F17)</x:f>
        <x:v>0.5047004170184416</x:v>
      </x:c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 t="str">
        <x:v>May · market informed</x:v>
      </x:c>
      <x:c r="D18" s="2" t="str">
        <x:v>Bull</x:v>
      </x:c>
      <x:c r="E18" s="19" t="n">
        <x:v>11139.42</x:v>
      </x:c>
      <x:c r="F18" s="19" t="n">
        <x:v>2264.094866</x:v>
      </x:c>
      <x:c r="G18" s="19" t="n">
        <x:v>2160</x:v>
      </x:c>
      <x:c r="H18" s="9" t="n">
        <x:f>G18-F18</x:f>
        <x:v>-104.09486599999991</x:v>
      </x:c>
      <x:c r="I18" s="8" t="n">
        <x:f>H18/ABS(F18)</x:f>
        <x:v>-0.04597637120387336</x:v>
      </x:c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 t="str">
        <x:v>These forecasts were frozen before actuals entered the model; rerun workflow to create a new vintage.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conditionalFormatting sqref="H7:H18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Why actual profit differed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2"/>
      <x:c r="B5" s="2"/>
      <x:c r="C5" s="13" t="str">
        <x:v>Driver</x:v>
      </x:c>
      <x:c r="D5" s="13" t="str">
        <x:v>May base assumption</x:v>
      </x:c>
      <x:c r="E5" s="13" t="str">
        <x:v>Observed driver</x:v>
      </x:c>
      <x:c r="F5" s="13" t="str">
        <x:v>Profit contribution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/>
      <x:c r="C6" s="2" t="str">
        <x:v>Earned Premium Growth</x:v>
      </x:c>
      <x:c r="D6" s="26" t="n">
        <x:v>-0.01</x:v>
      </x:c>
      <x:c r="E6" s="26" t="n">
        <x:v>-0.015383206666056193</x:v>
      </x:c>
      <x:c r="F6" s="19" t="n">
        <x:v>-7.004240600000003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Written Premium Growth</x:v>
      </x:c>
      <x:c r="D7" s="26" t="n">
        <x:v>-0.02</x:v>
      </x:c>
      <x:c r="E7" s="26" t="n">
        <x:v>-0.0012128562765312267</x:v>
      </x:c>
      <x:c r="F7" s="19" t="n">
        <x:v>0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 t="str">
        <x:v>Underlying Combined Ratio</x:v>
      </x:c>
      <x:c r="D8" s="26" t="n">
        <x:v>0.852</x:v>
      </x:c>
      <x:c r="E8" s="26" t="n">
        <x:v>0.841</x:v>
      </x:c>
      <x:c r="F8" s="19" t="n">
        <x:v>95.2178150000002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 t="str">
        <x:v>Catastrophe Losses</x:v>
      </x:c>
      <x:c r="D9" s="19" t="n">
        <x:v>1000</x:v>
      </x:c>
      <x:c r="E9" s="19" t="n">
        <x:v>518</x:v>
      </x:c>
      <x:c r="F9" s="19" t="n">
        <x:v>388.0100000000002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 t="str">
        <x:v>Favorable Reserve Development</x:v>
      </x:c>
      <x:c r="D10" s="19" t="n">
        <x:v>300</x:v>
      </x:c>
      <x:c r="E10" s="19" t="n">
        <x:v>578</x:v>
      </x:c>
      <x:c r="F10" s="19" t="n">
        <x:v>223.78999999999996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 t="str">
        <x:v>Investment Income</x:v>
      </x:c>
      <x:c r="D11" s="19" t="n">
        <x:v>1030</x:v>
      </x:c>
      <x:c r="E11" s="19" t="n">
        <x:v>1070</x:v>
      </x:c>
      <x:c r="F11" s="19" t="n">
        <x:v>32.19999999999982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Other Income Including Interest</x:v>
      </x:c>
      <x:c r="D12" s="19" t="n">
        <x:v>-110</x:v>
      </x:c>
      <x:c r="E12" s="19" t="n">
        <x:v>-101</x:v>
      </x:c>
      <x:c r="F12" s="19" t="n">
        <x:v>7.245000000000346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 t="str">
        <x:v>Effective Tax Rate</x:v>
      </x:c>
      <x:c r="D13" s="26" t="n">
        <x:v>0.195</x:v>
      </x:c>
      <x:c r="E13" s="26" t="n">
        <x:v>0.20206871074990765</x:v>
      </x:c>
      <x:c r="F13" s="19" t="n">
        <x:v>-19.098341666051056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 t="str">
        <x:v>Diluted Shares</x:v>
      </x:c>
      <x:c r="D14" s="20" t="n">
        <x:v>216</x:v>
      </x:c>
      <x:c r="E14" s="20" t="n">
        <x:v>213.6</x:v>
      </x:c>
      <x:c r="F14" s="19" t="n"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 t="str">
        <x:v>Reported Rounding And Basis Residual</x:v>
      </x:c>
      <x:c r="D15" s="2"/>
      <x:c r="E15" s="2"/>
      <x:c r="F15" s="19" t="n">
        <x:v>4.138071666050564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 t="str">
        <x:v>Total actual less May base profit</x:v>
      </x:c>
      <x:c r="D17" s="2"/>
      <x:c r="E17" s="2"/>
      <x:c r="F17" s="9" t="n">
        <x:f>SUM(F6:F15)</x:f>
        <x:v>724.4983044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 t="str">
        <x:v>Sequential substitution in the displayed order; interactions are allocated to the later driver.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conditionalFormatting sqref="F6:F15">
    <x:cfRule type="cellIs" dxfId="4" priority="1" operator="lessThan">
      <x:formula>0</x:formula>
    </x:cfRule>
    <x:cfRule type="cellIs" dxfId="5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1" hidden="0" customWidth="1"/>
    <x:col min="4" max="4" width="31" hidden="0" customWidth="1"/>
    <x:col min="5" max="5" width="18" hidden="0" customWidth="1"/>
    <x:col min="6" max="6" width="18" hidden="0" customWidth="1"/>
    <x:col min="7" max="7" width="18" hidden="0" customWidth="1"/>
    <x:col min="8" max="8" width="9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What research changed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2"/>
      <x:c r="B5" s="2"/>
      <x:c r="C5" s="13" t="str">
        <x:v>Window / case</x:v>
      </x:c>
      <x:c r="D5" s="13" t="str">
        <x:v>Driver</x:v>
      </x:c>
      <x:c r="E5" s="13" t="str">
        <x:v>History assumption</x:v>
      </x:c>
      <x:c r="F5" s="13" t="str">
        <x:v>Research assumption</x:v>
      </x:c>
      <x:c r="G5" s="13" t="str">
        <x:v>Change</x:v>
      </x:c>
      <x:c r="H5" s="13" t="str">
        <x:v>Reason from Scenario agent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 ht="92" customHeight="1">
      <x:c r="A6" s="2"/>
      <x:c r="B6" s="2"/>
      <x:c r="C6" s="2" t="str">
        <x:v>March / base</x:v>
      </x:c>
      <x:c r="D6" s="2" t="str">
        <x:v>Earned Premium Growth</x:v>
      </x:c>
      <x:c r="E6" s="26" t="n">
        <x:v>0.03</x:v>
      </x:c>
      <x:c r="F6" s="26" t="n">
        <x:v>0.03</x:v>
      </x:c>
      <x:c r="G6" s="27" t="n">
        <x:f>(F6-E6)*100</x:f>
        <x:v>0</x:v>
      </x:c>
      <x:c r="H6" s="18" t="str">
        <x:v>Retain the frozen control for same-quarter-prior-year earned growth. Q2 historical growth was approximately 6.6%, slowing to 2.6% in Q4, supporting a modest 3% base.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 ht="92" customHeight="1">
      <x:c r="A7" s="2"/>
      <x:c r="B7" s="2"/>
      <x:c r="C7" s="2" t="str">
        <x:v>March / base</x:v>
      </x:c>
      <x:c r="D7" s="2" t="str">
        <x:v>Written Premium Growth</x:v>
      </x:c>
      <x:c r="E7" s="26" t="n">
        <x:v>0.015</x:v>
      </x:c>
      <x:c r="F7" s="26" t="n">
        <x:v>0.015</x:v>
      </x:c>
      <x:c r="G7" s="27" t="n">
        <x:f>(F7-E7)*100</x:f>
        <x:v>0</x:v>
      </x:c>
      <x:c r="H7" s="18" t="str">
        <x:v>Retain the frozen same-quarter-prior-year control: historical written growth slowed from approximately 3.9% in Q2 to 1.1% in Q4. TRV01 supports qualitative renewal persistence but provides no incremental total-company growth calibration.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170" customHeight="1">
      <x:c r="A8" s="2"/>
      <x:c r="B8" s="2"/>
      <x:c r="C8" s="2" t="str">
        <x:v>March / bear</x:v>
      </x:c>
      <x:c r="D8" s="2" t="str">
        <x:v>Underlying Combined Ratio</x:v>
      </x:c>
      <x:c r="E8" s="26" t="n">
        <x:v>0.88</x:v>
      </x:c>
      <x:c r="F8" s="26" t="n">
        <x:v>0.89</x:v>
      </x:c>
      <x:c r="G8" s="27" t="n">
        <x:f>(F8-E8)*100</x:f>
        <x:v>1.0000000000000009</x:v>
      </x:c>
      <x:c r="H8" s="18" t="str">
        <x:v>Retain control base and bull against Q2/Q3/Q4 underlying ratios of 84.7%/83.9%/82.2%. Increase only the control bear from 88% to 89%, an illustrative additional one-percentage-point current-accident-year severity stress informed by TRV04's structural litigation-risk evidence. Its 2023 industry estimate is stale and does not establish current Travelers inflation. Lower ratios favor profitability. This incremental stress is not repeated in catastrophe losses or prior-year reserve development.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92" customHeight="1">
      <x:c r="A9" s="2"/>
      <x:c r="B9" s="2"/>
      <x:c r="C9" s="2" t="str">
        <x:v>March / base</x:v>
      </x:c>
      <x:c r="D9" s="2" t="str">
        <x:v>Catastrophe Losses</x:v>
      </x:c>
      <x:c r="E9" s="19" t="n">
        <x:v>1000</x:v>
      </x:c>
      <x:c r="F9" s="19" t="n">
        <x:v>1000</x:v>
      </x:c>
      <x:c r="G9" s="9" t="n">
        <x:f>F9-E9</x:f>
        <x:v>0</x:v>
      </x:c>
      <x:c r="H9" s="18" t="str">
        <x:v>Retain all control values as positive quarterly pretax losses net of reinsurance. Q2 2025 losses of 927 and its prior-year comparator of 1509 support seasonal context; Q1 losses of 2266 and Q4 losses of 95 demonstrate volatility.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92" customHeight="1">
      <x:c r="A10" s="2"/>
      <x:c r="B10" s="2"/>
      <x:c r="C10" s="2" t="str">
        <x:v>March / base</x:v>
      </x:c>
      <x:c r="D10" s="2" t="str">
        <x:v>Favorable Reserve Development</x:v>
      </x:c>
      <x:c r="E10" s="19" t="n">
        <x:v>275</x:v>
      </x:c>
      <x:c r="F10" s="19" t="n">
        <x:v>275</x:v>
      </x:c>
      <x:c r="G10" s="9" t="n">
        <x:f>F10-E10</x:f>
        <x:v>0</x:v>
      </x:c>
      <x:c r="H10" s="18" t="str">
        <x:v>Retain the frozen control. Q2 and Q4 favorable releases of 315 and 321 support the discounted base, while Q3's 22 demonstrates variability and Q1's 378 anchors the favorable case.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92" customHeight="1">
      <x:c r="A11" s="2"/>
      <x:c r="B11" s="2"/>
      <x:c r="C11" s="2" t="str">
        <x:v>March / base</x:v>
      </x:c>
      <x:c r="D11" s="2" t="str">
        <x:v>Investment Income</x:v>
      </x:c>
      <x:c r="E11" s="19" t="n">
        <x:v>1080</x:v>
      </x:c>
      <x:c r="F11" s="19" t="n">
        <x:v>1080</x:v>
      </x:c>
      <x:c r="G11" s="9" t="n">
        <x:f>F11-E11</x:f>
        <x:v>0</x:v>
      </x:c>
      <x:c r="H11" s="18" t="str">
        <x:v>Retain quarterly pretax control values against income of 942 in Q2, 1033 in Q3 and 1054 in Q4. The base already assumes modest further growth.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92" customHeight="1">
      <x:c r="A12" s="2"/>
      <x:c r="B12" s="2"/>
      <x:c r="C12" s="2" t="str">
        <x:v>March / base</x:v>
      </x:c>
      <x:c r="D12" s="2" t="str">
        <x:v>Other Income Including Interest</x:v>
      </x:c>
      <x:c r="E12" s="19" t="n">
        <x:v>-100</x:v>
      </x:c>
      <x:c r="F12" s="19" t="n">
        <x:v>-100</x:v>
      </x:c>
      <x:c r="G12" s="9" t="n">
        <x:f>F12-E12</x:f>
        <x:v>0</x:v>
      </x:c>
      <x:c r="H12" s="18" t="str">
        <x:v>Retain the frozen signed-expense control, anchored by Q2 expense of 89 and Q4 expense of 101. Bear assumes a greater expense burden and bull modest improvement.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92" customHeight="1">
      <x:c r="A13" s="2"/>
      <x:c r="B13" s="2"/>
      <x:c r="C13" s="2" t="str">
        <x:v>March / base</x:v>
      </x:c>
      <x:c r="D13" s="2" t="str">
        <x:v>Effective Tax Rate</x:v>
      </x:c>
      <x:c r="E13" s="26" t="n">
        <x:v>0.197</x:v>
      </x:c>
      <x:c r="F13" s="26" t="n">
        <x:v>0.197</x:v>
      </x:c>
      <x:c r="G13" s="27" t="n">
        <x:f>(F13-E13)*100</x:f>
        <x:v>0</x:v>
      </x:c>
      <x:c r="H13" s="18" t="str">
        <x:v>Retain the control, supported by historical core tax-to-pretax rates of approximately 19.8% in Q2 and 19.6% in Q4. Bear and bull are higher/lower effective-burden sensitivities, without an asserted tax-law or income-mix change.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92" customHeight="1">
      <x:c r="A14" s="2"/>
      <x:c r="B14" s="2"/>
      <x:c r="C14" s="2" t="str">
        <x:v>March / base</x:v>
      </x:c>
      <x:c r="D14" s="2" t="str">
        <x:v>Diluted Shares</x:v>
      </x:c>
      <x:c r="E14" s="20" t="n">
        <x:v>222</x:v>
      </x:c>
      <x:c r="F14" s="20" t="n">
        <x:v>222</x:v>
      </x:c>
      <x:c r="G14" s="10" t="n">
        <x:f>F14-E14</x:f>
        <x:v>0</x:v>
      </x:c>
      <x:c r="H14" s="18" t="str">
        <x:v>Retain the control against quarterly diluted weighted-average shares of 229.3 in Q2, 227.5 in Q3 and 224 in Q4. Base assumes modest continuation of the decline, bear holds the latest level, and bull assumes a larger decline.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92" customHeight="1">
      <x:c r="A15" s="2"/>
      <x:c r="B15" s="2"/>
      <x:c r="C15" s="2" t="str">
        <x:v>May / base</x:v>
      </x:c>
      <x:c r="D15" s="2" t="str">
        <x:v>Earned Premium Growth</x:v>
      </x:c>
      <x:c r="E15" s="26" t="n">
        <x:v>-0.01</x:v>
      </x:c>
      <x:c r="F15" s="26" t="n">
        <x:v>-0.01</x:v>
      </x:c>
      <x:c r="G15" s="27" t="n">
        <x:f>(F15-E15)*100</x:f>
        <x:v>0</x:v>
      </x:c>
      <x:c r="H15" s="18" t="str">
        <x:v>Retain all control scenarios. Same-quarter-prior-year growth uses Q2 2025 earned premiums of 10,921 as its baseline.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92" customHeight="1">
      <x:c r="A16" s="2"/>
      <x:c r="B16" s="2"/>
      <x:c r="C16" s="2" t="str">
        <x:v>May / base</x:v>
      </x:c>
      <x:c r="D16" s="2" t="str">
        <x:v>Written Premium Growth</x:v>
      </x:c>
      <x:c r="E16" s="26" t="n">
        <x:v>-0.02</x:v>
      </x:c>
      <x:c r="F16" s="26" t="n">
        <x:v>-0.02</x:v>
      </x:c>
      <x:c r="G16" s="27" t="n">
        <x:f>(F16-E16)*100</x:f>
        <x:v>0</x:v>
      </x:c>
      <x:c r="H16" s="18" t="str">
        <x:v>Retain all control scenarios, using Q2 2025 written premiums of 11,543 as the same-quarter-prior-year baseline. Base approximates latest Q1 contraction; bear extends contraction and bull assumes recovery.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70" customHeight="1">
      <x:c r="A17" s="2"/>
      <x:c r="B17" s="2"/>
      <x:c r="C17" s="2" t="str">
        <x:v>May / bear</x:v>
      </x:c>
      <x:c r="D17" s="2" t="str">
        <x:v>Underlying Combined Ratio</x:v>
      </x:c>
      <x:c r="E17" s="26" t="n">
        <x:v>0.88</x:v>
      </x:c>
      <x:c r="F17" s="26" t="n">
        <x:v>0.89</x:v>
      </x:c>
      <x:c r="G17" s="27" t="n">
        <x:f>(F17-E17)*100</x:f>
        <x:v>1.0000000000000009</x:v>
      </x:c>
      <x:c r="H17" s="18" t="str">
        <x:v>Retain control base and bull; increase bear from 0.88 to 0.89, an incremental 1 percentage-point joint current-period severity stress. Base remains near latest Q1's 85.3%, informed by prior-year Q2's 84.7%, without extrapolating Q4's 82.2%. Social inflation, longer worker recovery and replacement/legal-cost evidence justify wider downside uncertainty but no compelled base change. The joint increment is uncalibrated analyst judgment, not summed source sensitivities or a 7% claims increase. Higher ratios reduce profitability; catastrophes and prior-year development remain separate.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92" customHeight="1">
      <x:c r="A18" s="2"/>
      <x:c r="B18" s="2"/>
      <x:c r="C18" s="2" t="str">
        <x:v>May / base</x:v>
      </x:c>
      <x:c r="D18" s="2" t="str">
        <x:v>Catastrophe Losses</x:v>
      </x:c>
      <x:c r="E18" s="19" t="n">
        <x:v>1000</x:v>
      </x:c>
      <x:c r="F18" s="19" t="n">
        <x:v>1000</x:v>
      </x:c>
      <x:c r="G18" s="9" t="n">
        <x:f>F18-E18</x:f>
        <x:v>0</x:v>
      </x:c>
      <x:c r="H18" s="18" t="str">
        <x:v>Retain all control scenarios as positive quarterly pretax losses net of reinsurance. Base is modestly above Q2 2025's 927; its reported Q2 2024 comparison of 1,509 supports substantial seasonal uncertainty.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92" customHeight="1">
      <x:c r="A19" s="2"/>
      <x:c r="B19" s="2"/>
      <x:c r="C19" s="2" t="str">
        <x:v>May / base</x:v>
      </x:c>
      <x:c r="D19" s="2" t="str">
        <x:v>Favorable Reserve Development</x:v>
      </x:c>
      <x:c r="E19" s="19" t="n">
        <x:v>300</x:v>
      </x:c>
      <x:c r="F19" s="19" t="n">
        <x:v>300</x:v>
      </x:c>
      <x:c r="G19" s="9" t="n">
        <x:f>F19-E19</x:f>
        <x:v>0</x:v>
      </x:c>
      <x:c r="H19" s="18" t="str">
        <x:v>Retain all control scenarios. Positive favorable releases increase profit.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92" customHeight="1">
      <x:c r="A20" s="2"/>
      <x:c r="B20" s="2"/>
      <x:c r="C20" s="2" t="str">
        <x:v>May / base</x:v>
      </x:c>
      <x:c r="D20" s="2" t="str">
        <x:v>Investment Income</x:v>
      </x:c>
      <x:c r="E20" s="19" t="n">
        <x:v>1030</x:v>
      </x:c>
      <x:c r="F20" s="19" t="n">
        <x:v>1030</x:v>
      </x:c>
      <x:c r="G20" s="9" t="n">
        <x:f>F20-E20</x:f>
        <x:v>0</x:v>
      </x:c>
      <x:c r="H20" s="18" t="str">
        <x:v>Retain all control scenarios for quarterly pretax net investment income. Base lies between latest Q1's 1,008 and Q4's 1,054, above prior-year Q2's 942; bear and bull represent weaker and stronger earnings.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92" customHeight="1">
      <x:c r="A21" s="2"/>
      <x:c r="B21" s="2"/>
      <x:c r="C21" s="2" t="str">
        <x:v>May / base</x:v>
      </x:c>
      <x:c r="D21" s="2" t="str">
        <x:v>Other Income Including Interest</x:v>
      </x:c>
      <x:c r="E21" s="19" t="n">
        <x:v>-110</x:v>
      </x:c>
      <x:c r="F21" s="19" t="n">
        <x:v>-110</x:v>
      </x:c>
      <x:c r="G21" s="9" t="n">
        <x:f>F21-E21</x:f>
        <x:v>0</x:v>
      </x:c>
      <x:c r="H21" s="18" t="str">
        <x:v>Retain all control scenarios because no specific eligible evidence supports an incremental change. Signed quarterly pretax base remains near latest Q1's -111, versus Q4's -101 and prior-year Q2's -89.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92" customHeight="1">
      <x:c r="A22" s="2"/>
      <x:c r="B22" s="2"/>
      <x:c r="C22" s="2" t="str">
        <x:v>May / base</x:v>
      </x:c>
      <x:c r="D22" s="2" t="str">
        <x:v>Effective Tax Rate</x:v>
      </x:c>
      <x:c r="E22" s="26" t="n">
        <x:v>0.195</x:v>
      </x:c>
      <x:c r="F22" s="26" t="n">
        <x:v>0.195</x:v>
      </x:c>
      <x:c r="G22" s="27" t="n">
        <x:f>(F22-E22)*100</x:f>
        <x:v>0</x:v>
      </x:c>
      <x:c r="H22" s="18" t="str">
        <x:v>Retain all control scenarios. Base reflects historical core tax relative to core pretax income in prior-year Q2 and Q4 rather than mechanically extending latest Q1's lower rate.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92" customHeight="1">
      <x:c r="A23" s="2"/>
      <x:c r="B23" s="2"/>
      <x:c r="C23" s="2" t="str">
        <x:v>May / base</x:v>
      </x:c>
      <x:c r="D23" s="2" t="str">
        <x:v>Diluted Shares</x:v>
      </x:c>
      <x:c r="E23" s="20" t="n">
        <x:v>216</x:v>
      </x:c>
      <x:c r="F23" s="20" t="n">
        <x:v>216</x:v>
      </x:c>
      <x:c r="G23" s="10" t="n">
        <x:f>F23-E23</x:f>
        <x:v>0</x:v>
      </x:c>
      <x:c r="H23" s="18" t="str">
        <x:v>Retain all control scenarios for quarterly weighted-average diluted shares. Base assumes a moderate further decline from latest Q1's 218.4 after Q4's 224.0; bear assumes paused repurchases and modest dilution, while bull assumes a larger reduction.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92" customHeight="1">
      <x:c r="A24" s="2"/>
      <x:c r="B24" s="2"/>
      <x:c r="C24" s="2"/>
      <x:c r="D24" s="2"/>
      <x:c r="E24" s="2"/>
      <x:c r="F24" s="2"/>
      <x:c r="G24" s="2"/>
      <x:c r="H24" s="18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Evidence and proposed implications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2"/>
      <x:c r="B5" s="2"/>
      <x:c r="C5" s="13" t="str">
        <x:v>ID</x:v>
      </x:c>
      <x:c r="D5" s="13" t="str">
        <x:v>Published</x:v>
      </x:c>
      <x:c r="E5" s="13" t="str">
        <x:v>Evidence</x:v>
      </x:c>
      <x:c r="F5" s="13" t="str">
        <x:v>Driver implication</x:v>
      </x:c>
      <x:c r="G5" s="13" t="str">
        <x:v>Proposed adjustment — before QA</x:v>
      </x:c>
      <x:c r="H5" s="13" t="str">
        <x:v>Source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 ht="100" customHeight="1">
      <x:c r="A6" s="2"/>
      <x:c r="B6" s="2"/>
      <x:c r="C6" s="2" t="str">
        <x:v>TRV01</x:v>
      </x:c>
      <x:c r="D6" s="2" t="str">
        <x:v>2026-01-21</x:v>
      </x:c>
      <x:c r="E6" s="18" t="str">
        <x:v>Business Insurance renewal premium change 6.1%; retention 85%; new business $675m.</x:v>
      </x:c>
      <x:c r="F6" s="18" t="str">
        <x:v>Positive renewal momentum supports future earning, with exposure change included in premium change.</x:v>
      </x:c>
      <x:c r="G6" s="18" t="str">
        <x:v>Earned-premium growth tilt +0–1 percentage points relative to historical trend, with earning lag; do not map 6.1% directly to total growth.</x:v>
      </x:c>
      <x:c r="H6" s="18" t="str">
        <x:v>https://investor.travelers.com/newsroom/press-releases/news-details/2026/Travelers-Reports-Excellent-Fourth-Quarter-and-Full-Year-Results/default.aspx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 ht="100" customHeight="1">
      <x:c r="A7" s="2"/>
      <x:c r="B7" s="2"/>
      <x:c r="C7" s="2" t="str">
        <x:v>TRV02</x:v>
      </x:c>
      <x:c r="D7" s="2" t="str">
        <x:v>2026-01-21</x:v>
      </x:c>
      <x:c r="E7" s="18" t="str">
        <x:v>Net investment income $1.054bn pre-tax, up 10%; company attributes growth to larger average invested assets and higher average long-term fixed-income yield.</x:v>
      </x:c>
      <x:c r="F7" s="18" t="str">
        <x:v>Reinvestment and asset growth support income, but coupons reset over time.</x:v>
      </x:c>
      <x:c r="G7" s="18" t="str">
        <x:v>Investment-income uplift 0–3% relative to history-only if asset growth/reinvestment persists; not an instantaneous policy-rate multiplier.</x:v>
      </x:c>
      <x:c r="H7" s="18" t="str">
        <x:v>https://investor.travelers.com/newsroom/press-releases/news-details/2026/Travelers-Reports-Excellent-Fourth-Quarter-and-Full-Year-Results/default.aspx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100" customHeight="1">
      <x:c r="A8" s="2"/>
      <x:c r="B8" s="2"/>
      <x:c r="C8" s="2" t="str">
        <x:v>TRV03</x:v>
      </x:c>
      <x:c r="D8" s="2" t="str">
        <x:v>2026-03-18</x:v>
      </x:c>
      <x:c r="E8" s="18" t="str">
        <x:v>Federal funds target maintained at 3.50–3.75%.</x:v>
      </x:c>
      <x:c r="F8" s="18" t="str">
        <x:v>Stable short rates support cash yields; long bonds and underwriting float have separate duration/exposure.</x:v>
      </x:c>
      <x:c r="G8" s="18" t="str">
        <x:v>Base immediate yield change zero; sensitivity +/-25bp on reinvested fraction, not whole portfolio. Rate increases can reduce bond fair values/equity while eventually supporting income.</x:v>
      </x:c>
      <x:c r="H8" s="18" t="str">
        <x:v>https://www.federalreserve.gov/newsevents/pressreleases/monetary20260318a.htm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100" customHeight="1">
      <x:c r="A9" s="2"/>
      <x:c r="B9" s="2"/>
      <x:c r="C9" s="2" t="str">
        <x:v>TRV04</x:v>
      </x:c>
      <x:c r="D9" s="2" t="str">
        <x:v>2024-09-07</x:v>
      </x:c>
      <x:c r="E9" s="18" t="str">
        <x:v>Swiss Re estimated US social inflation around 7% in 2023, a twenty-year high.</x:v>
      </x:c>
      <x:c r="F9" s="18" t="str">
        <x:v>Liability claim severity can exceed consumer inflation; stale structural evidence, not a 2026 observation.</x:v>
      </x:c>
      <x:c r="G9" s="18" t="str">
        <x:v>Widen adverse underlying-loss-ratio scenario by +0.5 to +1.5 points; do not add 7% to all claims or assume reserve strengthening.</x:v>
      </x:c>
      <x:c r="H9" s="18" t="str">
        <x:v>https://www.swissre.com/dam/jcr%3A6bc7d3b7-0f42-4209-a01a-e22787b98685/sri-sigma4-2024-litigation-costs-claims-inflation-final.pdf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100" customHeight="1">
      <x:c r="A10" s="2"/>
      <x:c r="B10" s="2"/>
      <x:c r="C10" s="2" t="str">
        <x:v>TRV05</x:v>
      </x:c>
      <x:c r="D10" s="2" t="str">
        <x:v>2026-03-20</x:v>
      </x:c>
      <x:c r="E10" s="18" t="str">
        <x:v>NOAA reported mid-March drought across 55% of continental US and forecast expansion in West/south-central Plains.</x:v>
      </x:c>
      <x:c r="F10" s="18" t="str">
        <x:v>Prospective hazard context does not establish insured loss, Travelers exposure, storm counts or coverage.</x:v>
      </x:c>
      <x:c r="G10" s="18" t="str">
        <x:v>No calibrated central catastrophe adjustment; retain wide historical-seasonal range and stress +3–8 loss-ratio points. This range is illustrative analyst judgment.</x:v>
      </x:c>
      <x:c r="H10" s="18" t="str">
        <x:v>https://www.noaa.gov/news-release/spring-outlook-drought-forecasted-to-expand-in-us-west-parts-of-plains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100" customHeight="1">
      <x:c r="A11" s="2"/>
      <x:c r="B11" s="2"/>
      <x:c r="C11" s="2" t="str">
        <x:v>TRV07</x:v>
      </x:c>
      <x:c r="D11" s="2" t="str">
        <x:v>2026-04-16</x:v>
      </x:c>
      <x:c r="E11" s="18" t="str">
        <x:v>Business renewal premium change 5.8%, retention 86%; consolidated underlying combined ratio 85.3% versus 84.8% a year earlier; personal written premiums -5% excluding Canada sale.</x:v>
      </x:c>
      <x:c r="F11" s="18" t="str">
        <x:v>Renewal deceleration and business mix temper growth despite strong retention.</x:v>
      </x:c>
      <x:c r="G11" s="18" t="str">
        <x:v>Versus refreshed control, earned-premium growth adjustment -1 to 0 points; underlying ratio +0–0.5 points.</x:v>
      </x:c>
      <x:c r="H11" s="18" t="str">
        <x:v>https://investor.travelers.com/newsroom/press-releases/news-details/2026/Travelers-Reports-Excellent-First-Quarter-Results/default.aspx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00" customHeight="1">
      <x:c r="A12" s="2"/>
      <x:c r="B12" s="2"/>
      <x:c r="C12" s="2" t="str">
        <x:v>TRV08</x:v>
      </x:c>
      <x:c r="D12" s="2" t="str">
        <x:v>2026-05-04</x:v>
      </x:c>
      <x:c r="E12" s="18" t="str">
        <x:v>Travelers analysis covered over 1.2m workers compensation claims; injured workers missed 80 workdays on average despite declining injury rates.</x:v>
      </x:c>
      <x:c r="F12" s="18" t="str">
        <x:v>Frequency and severity move differently; evidence supports severity stress, not a certain total claims increase.</x:v>
      </x:c>
      <x:c r="G12" s="18" t="str">
        <x:v>Net underlying-loss-ratio adjustment 0–0.3 points, or widen severity scenario only.</x:v>
      </x:c>
      <x:c r="H12" s="18" t="str">
        <x:v>https://investor.travelers.com/newsroom/press-releases/news-details/2026/Travelers-Injury-Impact-Report-Highlights-Longer-Recovery-Times-Amid-Declining-Injury-Rates/default.aspx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00" customHeight="1">
      <x:c r="A13" s="2"/>
      <x:c r="B13" s="2"/>
      <x:c r="C13" s="2" t="str">
        <x:v>TRV09</x:v>
      </x:c>
      <x:c r="D13" s="2" t="str">
        <x:v>2026-05-13</x:v>
      </x:c>
      <x:c r="E13" s="18" t="str">
        <x:v>Final-demand goods prices +2.0% month-on-month; legal services prices also rose (release narrative).</x:v>
      </x:c>
      <x:c r="F13" s="18" t="str">
        <x:v>Repair/replacement and litigation expenses can increase, with heterogeneous coverage and settlement lags.</x:v>
      </x:c>
      <x:c r="G13" s="18" t="str">
        <x:v>Underlying-loss-ratio downside +0–0.5 points; broad PPI is a weak proxy, not an actuarial severity estimate.</x:v>
      </x:c>
      <x:c r="H13" s="18" t="str">
        <x:v>https://www.bls.gov/news.release/archives/ppi_05132026.htm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00" customHeight="1">
      <x:c r="A14" s="2"/>
      <x:c r="B14" s="2"/>
      <x:c r="C14" s="2" t="str">
        <x:v>TRV10</x:v>
      </x:c>
      <x:c r="D14" s="2" t="str">
        <x:v>2026-04-29</x:v>
      </x:c>
      <x:c r="E14" s="18" t="str">
        <x:v>Federal funds range again maintained at 3.50–3.75%; Fed described inflation as elevated partly due to global energy prices.</x:v>
      </x:c>
      <x:c r="F14" s="18" t="str">
        <x:v>No policy-rate change supports avoiding an invented immediate investment yield shock.</x:v>
      </x:c>
      <x:c r="G14" s="18" t="str">
        <x:v>Incremental base yield adjustment zero versus March; preserve +/-25bp reinvestment sensitivity.</x:v>
      </x:c>
      <x:c r="H14" s="18" t="str">
        <x:v>https://www.federalreserve.gov/newsevents/pressreleases/monetary20260429a.htm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00" customHeight="1">
      <x:c r="A15" s="2"/>
      <x:c r="B15" s="2"/>
      <x:c r="C15" s="2"/>
      <x:c r="D15" s="2"/>
      <x:c r="E15" s="18"/>
      <x:c r="F15" s="18"/>
      <x:c r="G15" s="18"/>
      <x:c r="H15" s="18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FC9A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Historical financial statements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2"/>
      <x:c r="B5" s="2"/>
      <x:c r="C5" s="13" t="str">
        <x:v>Metric</x:v>
      </x:c>
      <x:c r="D5" s="13" t="str">
        <x:v>2024Q1</x:v>
      </x:c>
      <x:c r="E5" s="13" t="str">
        <x:v>2024Q2</x:v>
      </x:c>
      <x:c r="F5" s="13" t="str">
        <x:v>2024Q3</x:v>
      </x:c>
      <x:c r="G5" s="13" t="str">
        <x:v>2024Q4</x:v>
      </x:c>
      <x:c r="H5" s="13" t="str">
        <x:v>2025Q1</x:v>
      </x:c>
      <x:c r="I5" s="13" t="str">
        <x:v>2025Q2</x:v>
      </x:c>
      <x:c r="J5" s="13" t="str">
        <x:v>2025Q3</x:v>
      </x:c>
      <x:c r="K5" s="13" t="str">
        <x:v>2025Q4</x:v>
      </x:c>
      <x:c r="L5" s="13" t="str">
        <x:v>2026Q1</x:v>
      </x:c>
      <x:c r="M5" s="2"/>
      <x:c r="N5" s="2"/>
      <x:c r="O5" s="2"/>
      <x:c r="P5" s="2"/>
      <x:c r="Q5" s="2"/>
    </x:row>
    <x:row r="6" ht="23" customHeight="1">
      <x:c r="A6" s="2"/>
      <x:c r="B6" s="2"/>
      <x:c r="C6" s="2" t="str">
        <x:v>Net Written Premiums</x:v>
      </x:c>
      <x:c r="D6" s="19" t="n">
        <x:v>10182</x:v>
      </x:c>
      <x:c r="E6" s="19" t="n">
        <x:v>11115</x:v>
      </x:c>
      <x:c r="F6" s="19" t="n">
        <x:v>11317</x:v>
      </x:c>
      <x:c r="G6" s="19" t="n">
        <x:v>10742</x:v>
      </x:c>
      <x:c r="H6" s="19" t="n">
        <x:v>10515</x:v>
      </x:c>
      <x:c r="I6" s="19" t="n">
        <x:v>11543</x:v>
      </x:c>
      <x:c r="J6" s="19" t="n">
        <x:v>11473</x:v>
      </x:c>
      <x:c r="K6" s="19" t="n">
        <x:v>10856</x:v>
      </x:c>
      <x:c r="L6" s="19" t="n">
        <x:v>10338</x:v>
      </x:c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Total Revenues</x:v>
      </x:c>
      <x:c r="D7" s="19" t="n">
        <x:v>11228</x:v>
      </x:c>
      <x:c r="E7" s="19" t="n">
        <x:v>11283</x:v>
      </x:c>
      <x:c r="F7" s="19" t="n">
        <x:v>11904</x:v>
      </x:c>
      <x:c r="G7" s="19" t="n">
        <x:v>12008</x:v>
      </x:c>
      <x:c r="H7" s="19" t="n">
        <x:v>11810</x:v>
      </x:c>
      <x:c r="I7" s="19" t="n">
        <x:v>12116</x:v>
      </x:c>
      <x:c r="J7" s="19" t="n">
        <x:v>12470</x:v>
      </x:c>
      <x:c r="K7" s="19" t="n">
        <x:v>12432</x:v>
      </x:c>
      <x:c r="L7" s="19" t="n">
        <x:v>11924</x:v>
      </x:c>
      <x:c r="M7" s="2"/>
      <x:c r="N7" s="2"/>
      <x:c r="O7" s="2"/>
      <x:c r="P7" s="2"/>
      <x:c r="Q7" s="2"/>
    </x:row>
    <x:row r="8" ht="23" customHeight="1">
      <x:c r="A8" s="2"/>
      <x:c r="B8" s="2"/>
      <x:c r="C8" s="2" t="str">
        <x:v>Net Income</x:v>
      </x:c>
      <x:c r="D8" s="19" t="n">
        <x:v>1123</x:v>
      </x:c>
      <x:c r="E8" s="19" t="n">
        <x:v>534</x:v>
      </x:c>
      <x:c r="F8" s="19" t="n">
        <x:v>1260</x:v>
      </x:c>
      <x:c r="G8" s="19" t="n">
        <x:v>2082</x:v>
      </x:c>
      <x:c r="H8" s="19" t="n">
        <x:v>395</x:v>
      </x:c>
      <x:c r="I8" s="19" t="n">
        <x:v>1509</x:v>
      </x:c>
      <x:c r="J8" s="19" t="n">
        <x:v>1888</x:v>
      </x:c>
      <x:c r="K8" s="19" t="n">
        <x:v>2496</x:v>
      </x:c>
      <x:c r="L8" s="19" t="n">
        <x:v>1711</x:v>
      </x:c>
      <x:c r="M8" s="2"/>
      <x:c r="N8" s="2"/>
      <x:c r="O8" s="2"/>
      <x:c r="P8" s="2"/>
      <x:c r="Q8" s="2"/>
    </x:row>
    <x:row r="9" ht="23" customHeight="1">
      <x:c r="A9" s="2"/>
      <x:c r="B9" s="2"/>
      <x:c r="C9" s="2" t="str">
        <x:v>Core Income</x:v>
      </x:c>
      <x:c r="D9" s="19" t="n">
        <x:v>1096</x:v>
      </x:c>
      <x:c r="E9" s="19" t="n">
        <x:v>585</x:v>
      </x:c>
      <x:c r="F9" s="19" t="n">
        <x:v>1218</x:v>
      </x:c>
      <x:c r="G9" s="19" t="n">
        <x:v>2126</x:v>
      </x:c>
      <x:c r="H9" s="19" t="n">
        <x:v>443</x:v>
      </x:c>
      <x:c r="I9" s="19" t="n">
        <x:v>1504</x:v>
      </x:c>
      <x:c r="J9" s="19" t="n">
        <x:v>1867</x:v>
      </x:c>
      <x:c r="K9" s="19" t="n">
        <x:v>2511</x:v>
      </x:c>
      <x:c r="L9" s="19" t="n">
        <x:v>1696</x:v>
      </x:c>
      <x:c r="M9" s="2"/>
      <x:c r="N9" s="2"/>
      <x:c r="O9" s="2"/>
      <x:c r="P9" s="2"/>
      <x:c r="Q9" s="2"/>
    </x:row>
    <x:row r="10" ht="23" customHeight="1">
      <x:c r="A10" s="2"/>
      <x:c r="B10" s="2"/>
      <x:c r="C10" s="2" t="str">
        <x:v>Diluted Shares</x:v>
      </x:c>
      <x:c r="D10" s="20" t="n">
        <x:v>232</x:v>
      </x:c>
      <x:c r="E10" s="20" t="n">
        <x:v>231.5</x:v>
      </x:c>
      <x:c r="F10" s="20" t="n">
        <x:v>230.6</x:v>
      </x:c>
      <x:c r="G10" s="20" t="n">
        <x:v>230.7</x:v>
      </x:c>
      <x:c r="H10" s="20" t="n">
        <x:v>230.4</x:v>
      </x:c>
      <x:c r="I10" s="20" t="n">
        <x:v>229.3</x:v>
      </x:c>
      <x:c r="J10" s="20" t="n">
        <x:v>227.5</x:v>
      </x:c>
      <x:c r="K10" s="20" t="n">
        <x:v>224</x:v>
      </x:c>
      <x:c r="L10" s="20" t="n">
        <x:v>218.4</x:v>
      </x:c>
      <x:c r="M10" s="2"/>
      <x:c r="N10" s="2"/>
      <x:c r="O10" s="2"/>
      <x:c r="P10" s="2"/>
      <x:c r="Q10" s="2"/>
    </x:row>
    <x:row r="11" ht="23" customHeight="1">
      <x:c r="A11" s="2"/>
      <x:c r="B11" s="2"/>
      <x:c r="C11" s="2" t="str">
        <x:v>Combined Ratio</x:v>
      </x:c>
      <x:c r="D11" s="21" t="n">
        <x:v>93.9</x:v>
      </x:c>
      <x:c r="E11" s="21" t="n">
        <x:v>100.2</x:v>
      </x:c>
      <x:c r="F11" s="21" t="n">
        <x:v>93.2</x:v>
      </x:c>
      <x:c r="G11" s="21" t="n">
        <x:v>83.2</x:v>
      </x:c>
      <x:c r="H11" s="21" t="n">
        <x:v>102.5</x:v>
      </x:c>
      <x:c r="I11" s="21" t="n">
        <x:v>90.3</x:v>
      </x:c>
      <x:c r="J11" s="21" t="n">
        <x:v>87.3</x:v>
      </x:c>
      <x:c r="K11" s="21" t="n">
        <x:v>80.2</x:v>
      </x:c>
      <x:c r="L11" s="21" t="n">
        <x:v>88.6</x:v>
      </x:c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Underlying Combined Ratio</x:v>
      </x:c>
      <x:c r="D12" s="21" t="n">
        <x:v>87.7</x:v>
      </x:c>
      <x:c r="E12" s="21" t="n">
        <x:v>87.7</x:v>
      </x:c>
      <x:c r="F12" s="21" t="n">
        <x:v>85.6</x:v>
      </x:c>
      <x:c r="G12" s="21" t="n">
        <x:v>84</x:v>
      </x:c>
      <x:c r="H12" s="21" t="n">
        <x:v>84.8</x:v>
      </x:c>
      <x:c r="I12" s="21" t="n">
        <x:v>84.7</x:v>
      </x:c>
      <x:c r="J12" s="21" t="n">
        <x:v>83.9</x:v>
      </x:c>
      <x:c r="K12" s="21" t="n">
        <x:v>82.2</x:v>
      </x:c>
      <x:c r="L12" s="21" t="n">
        <x:v>85.3</x:v>
      </x:c>
      <x:c r="M12" s="2"/>
      <x:c r="N12" s="2"/>
      <x:c r="O12" s="2"/>
      <x:c r="P12" s="2"/>
      <x:c r="Q12" s="2"/>
    </x:row>
    <x:row r="13" ht="23" customHeight="1">
      <x:c r="A13" s="2"/>
      <x:c r="B13" s="2"/>
      <x:c r="C13" s="2" t="str">
        <x:v>Underwriting Gain</x:v>
      </x:c>
      <x:c r="D13" s="19" t="n">
        <x:v>577</x:v>
      </x:c>
      <x:c r="E13" s="19" t="n">
        <x:v>-65</x:v>
      </x:c>
      <x:c r="F13" s="19" t="n">
        <x:v>685</x:v>
      </x:c>
      <x:c r="G13" s="19" t="n">
        <x:v>1787</x:v>
      </x:c>
      <x:c r="H13" s="19" t="n">
        <x:v>-305</x:v>
      </x:c>
      <x:c r="I13" s="19" t="n">
        <x:v>1022</x:v>
      </x:c>
      <x:c r="J13" s="19" t="n">
        <x:v>1378</x:v>
      </x:c>
      <x:c r="K13" s="19" t="n">
        <x:v>2170</x:v>
      </x:c>
      <x:c r="L13" s="19" t="n">
        <x:v>1173</x:v>
      </x:c>
      <x:c r="M13" s="2"/>
      <x:c r="N13" s="2"/>
      <x:c r="O13" s="2"/>
      <x:c r="P13" s="2"/>
      <x:c r="Q13" s="2"/>
    </x:row>
    <x:row r="14" ht="23" customHeight="1">
      <x:c r="A14" s="2"/>
      <x:c r="B14" s="2"/>
      <x:c r="C14" s="2" t="str">
        <x:v>Favorable Prior Year Development</x:v>
      </x:c>
      <x:c r="D14" s="19" t="n">
        <x:v>91</x:v>
      </x:c>
      <x:c r="E14" s="19" t="n">
        <x:v>230</x:v>
      </x:c>
      <x:c r="F14" s="19" t="n">
        <x:v>126</x:v>
      </x:c>
      <x:c r="G14" s="19" t="n">
        <x:v>262</x:v>
      </x:c>
      <x:c r="H14" s="19" t="n">
        <x:v>378</x:v>
      </x:c>
      <x:c r="I14" s="19" t="n">
        <x:v>315</x:v>
      </x:c>
      <x:c r="J14" s="19" t="n">
        <x:v>22</x:v>
      </x:c>
      <x:c r="K14" s="19" t="n">
        <x:v>321</x:v>
      </x:c>
      <x:c r="L14" s="19" t="n">
        <x:v>413</x:v>
      </x:c>
      <x:c r="M14" s="2"/>
      <x:c r="N14" s="2"/>
      <x:c r="O14" s="2"/>
      <x:c r="P14" s="2"/>
      <x:c r="Q14" s="2"/>
    </x:row>
    <x:row r="15" ht="23" customHeight="1">
      <x:c r="A15" s="2"/>
      <x:c r="B15" s="2"/>
      <x:c r="C15" s="2" t="str">
        <x:v>Catastrophe Losses Signed</x:v>
      </x:c>
      <x:c r="D15" s="19" t="n">
        <x:v>-712</x:v>
      </x:c>
      <x:c r="E15" s="19" t="n">
        <x:v>-1509</x:v>
      </x:c>
      <x:c r="F15" s="19" t="n">
        <x:v>-939</x:v>
      </x:c>
      <x:c r="G15" s="19" t="n">
        <x:v>-175</x:v>
      </x:c>
      <x:c r="H15" s="19" t="n">
        <x:v>-2266</x:v>
      </x:c>
      <x:c r="I15" s="19" t="n">
        <x:v>-927</x:v>
      </x:c>
      <x:c r="J15" s="19" t="n">
        <x:v>-402</x:v>
      </x:c>
      <x:c r="K15" s="19" t="n">
        <x:v>-95</x:v>
      </x:c>
      <x:c r="L15" s="19" t="n">
        <x:v>-761</x:v>
      </x:c>
      <x:c r="M15" s="2"/>
      <x:c r="N15" s="2"/>
      <x:c r="O15" s="2"/>
      <x:c r="P15" s="2"/>
      <x:c r="Q15" s="2"/>
    </x:row>
    <x:row r="16" ht="23" customHeight="1">
      <x:c r="A16" s="2"/>
      <x:c r="B16" s="2"/>
      <x:c r="C16" s="2" t="str">
        <x:v>Investment Income Pretax</x:v>
      </x:c>
      <x:c r="D16" s="19" t="n">
        <x:v>846</x:v>
      </x:c>
      <x:c r="E16" s="19" t="n">
        <x:v>885</x:v>
      </x:c>
      <x:c r="F16" s="19" t="n">
        <x:v>904</x:v>
      </x:c>
      <x:c r="G16" s="19" t="n">
        <x:v>955</x:v>
      </x:c>
      <x:c r="H16" s="19" t="n">
        <x:v>930</x:v>
      </x:c>
      <x:c r="I16" s="19" t="n">
        <x:v>942</x:v>
      </x:c>
      <x:c r="J16" s="19" t="n">
        <x:v>1033</x:v>
      </x:c>
      <x:c r="K16" s="19" t="n">
        <x:v>1054</x:v>
      </x:c>
      <x:c r="L16" s="19" t="n">
        <x:v>1008</x:v>
      </x:c>
      <x:c r="M16" s="2"/>
      <x:c r="N16" s="2"/>
      <x:c r="O16" s="2"/>
      <x:c r="P16" s="2"/>
      <x:c r="Q16" s="2"/>
    </x:row>
    <x:row r="17" ht="23" customHeight="1">
      <x:c r="A17" s="2"/>
      <x:c r="B17" s="2"/>
      <x:c r="C17" s="2" t="str">
        <x:v>Other Income Including Interest</x:v>
      </x:c>
      <x:c r="D17" s="19" t="n">
        <x:v>-88</x:v>
      </x:c>
      <x:c r="E17" s="19" t="n">
        <x:v>-99</x:v>
      </x:c>
      <x:c r="F17" s="19" t="n">
        <x:v>-84</x:v>
      </x:c>
      <x:c r="G17" s="19" t="n">
        <x:v>-93</x:v>
      </x:c>
      <x:c r="H17" s="19" t="n">
        <x:v>-96</x:v>
      </x:c>
      <x:c r="I17" s="19" t="n">
        <x:v>-89</x:v>
      </x:c>
      <x:c r="J17" s="19" t="n">
        <x:v>-94</x:v>
      </x:c>
      <x:c r="K17" s="19" t="n">
        <x:v>-101</x:v>
      </x:c>
      <x:c r="L17" s="19" t="n">
        <x:v>-111</x:v>
      </x:c>
      <x:c r="M17" s="2"/>
      <x:c r="N17" s="2"/>
      <x:c r="O17" s="2"/>
      <x:c r="P17" s="2"/>
      <x:c r="Q17" s="2"/>
    </x:row>
    <x:row r="18" ht="23" customHeight="1">
      <x:c r="A18" s="2"/>
      <x:c r="B18" s="2"/>
      <x:c r="C18" s="2" t="str">
        <x:v>Core Pretax Income</x:v>
      </x:c>
      <x:c r="D18" s="19" t="n">
        <x:v>1335</x:v>
      </x:c>
      <x:c r="E18" s="19" t="n">
        <x:v>721</x:v>
      </x:c>
      <x:c r="F18" s="19" t="n">
        <x:v>1505</x:v>
      </x:c>
      <x:c r="G18" s="19" t="n">
        <x:v>2649</x:v>
      </x:c>
      <x:c r="H18" s="19" t="n">
        <x:v>529</x:v>
      </x:c>
      <x:c r="I18" s="19" t="n">
        <x:v>1875</x:v>
      </x:c>
      <x:c r="J18" s="19" t="n">
        <x:v>2317</x:v>
      </x:c>
      <x:c r="K18" s="19" t="n">
        <x:v>3123</x:v>
      </x:c>
      <x:c r="L18" s="19" t="n">
        <x:v>2070</x:v>
      </x:c>
      <x:c r="M18" s="2"/>
      <x:c r="N18" s="2"/>
      <x:c r="O18" s="2"/>
      <x:c r="P18" s="2"/>
      <x:c r="Q18" s="2"/>
    </x:row>
    <x:row r="19" ht="23" customHeight="1">
      <x:c r="A19" s="2"/>
      <x:c r="B19" s="2"/>
      <x:c r="C19" s="2" t="str">
        <x:v>Core Income Tax</x:v>
      </x:c>
      <x:c r="D19" s="19" t="n">
        <x:v>239</x:v>
      </x:c>
      <x:c r="E19" s="19" t="n">
        <x:v>136</x:v>
      </x:c>
      <x:c r="F19" s="19" t="n">
        <x:v>287</x:v>
      </x:c>
      <x:c r="G19" s="19" t="n">
        <x:v>523</x:v>
      </x:c>
      <x:c r="H19" s="19" t="n">
        <x:v>86</x:v>
      </x:c>
      <x:c r="I19" s="19" t="n">
        <x:v>371</x:v>
      </x:c>
      <x:c r="J19" s="19" t="n">
        <x:v>450</x:v>
      </x:c>
      <x:c r="K19" s="19" t="n">
        <x:v>612</x:v>
      </x:c>
      <x:c r="L19" s="19" t="n">
        <x:v>374</x:v>
      </x:c>
      <x:c r="M19" s="2"/>
      <x:c r="N19" s="2"/>
      <x:c r="O19" s="2"/>
      <x:c r="P19" s="2"/>
      <x:c r="Q19" s="2"/>
    </x:row>
    <x:row r="20" ht="23" customHeight="1">
      <x:c r="A20" s="2"/>
      <x:c r="B20" s="2"/>
      <x:c r="C20" s="2" t="str">
        <x:v>Realized Gains Aftertax</x:v>
      </x:c>
      <x:c r="D20" s="19" t="n">
        <x:v>27</x:v>
      </x:c>
      <x:c r="E20" s="19" t="n">
        <x:v>-51</x:v>
      </x:c>
      <x:c r="F20" s="19" t="n">
        <x:v>42</x:v>
      </x:c>
      <x:c r="G20" s="19" t="n">
        <x:v>-44</x:v>
      </x:c>
      <x:c r="H20" s="19" t="n">
        <x:v>-48</x:v>
      </x:c>
      <x:c r="I20" s="19" t="n">
        <x:v>5</x:v>
      </x:c>
      <x:c r="J20" s="19" t="n">
        <x:v>21</x:v>
      </x:c>
      <x:c r="K20" s="19" t="n">
        <x:v>-15</x:v>
      </x:c>
      <x:c r="L20" s="19" t="n">
        <x:v>15</x:v>
      </x:c>
      <x:c r="M20" s="2"/>
      <x:c r="N20" s="2"/>
      <x:c r="O20" s="2"/>
      <x:c r="P20" s="2"/>
      <x:c r="Q20" s="2"/>
    </x:row>
    <x:row r="21" ht="23" customHeight="1">
      <x:c r="A21" s="2"/>
      <x:c r="B21" s="2"/>
      <x:c r="C21" s="2" t="str">
        <x:v>Claims Expenses</x:v>
      </x:c>
      <x:c r="D21" s="19" t="n">
        <x:v>6656</x:v>
      </x:c>
      <x:c r="E21" s="19" t="n">
        <x:v>7373</x:v>
      </x:c>
      <x:c r="F21" s="19" t="n">
        <x:v>6996</x:v>
      </x:c>
      <x:c r="G21" s="19" t="n">
        <x:v>6034</x:v>
      </x:c>
      <x:c r="H21" s="19" t="n">
        <x:v>8006</x:v>
      </x:c>
      <x:c r="I21" s="19" t="n">
        <x:v>6789</x:v>
      </x:c>
      <x:c r="J21" s="19" t="n">
        <x:v>6594</x:v>
      </x:c>
      <x:c r="K21" s="19" t="n">
        <x:v>5832</x:v>
      </x:c>
      <x:c r="L21" s="19" t="n">
        <x:v>6382</x:v>
      </x:c>
      <x:c r="M21" s="2"/>
      <x:c r="N21" s="2"/>
      <x:c r="O21" s="2"/>
      <x:c r="P21" s="2"/>
      <x:c r="Q21" s="2"/>
    </x:row>
    <x:row r="22" ht="23" customHeight="1">
      <x:c r="A22" s="2"/>
      <x:c r="B22" s="2"/>
      <x:c r="C22" s="2" t="str">
        <x:v>Policyholder Dividends</x:v>
      </x:c>
      <x:c r="D22" s="19" t="n">
        <x:v>12</x:v>
      </x:c>
      <x:c r="E22" s="19" t="n">
        <x:v>12</x:v>
      </x:c>
      <x:c r="F22" s="19" t="n">
        <x:v>12</x:v>
      </x:c>
      <x:c r="G22" s="19" t="n">
        <x:v>11</x:v>
      </x:c>
      <x:c r="H22" s="19" t="n">
        <x:v>13</x:v>
      </x:c>
      <x:c r="I22" s="19" t="n">
        <x:v>10</x:v>
      </x:c>
      <x:c r="J22" s="19" t="n">
        <x:v>12</x:v>
      </x:c>
      <x:c r="K22" s="19" t="n">
        <x:v>10</x:v>
      </x:c>
      <x:c r="L22" s="19" t="n">
        <x:v>12</x:v>
      </x:c>
      <x:c r="M22" s="2"/>
      <x:c r="N22" s="2"/>
      <x:c r="O22" s="2"/>
      <x:c r="P22" s="2"/>
      <x:c r="Q22" s="2"/>
    </x:row>
    <x:row r="23" ht="23" customHeight="1">
      <x:c r="A23" s="2"/>
      <x:c r="B23" s="2"/>
      <x:c r="C23" s="2" t="str">
        <x:v>Loss Allocated Fee Income</x:v>
      </x:c>
      <x:c r="D23" s="19" t="n">
        <x:v>39</x:v>
      </x:c>
      <x:c r="E23" s="19" t="n">
        <x:v>42</x:v>
      </x:c>
      <x:c r="F23" s="19" t="n">
        <x:v>44</x:v>
      </x:c>
      <x:c r="G23" s="19" t="n">
        <x:v>47</x:v>
      </x:c>
      <x:c r="H23" s="19" t="n">
        <x:v>45</x:v>
      </x:c>
      <x:c r="I23" s="19" t="n">
        <x:v>45</x:v>
      </x:c>
      <x:c r="J23" s="19" t="n">
        <x:v>48</x:v>
      </x:c>
      <x:c r="K23" s="19" t="n">
        <x:v>48</x:v>
      </x:c>
      <x:c r="L23" s="19" t="n">
        <x:v>48</x:v>
      </x:c>
      <x:c r="M23" s="2"/>
      <x:c r="N23" s="2"/>
      <x:c r="O23" s="2"/>
      <x:c r="P23" s="2"/>
      <x:c r="Q23" s="2"/>
    </x:row>
    <x:row r="24" ht="23" customHeight="1">
      <x:c r="A24" s="2"/>
      <x:c r="B24" s="2"/>
      <x:c r="C24" s="2" t="str">
        <x:v>Loss Ratio Numerator</x:v>
      </x:c>
      <x:c r="D24" s="19" t="n">
        <x:v>6605</x:v>
      </x:c>
      <x:c r="E24" s="19" t="n">
        <x:v>7319</x:v>
      </x:c>
      <x:c r="F24" s="19" t="n">
        <x:v>6940</x:v>
      </x:c>
      <x:c r="G24" s="19" t="n">
        <x:v>5976</x:v>
      </x:c>
      <x:c r="H24" s="19" t="n">
        <x:v>7948</x:v>
      </x:c>
      <x:c r="I24" s="19" t="n">
        <x:v>6734</x:v>
      </x:c>
      <x:c r="J24" s="19" t="n">
        <x:v>6534</x:v>
      </x:c>
      <x:c r="K24" s="19" t="n">
        <x:v>5774</x:v>
      </x:c>
      <x:c r="L24" s="19" t="n">
        <x:v>6322</x:v>
      </x:c>
      <x:c r="M24" s="2"/>
      <x:c r="N24" s="2"/>
      <x:c r="O24" s="2"/>
      <x:c r="P24" s="2"/>
      <x:c r="Q24" s="2"/>
    </x:row>
    <x:row r="25" ht="23" customHeight="1">
      <x:c r="A25" s="2"/>
      <x:c r="B25" s="2"/>
      <x:c r="C25" s="2" t="str">
        <x:v>Deferred Acquisition Amortization</x:v>
      </x:c>
      <x:c r="D25" s="19" t="n">
        <x:v>1698</x:v>
      </x:c>
      <x:c r="E25" s="19" t="n">
        <x:v>1678</x:v>
      </x:c>
      <x:c r="F25" s="19" t="n">
        <x:v>1790</x:v>
      </x:c>
      <x:c r="G25" s="19" t="n">
        <x:v>1807</x:v>
      </x:c>
      <x:c r="H25" s="19" t="n">
        <x:v>1778</x:v>
      </x:c>
      <x:c r="I25" s="19" t="n">
        <x:v>1802</x:v>
      </x:c>
      <x:c r="J25" s="19" t="n">
        <x:v>1849</x:v>
      </x:c>
      <x:c r="K25" s="19" t="n">
        <x:v>1837</x:v>
      </x:c>
      <x:c r="L25" s="19" t="n">
        <x:v>1766</x:v>
      </x:c>
      <x:c r="M25" s="2"/>
      <x:c r="N25" s="2"/>
      <x:c r="O25" s="2"/>
      <x:c r="P25" s="2"/>
      <x:c r="Q25" s="2"/>
    </x:row>
    <x:row r="26" ht="23" customHeight="1">
      <x:c r="A26" s="2"/>
      <x:c r="B26" s="2"/>
      <x:c r="C26" s="2" t="str">
        <x:v>General Admin Expenses</x:v>
      </x:c>
      <x:c r="D26" s="19" t="n">
        <x:v>1406</x:v>
      </x:c>
      <x:c r="E26" s="19" t="n">
        <x:v>1478</x:v>
      </x:c>
      <x:c r="F26" s="19" t="n">
        <x:v>1460</x:v>
      </x:c>
      <x:c r="G26" s="19" t="n">
        <x:v>1475</x:v>
      </x:c>
      <x:c r="H26" s="19" t="n">
        <x:v>1459</x:v>
      </x:c>
      <x:c r="I26" s="19" t="n">
        <x:v>1545</x:v>
      </x:c>
      <x:c r="J26" s="19" t="n">
        <x:v>1572</x:v>
      </x:c>
      <x:c r="K26" s="19" t="n">
        <x:v>1544</x:v>
      </x:c>
      <x:c r="L26" s="19" t="n">
        <x:v>1541</x:v>
      </x:c>
      <x:c r="M26" s="2"/>
      <x:c r="N26" s="2"/>
      <x:c r="O26" s="2"/>
      <x:c r="P26" s="2"/>
      <x:c r="Q26" s="2"/>
    </x:row>
    <x:row r="27" ht="23" customHeight="1">
      <x:c r="A27" s="2"/>
      <x:c r="B27" s="2"/>
      <x:c r="C27" s="2" t="str">
        <x:v>Noninsurance General Admin</x:v>
      </x:c>
      <x:c r="D27" s="19" t="n">
        <x:v>102</x:v>
      </x:c>
      <x:c r="E27" s="19" t="n">
        <x:v>106</x:v>
      </x:c>
      <x:c r="F27" s="19" t="n">
        <x:v>106</x:v>
      </x:c>
      <x:c r="G27" s="19" t="n">
        <x:v>107</x:v>
      </x:c>
      <x:c r="H27" s="19" t="n">
        <x:v>109</x:v>
      </x:c>
      <x:c r="I27" s="19" t="n">
        <x:v>113</x:v>
      </x:c>
      <x:c r="J27" s="19" t="n">
        <x:v>131</x:v>
      </x:c>
      <x:c r="K27" s="19" t="n">
        <x:v>110</x:v>
      </x:c>
      <x:c r="L27" s="19" t="n">
        <x:v>136</x:v>
      </x:c>
      <x:c r="M27" s="2"/>
      <x:c r="N27" s="2"/>
      <x:c r="O27" s="2"/>
      <x:c r="P27" s="2"/>
      <x:c r="Q27" s="2"/>
    </x:row>
    <x:row r="28" ht="23" customHeight="1">
      <x:c r="A28" s="2"/>
      <x:c r="B28" s="2"/>
      <x:c r="C28" s="2" t="str">
        <x:v>Expense Allocated Fee Income</x:v>
      </x:c>
      <x:c r="D28" s="19" t="n">
        <x:v>70</x:v>
      </x:c>
      <x:c r="E28" s="19" t="n">
        <x:v>73</x:v>
      </x:c>
      <x:c r="F28" s="19" t="n">
        <x:v>77</x:v>
      </x:c>
      <x:c r="G28" s="19" t="n">
        <x:v>81</x:v>
      </x:c>
      <x:c r="H28" s="19" t="n">
        <x:v>74</x:v>
      </x:c>
      <x:c r="I28" s="19" t="n">
        <x:v>79</x:v>
      </x:c>
      <x:c r="J28" s="19" t="n">
        <x:v>79</x:v>
      </x:c>
      <x:c r="K28" s="19" t="n">
        <x:v>77</x:v>
      </x:c>
      <x:c r="L28" s="19" t="n">
        <x:v>73</x:v>
      </x:c>
      <x:c r="M28" s="2"/>
      <x:c r="N28" s="2"/>
      <x:c r="O28" s="2"/>
      <x:c r="P28" s="2"/>
      <x:c r="Q28" s="2"/>
    </x:row>
    <x:row r="29" ht="23" customHeight="1">
      <x:c r="A29" s="2"/>
      <x:c r="B29" s="2"/>
      <x:c r="C29" s="2" t="str">
        <x:v>Billing Policy Fees</x:v>
      </x:c>
      <x:c r="D29" s="19" t="n">
        <x:v>30</x:v>
      </x:c>
      <x:c r="E29" s="19" t="n">
        <x:v>30</x:v>
      </x:c>
      <x:c r="F29" s="19" t="n">
        <x:v>28</x:v>
      </x:c>
      <x:c r="G29" s="19" t="n">
        <x:v>28</x:v>
      </x:c>
      <x:c r="H29" s="19" t="n">
        <x:v>28</x:v>
      </x:c>
      <x:c r="I29" s="19" t="n">
        <x:v>29</x:v>
      </x:c>
      <x:c r="J29" s="19" t="n">
        <x:v>28</x:v>
      </x:c>
      <x:c r="K29" s="19" t="n">
        <x:v>28</x:v>
      </x:c>
      <x:c r="L29" s="19" t="n">
        <x:v>25</x:v>
      </x:c>
      <x:c r="M29" s="2"/>
      <x:c r="N29" s="2"/>
      <x:c r="O29" s="2"/>
      <x:c r="P29" s="2"/>
      <x:c r="Q29" s="2"/>
    </x:row>
    <x:row r="30" ht="23" customHeight="1">
      <x:c r="A30" s="2"/>
      <x:c r="B30" s="2"/>
      <x:c r="C30" s="2" t="str">
        <x:v>Expense Ratio Numerator</x:v>
      </x:c>
      <x:c r="D30" s="19" t="n">
        <x:v>2902</x:v>
      </x:c>
      <x:c r="E30" s="19" t="n">
        <x:v>2947</x:v>
      </x:c>
      <x:c r="F30" s="19" t="n">
        <x:v>3039</x:v>
      </x:c>
      <x:c r="G30" s="19" t="n">
        <x:v>3066</x:v>
      </x:c>
      <x:c r="H30" s="19" t="n">
        <x:v>3026</x:v>
      </x:c>
      <x:c r="I30" s="19" t="n">
        <x:v>3126</x:v>
      </x:c>
      <x:c r="J30" s="19" t="n">
        <x:v>3183</x:v>
      </x:c>
      <x:c r="K30" s="19" t="n">
        <x:v>3166</x:v>
      </x:c>
      <x:c r="L30" s="19" t="n">
        <x:v>3073</x:v>
      </x:c>
      <x:c r="M30" s="2"/>
      <x:c r="N30" s="2"/>
      <x:c r="O30" s="2"/>
      <x:c r="P30" s="2"/>
      <x:c r="Q30" s="2"/>
    </x:row>
    <x:row r="31" ht="23" customHeight="1">
      <x:c r="A31" s="2"/>
      <x:c r="B31" s="2"/>
      <x:c r="C31" s="2" t="str">
        <x:v>Net Earned Premiums</x:v>
      </x:c>
      <x:c r="D31" s="19" t="n">
        <x:v>10126</x:v>
      </x:c>
      <x:c r="E31" s="19" t="n">
        <x:v>10243</x:v>
      </x:c>
      <x:c r="F31" s="19" t="n">
        <x:v>10704</x:v>
      </x:c>
      <x:c r="G31" s="19" t="n">
        <x:v>10868</x:v>
      </x:c>
      <x:c r="H31" s="19" t="n">
        <x:v>10710</x:v>
      </x:c>
      <x:c r="I31" s="19" t="n">
        <x:v>10921</x:v>
      </x:c>
      <x:c r="J31" s="19" t="n">
        <x:v>11135</x:v>
      </x:c>
      <x:c r="K31" s="19" t="n">
        <x:v>11148</x:v>
      </x:c>
      <x:c r="L31" s="19" t="n">
        <x:v>10605</x:v>
      </x:c>
      <x:c r="M31" s="2"/>
      <x:c r="N31" s="2"/>
      <x:c r="O31" s="2"/>
      <x:c r="P31" s="2"/>
      <x:c r="Q31" s="2"/>
    </x:row>
    <x:row r="32" ht="23" customHeight="1">
      <x:c r="A32" s="2"/>
      <x:c r="B32" s="2"/>
      <x:c r="C32" s="2" t="str">
        <x:v>Loss Ratio</x:v>
      </x:c>
      <x:c r="D32" s="21" t="n">
        <x:v>65.2</x:v>
      </x:c>
      <x:c r="E32" s="21" t="n">
        <x:v>71.4</x:v>
      </x:c>
      <x:c r="F32" s="21" t="n">
        <x:v>64.8</x:v>
      </x:c>
      <x:c r="G32" s="21" t="n">
        <x:v>55</x:v>
      </x:c>
      <x:c r="H32" s="21" t="n">
        <x:v>74.2</x:v>
      </x:c>
      <x:c r="I32" s="21" t="n">
        <x:v>61.7</x:v>
      </x:c>
      <x:c r="J32" s="21" t="n">
        <x:v>58.7</x:v>
      </x:c>
      <x:c r="K32" s="21" t="n">
        <x:v>51.8</x:v>
      </x:c>
      <x:c r="L32" s="21" t="n">
        <x:v>59.6</x:v>
      </x:c>
      <x:c r="M32" s="2"/>
      <x:c r="N32" s="2"/>
      <x:c r="O32" s="2"/>
      <x:c r="P32" s="2"/>
      <x:c r="Q32" s="2"/>
    </x:row>
    <x:row r="33" ht="23" customHeight="1">
      <x:c r="A33" s="2"/>
      <x:c r="B33" s="2"/>
      <x:c r="C33" s="2" t="str">
        <x:v>Expense Ratio</x:v>
      </x:c>
      <x:c r="D33" s="21" t="n">
        <x:v>28.7</x:v>
      </x:c>
      <x:c r="E33" s="21" t="n">
        <x:v>28.8</x:v>
      </x:c>
      <x:c r="F33" s="21" t="n">
        <x:v>28.4</x:v>
      </x:c>
      <x:c r="G33" s="21" t="n">
        <x:v>28.2</x:v>
      </x:c>
      <x:c r="H33" s="21" t="n">
        <x:v>28.3</x:v>
      </x:c>
      <x:c r="I33" s="21" t="n">
        <x:v>28.6</x:v>
      </x:c>
      <x:c r="J33" s="21" t="n">
        <x:v>28.6</x:v>
      </x:c>
      <x:c r="K33" s="21" t="n">
        <x:v>28.4</x:v>
      </x:c>
      <x:c r="L33" s="21" t="n">
        <x:v>29</x:v>
      </x:c>
      <x:c r="M33" s="2"/>
      <x:c r="N33" s="2"/>
      <x:c r="O33" s="2"/>
      <x:c r="P33" s="2"/>
      <x:c r="Q33" s="2"/>
    </x:row>
    <x:row r="34" ht="23" customHeight="1">
      <x:c r="A34" s="2"/>
      <x:c r="B34" s="2"/>
      <x:c r="C34" s="2" t="str">
        <x:v>Operating Cash Flow</x:v>
      </x:c>
      <x:c r="D34" s="19" t="n">
        <x:v>1458</x:v>
      </x:c>
      <x:c r="E34" s="19" t="n">
        <x:v>1677</x:v>
      </x:c>
      <x:c r="F34" s="19" t="n">
        <x:v>3875</x:v>
      </x:c>
      <x:c r="G34" s="19" t="n">
        <x:v>2064</x:v>
      </x:c>
      <x:c r="H34" s="19" t="n">
        <x:v>1360</x:v>
      </x:c>
      <x:c r="I34" s="19" t="n">
        <x:v>2334</x:v>
      </x:c>
      <x:c r="J34" s="19" t="n">
        <x:v>4227</x:v>
      </x:c>
      <x:c r="K34" s="19" t="n">
        <x:v>2685</x:v>
      </x:c>
      <x:c r="L34" s="19" t="n">
        <x:v>2198</x:v>
      </x:c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8" hidden="0" customWidth="1"/>
    <x:col min="5" max="5" width="18" hidden="0" customWidth="1"/>
    <x:col min="6" max="6" width="9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3" t="str">
        <x:v>TRV | Sources and 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2"/>
      <x:c r="B5" s="2"/>
      <x:c r="C5" s="13" t="str">
        <x:v>Source</x:v>
      </x:c>
      <x:c r="D5" s="13" t="str">
        <x:v>Published</x:v>
      </x:c>
      <x:c r="E5" s="13" t="str">
        <x:v>Latest period covered</x:v>
      </x:c>
      <x:c r="F5" s="13" t="str">
        <x:v>Official release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/>
      <x:c r="C6" s="2" t="str">
        <x:v>trv_2025q1</x:v>
      </x:c>
      <x:c r="D6" s="2" t="str">
        <x:v>2025-04-16</x:v>
      </x:c>
      <x:c r="E6" s="2" t="str">
        <x:v>2025-03-31</x:v>
      </x:c>
      <x:c r="F6" s="2" t="str">
        <x:v>https://investor.travelers.com/newsroom/press-releases/news-details/2025/Travelers-Reports-First-Quarter-Net-Income-of-395-Million-and-Core-Income-of-443-Million/default.aspx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/>
      <x:c r="C7" s="2" t="str">
        <x:v>trv_2025q4_supplement</x:v>
      </x:c>
      <x:c r="D7" s="2" t="str">
        <x:v>2026-01-21</x:v>
      </x:c>
      <x:c r="E7" s="2" t="str">
        <x:v>2025-12-31</x:v>
      </x:c>
      <x:c r="F7" s="2" t="str">
        <x:v>https://www.sec.gov/Archives/edgar/data/86312/000008631226000008/a992finsupp123125.htm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/>
      <x:c r="C8" s="2" t="str">
        <x:v>trv_2025q2</x:v>
      </x:c>
      <x:c r="D8" s="2" t="str">
        <x:v>2025-07-17</x:v>
      </x:c>
      <x:c r="E8" s="2" t="str">
        <x:v>2025-06-30</x:v>
      </x:c>
      <x:c r="F8" s="2" t="str">
        <x:v>https://investor.travelers.com/newsroom/press-releases/news-details/2025/Travelers-Reports-Excellent-Second-Quarter-and-Year-to-Date-Results/default.aspx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 t="str">
        <x:v>trv_2025q3</x:v>
      </x:c>
      <x:c r="D9" s="2" t="str">
        <x:v>2025-10-16</x:v>
      </x:c>
      <x:c r="E9" s="2" t="str">
        <x:v>2025-09-30</x:v>
      </x:c>
      <x:c r="F9" s="2" t="str">
        <x:v>https://investor.travelers.com/newsroom/press-releases/news-details/2025/Travelers-Reports-Excellent-Third-Quarter-and-Year-to-Date-Results/default.aspx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 t="str">
        <x:v>trv_2025q4</x:v>
      </x:c>
      <x:c r="D10" s="2" t="str">
        <x:v>2026-01-21</x:v>
      </x:c>
      <x:c r="E10" s="2" t="str">
        <x:v>2025-12-31</x:v>
      </x:c>
      <x:c r="F10" s="2" t="str">
        <x:v>https://investor.travelers.com/newsroom/press-releases/news-details/2026/Travelers-Reports-Excellent-Fourth-Quarter-and-Full-Year-Results/default.aspx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 t="str">
        <x:v>trv_2026q1</x:v>
      </x:c>
      <x:c r="D11" s="2" t="str">
        <x:v>2026-04-16</x:v>
      </x:c>
      <x:c r="E11" s="2" t="str">
        <x:v>2026-03-31</x:v>
      </x:c>
      <x:c r="F11" s="2" t="str">
        <x:v>https://investor.travelers.com/newsroom/press-releases/news-details/2026/Travelers-Reports-Excellent-First-Quarter-Results/default.aspx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 t="str">
        <x:v>trv_2026q1_supplement</x:v>
      </x:c>
      <x:c r="D12" s="2" t="str">
        <x:v>2026-04-16</x:v>
      </x:c>
      <x:c r="E12" s="2" t="str">
        <x:v>2026-03-31</x:v>
      </x:c>
      <x:c r="F12" s="2" t="str">
        <x:v>https://www.sec.gov/Archives/edgar/data/86312/000008631226000110/a992finsupp33126.htm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40" customHeight="1">
      <x:c r="A19" s="2"/>
      <x:c r="B19" s="2"/>
      <x:c r="C19" s="13" t="str">
        <x:v>Check</x:v>
      </x:c>
      <x:c r="D19" s="13" t="str">
        <x:v>Difference</x:v>
      </x:c>
      <x:c r="E19" s="13" t="str">
        <x:v>Tolerance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 t="str">
        <x:v>Initial May base model vs frozen engine</x:v>
      </x:c>
      <x:c r="D20" s="28" t="n">
        <x:f>'Scenario Model'!D15-1435.5016956</x:f>
        <x:v>0</x:v>
      </x:c>
      <x:c r="E20" s="29" t="n">
        <x:v>0.000001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 t="str">
        <x:v>This comparison changes when you edit assumptions; it checks the supplied initial model only.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 t="str">
        <x:v>Source values are USD millions unless labelled per share, ratio or shares.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 t="str">
        <x:v>Each historical value retains a source mapping in the accompanying CSV.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conditionalFormatting sqref="D20:D20">
    <x:cfRule type="expression" dxfId="6" priority="1">
      <x:formula>ABS(D20)&gt;E20</x:formula>
    </x:cfRule>
  </x:conditionalFormatting>
  <x:pageMargins left="0.7" right="0.7" top="0.75" bottom="0.75" header="0.3" footer="0.3"/>
</x:worksheet>
</file>