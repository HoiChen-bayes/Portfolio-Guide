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2d22ad417546ac" /></Relationships>
</file>

<file path=xl/workbook.xml><?xml version="1.0" encoding="utf-8"?>
<x:workbook xmlns:x="http://schemas.openxmlformats.org/spreadsheetml/2006/main">
  <x:sheets>
    <x:sheet xmlns:r="http://schemas.openxmlformats.org/officeDocument/2006/relationships" name="Summary" sheetId="1" r:id="R40c7aab251b64ebf"/>
    <x:sheet xmlns:r="http://schemas.openxmlformats.org/officeDocument/2006/relationships" name="Financial Health" sheetId="2" r:id="R493b9b7ef2b3486c"/>
    <x:sheet xmlns:r="http://schemas.openxmlformats.org/officeDocument/2006/relationships" name="Scenario Model" sheetId="3" r:id="Rff50b6242e384c04"/>
    <x:sheet xmlns:r="http://schemas.openxmlformats.org/officeDocument/2006/relationships" name="Assumptions" sheetId="4" r:id="R71c6267952524f75"/>
    <x:sheet xmlns:r="http://schemas.openxmlformats.org/officeDocument/2006/relationships" name="Forecast Comparison" sheetId="5" r:id="R0ccc2be503d946d3"/>
    <x:sheet xmlns:r="http://schemas.openxmlformats.org/officeDocument/2006/relationships" name="Variance Drivers" sheetId="6" r:id="R18ed5bd7cd424d69"/>
    <x:sheet xmlns:r="http://schemas.openxmlformats.org/officeDocument/2006/relationships" name="Research Changes" sheetId="7" r:id="R43e9f32f0ffb437c"/>
    <x:sheet xmlns:r="http://schemas.openxmlformats.org/officeDocument/2006/relationships" name="Market Evidence" sheetId="8" r:id="R017f6baa7c9544f5"/>
    <x:sheet xmlns:r="http://schemas.openxmlformats.org/officeDocument/2006/relationships" name="Historical Financials" sheetId="9" r:id="R870aa673ba814478"/>
    <x:sheet xmlns:r="http://schemas.openxmlformats.org/officeDocument/2006/relationships" name="Sources and Checks" sheetId="10" r:id="Rddbf4195f9c1433f"/>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0%);&quot;–&quot;"/>
    <x:numFmt numFmtId="201" formatCode="$#,##0.0&quot;M&quot;;($#,##0.0&quot;M&quot;);&quot;–&quot;"/>
    <x:numFmt numFmtId="202" formatCode="#,##0.0"/>
    <x:numFmt numFmtId="203" formatCode="0.0&quot;%&quot;"/>
    <x:numFmt numFmtId="204" formatCode="$0.00"/>
    <x:numFmt numFmtId="205" formatCode="0.0&quot; pp&quot;;(0.0&quot; pp&quot;);&quot;–&quot;"/>
    <x:numFmt numFmtId="206" formatCode="0.000000"/>
  </x:numFmts>
  <x:fonts count="7">
    <x:font>
      <x:sz val="11"/>
      <x:name val="Carlito"/>
    </x:font>
    <x:font>
      <x:sz val="12"/>
      <x:name val="Arial"/>
    </x:font>
    <x:font>
      <x:b/>
      <x:sz val="18"/>
      <x:color rgb="FF003DA5"/>
      <x:name val="Arial"/>
    </x:font>
    <x:font>
      <x:sz val="12"/>
      <x:color rgb="FF0000FF"/>
      <x:name val="Arial"/>
    </x:font>
    <x:font>
      <x:sz val="12"/>
      <x:color rgb="FF111111"/>
      <x:name val="Arial"/>
    </x:font>
    <x:font>
      <x:b/>
      <x:sz val="12"/>
      <x:color rgb="FFFFFFFF"/>
      <x:name val="Arial"/>
    </x:font>
    <x:font>
      <x:sz val="12"/>
      <x:color rgb="FF16713E"/>
      <x:name val="Arial"/>
    </x:font>
  </x:fonts>
  <x:fills count="4">
    <x:fill>
      <x:patternFill patternType="none"/>
    </x:fill>
    <x:fill>
      <x:patternFill patternType="gray125"/>
    </x:fill>
    <x:fill>
      <x:patternFill patternType="solid">
        <x:fgColor rgb="FFFFF2CC"/>
      </x:patternFill>
    </x:fill>
    <x:fill>
      <x:patternFill patternType="solid">
        <x:fgColor rgb="FF003DA5"/>
      </x:patternFill>
    </x:fill>
  </x:fills>
  <x:borders count="2">
    <x:border/>
    <x:border>
      <x:bottom style="thin">
        <x:color rgb="FF003DA5"/>
      </x:bottom>
    </x:border>
  </x:borders>
  <x:cellStyleXfs count="1">
    <x:xf numFmtId="0" fontId="0" fillId="0" borderId="0"/>
  </x:cellStyleXfs>
  <x:cellXfs count="3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4" fillId="0" borderId="0" xfId="0" applyNumberFormat="1" applyFont="1" applyFill="1" applyBorder="1" applyAlignment="1">
      <x:alignment vertical="center"/>
    </x:xf>
    <x:xf numFmtId="200" fontId="4" fillId="0" borderId="0" xfId="0" applyNumberFormat="1" applyFont="1" applyFill="1" applyBorder="1" applyAlignment="1">
      <x:alignment vertical="center"/>
    </x:xf>
    <x:xf numFmtId="201" fontId="4" fillId="0" borderId="0" xfId="0" applyNumberFormat="1" applyFont="1" applyFill="1" applyBorder="1" applyAlignment="1">
      <x:alignment vertical="center"/>
    </x:xf>
    <x:xf numFmtId="202" fontId="4"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0" xfId="0" applyNumberFormat="1" applyFont="1" applyFill="1" applyBorder="1" applyAlignment="1">
      <x:alignment vertical="center" wrapText="1"/>
    </x:xf>
    <x:xf numFmtId="0" fontId="3" fillId="0" borderId="0" xfId="0" applyNumberFormat="1" applyFont="1" applyFill="1" applyBorder="1" applyAlignment="1">
      <x:alignment vertical="center"/>
    </x:xf>
    <x:xf numFmtId="200" fontId="3" fillId="0" borderId="0" xfId="0" applyNumberFormat="1" applyFont="1" applyFill="1" applyBorder="1" applyAlignment="1">
      <x:alignment vertical="center"/>
    </x:xf>
    <x:xf numFmtId="201" fontId="3" fillId="0" borderId="0" xfId="0" applyNumberFormat="1" applyFont="1" applyFill="1" applyBorder="1" applyAlignment="1">
      <x:alignment vertical="center"/>
    </x:xf>
    <x:xf numFmtId="202" fontId="3"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3"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4"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201" fontId="6" fillId="0" borderId="0" xfId="0" applyNumberFormat="1" applyFont="1" applyFill="1" applyBorder="1" applyAlignment="1">
      <x:alignment vertical="center"/>
    </x:xf>
    <x:xf numFmtId="204" fontId="6"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5" fontId="4" fillId="0" borderId="0" xfId="0" applyNumberFormat="1" applyFont="1" applyFill="1" applyBorder="1" applyAlignment="1">
      <x:alignment vertical="center"/>
    </x:xf>
    <x:xf numFmtId="206" fontId="6" fillId="0" borderId="0" xfId="0" applyNumberFormat="1" applyFont="1" applyFill="1" applyBorder="1" applyAlignment="1">
      <x:alignment vertical="center"/>
    </x:xf>
    <x:xf numFmtId="206" fontId="1" fillId="0" borderId="0" xfId="0" applyNumberFormat="1" applyFont="1" applyFill="1" applyBorder="1" applyAlignment="1">
      <x:alignment vertical="center"/>
    </x:xf>
  </x:cellXfs>
  <x:cellStyles count="1">
    <x:cellStyle name="Normal" xfId="0"/>
  </x:cellStyles>
  <x:dxfs count="7">
    <x:dxf>
      <x:font>
        <x:color rgb="FFBD2939"/>
      </x:font>
    </x:dxf>
    <x:dxf>
      <x:font>
        <x:color rgb="FF16713E"/>
      </x:font>
    </x:dxf>
    <x:dxf>
      <x:font>
        <x:color rgb="FFBD2939"/>
      </x:font>
    </x:dxf>
    <x:dxf>
      <x:font>
        <x:color rgb="FF16713E"/>
      </x:font>
    </x:dxf>
    <x:dxf>
      <x:font>
        <x:color rgb="FFBD2939"/>
      </x:font>
    </x:dxf>
    <x:dxf>
      <x:font>
        <x:color rgb="FF16713E"/>
      </x:font>
    </x:dxf>
    <x:dxf>
      <x:font>
        <x:color rgb="FFBD2939"/>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bd19e11b8714483" /><Relationship Type="http://schemas.openxmlformats.org/officeDocument/2006/relationships/theme" Target="/xl/theme/theme1.xml" Id="Rc4732bc2eacc4862" /><Relationship Type="http://schemas.openxmlformats.org/officeDocument/2006/relationships/sharedStrings" Target="/xl/sharedStrings.xml" Id="R8775c1528dd64023" /><Relationship Type="http://schemas.openxmlformats.org/officeDocument/2006/relationships/worksheet" Target="/xl/worksheets/sheet1.xml" Id="R40c7aab251b64ebf" /><Relationship Type="http://schemas.openxmlformats.org/officeDocument/2006/relationships/worksheet" Target="/xl/worksheets/sheet2.xml" Id="R493b9b7ef2b3486c" /><Relationship Type="http://schemas.openxmlformats.org/officeDocument/2006/relationships/worksheet" Target="/xl/worksheets/sheet3.xml" Id="Rff50b6242e384c04" /><Relationship Type="http://schemas.openxmlformats.org/officeDocument/2006/relationships/worksheet" Target="/xl/worksheets/sheet4.xml" Id="R71c6267952524f75" /><Relationship Type="http://schemas.openxmlformats.org/officeDocument/2006/relationships/worksheet" Target="/xl/worksheets/sheet5.xml" Id="R0ccc2be503d946d3" /><Relationship Type="http://schemas.openxmlformats.org/officeDocument/2006/relationships/worksheet" Target="/xl/worksheets/sheet6.xml" Id="R18ed5bd7cd424d69" /><Relationship Type="http://schemas.openxmlformats.org/officeDocument/2006/relationships/worksheet" Target="/xl/worksheets/sheet7.xml" Id="R43e9f32f0ffb437c" /><Relationship Type="http://schemas.openxmlformats.org/officeDocument/2006/relationships/worksheet" Target="/xl/worksheets/sheet8.xml" Id="R017f6baa7c9544f5" /><Relationship Type="http://schemas.openxmlformats.org/officeDocument/2006/relationships/worksheet" Target="/xl/worksheets/sheet9.xml" Id="R870aa673ba814478" /><Relationship Type="http://schemas.openxmlformats.org/officeDocument/2006/relationships/worksheet" Target="/xl/worksheets/sheet10.xml" Id="Rddbf4195f9c1433f" /></Relationships>
</file>

<file path=xl/drawings/_rels/drawing1.xml.rels>&#65279;<?xml version="1.0" encoding="utf-8"?><Relationships xmlns="http://schemas.openxmlformats.org/package/2006/relationships"><Relationship Type="http://schemas.openxmlformats.org/officeDocument/2006/relationships/chart" Target="/xl/drawings/charts/chart1.xml" Id="R2669f12cdccd4450" /></Relationships>
</file>

<file path=xl/drawings/_rels/drawing2.xml.rels>&#65279;<?xml version="1.0" encoding="utf-8"?><Relationships xmlns="http://schemas.openxmlformats.org/package/2006/relationships"><Relationship Type="http://schemas.openxmlformats.org/officeDocument/2006/relationships/chart" Target="/xl/drawings/charts/chart2.xml" Id="R75cbc73e9e624bc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a:latin typeface="Arial"/>
                <a:ea typeface="Arial"/>
                <a:cs typeface="Arial"/>
              </a:rPr>
              <a:t>Profit by information date</a:t>
            </a:r>
          </a:p>
        </c:rich>
      </c:tx>
      <c:overlay val="0"/>
      <c:txPr>
        <a:bodyPr xmlns:a="http://schemas.openxmlformats.org/drawingml/2006/main" anchorCtr="1"/>
        <a:lstStyle xmlns:a="http://schemas.openxmlformats.org/drawingml/2006/main"/>
        <a:p xmlns:a="http://schemas.openxmlformats.org/drawingml/2006/main">
          <a:pPr>
            <a:defRPr sz="1200">
              <a:latin typeface="Arial"/>
              <a:ea typeface="Arial"/>
              <a:cs typeface="Arial"/>
            </a:defRPr>
          </a:pPr>
        </a:p>
      </c:txPr>
    </c:title>
    <c:plotArea>
      <c:lineChart>
        <c:grouping val="standard"/>
        <c:varyColors val="0"/>
        <c:ser>
          <c:idx val="0"/>
          <c:order val="0"/>
          <c:tx>
            <c:v>Bear profit</c:v>
          </c:tx>
          <c:spPr>
            <a:ln xmlns:a="http://schemas.openxmlformats.org/drawingml/2006/main" w="19050">
              <a:solidFill>
                <a:srgbClr val="BD2939"/>
              </a:solidFill>
              <a:prstDash val="solid"/>
            </a:ln>
          </c:spPr>
          <c:marker>
            <c:symbol val="none"/>
          </c:marker>
          <c:cat>
            <c:strRef>
              <c:f>'Summary'!$C$11:$C$14</c:f>
              <c:strCache>
                <c:ptCount val="0"/>
              </c:strCache>
            </c:strRef>
          </c:cat>
          <c:val>
            <c:numRef>
              <c:f>'Summary'!$D$11:$D$14</c:f>
              <c:numCache>
                <c:formatCode>$#,##0"M"</c:formatCode>
                <c:ptCount val="0"/>
              </c:numCache>
            </c:numRef>
          </c:val>
          <c:smooth val="0"/>
        </c:ser>
        <c:ser>
          <c:idx val="1"/>
          <c:order val="1"/>
          <c:tx>
            <c:v>Base profit</c:v>
          </c:tx>
          <c:spPr>
            <a:ln xmlns:a="http://schemas.openxmlformats.org/drawingml/2006/main" w="19050">
              <a:solidFill>
                <a:srgbClr val="003DA5"/>
              </a:solidFill>
              <a:prstDash val="solid"/>
            </a:ln>
          </c:spPr>
          <c:marker>
            <c:symbol val="none"/>
          </c:marker>
          <c:cat>
            <c:strRef>
              <c:f>'Summary'!$C$11:$C$14</c:f>
              <c:strCache>
                <c:ptCount val="0"/>
              </c:strCache>
            </c:strRef>
          </c:cat>
          <c:val>
            <c:numRef>
              <c:f>'Summary'!$E$11:$E$14</c:f>
              <c:numCache>
                <c:formatCode>$#,##0"M"</c:formatCode>
                <c:ptCount val="0"/>
              </c:numCache>
            </c:numRef>
          </c:val>
          <c:smooth val="0"/>
        </c:ser>
        <c:ser>
          <c:idx val="2"/>
          <c:order val="2"/>
          <c:tx>
            <c:v>Bull profit</c:v>
          </c:tx>
          <c:spPr>
            <a:ln xmlns:a="http://schemas.openxmlformats.org/drawingml/2006/main" w="19050">
              <a:solidFill>
                <a:srgbClr val="16713E"/>
              </a:solidFill>
              <a:prstDash val="solid"/>
            </a:ln>
          </c:spPr>
          <c:marker>
            <c:symbol val="none"/>
          </c:marker>
          <c:cat>
            <c:strRef>
              <c:f>'Summary'!$C$11:$C$14</c:f>
              <c:strCache>
                <c:ptCount val="0"/>
              </c:strCache>
            </c:strRef>
          </c:cat>
          <c:val>
            <c:numRef>
              <c:f>'Summary'!$F$11:$F$14</c:f>
              <c:numCache>
                <c:formatCode>$#,##0"M"</c:formatCode>
                <c:ptCount val="0"/>
              </c:numCache>
            </c:numRef>
          </c:val>
          <c:smooth val="0"/>
        </c:ser>
        <c:ser>
          <c:idx val="3"/>
          <c:order val="3"/>
          <c:tx>
            <c:v>Actual profit</c:v>
          </c:tx>
          <c:spPr>
            <a:ln xmlns:a="http://schemas.openxmlformats.org/drawingml/2006/main" w="19050">
              <a:solidFill>
                <a:srgbClr val="606870"/>
              </a:solidFill>
              <a:prstDash val="dash"/>
            </a:ln>
          </c:spPr>
          <c:marker>
            <c:symbol val="none"/>
          </c:marker>
          <c:cat>
            <c:strRef>
              <c:f>'Summary'!$C$11:$C$14</c:f>
              <c:strCache>
                <c:ptCount val="0"/>
              </c:strCache>
            </c:strRef>
          </c:cat>
          <c:val>
            <c:numRef>
              <c:f>'Summary'!$G$11:$G$14</c:f>
              <c:numCache>
                <c:formatCode>$#,##0.0"M";($#,##0.0"M");"–"</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M&quot;"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Selected profit vs actual</a:t>
            </a:r>
          </a:p>
        </c:rich>
      </c:tx>
      <c:overlay val="0"/>
    </c:title>
    <c:plotArea>
      <c:barChart>
        <c:barDir val="col"/>
        <c:varyColors val="0"/>
        <c:ser>
          <c:idx val="0"/>
          <c:order val="0"/>
          <c:tx>
            <c:v>Profit</c:v>
          </c:tx>
          <c:spPr>
            <a:solidFill xmlns:a="http://schemas.openxmlformats.org/drawingml/2006/main">
              <a:srgbClr val="003DA5"/>
            </a:solidFill>
          </c:spPr>
          <c:cat>
            <c:strRef>
              <c:f>'Scenario Model'!$G$7:$G$8</c:f>
              <c:strCache>
                <c:ptCount val="0"/>
              </c:strCache>
            </c:strRef>
          </c:cat>
          <c:val>
            <c:numRef>
              <c:f>'Scenario Model'!$H$7:$H$8</c:f>
              <c:numCache>
                <c:formatCode>$#,##0"M"</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M&quot;"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4</xdr:row>
      <xdr:rowOff>0</xdr:rowOff>
    </xdr:from>
    <xdr:to>
      <xdr:col>13</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669f12cdccd4450"/>
        </a:graphicData>
      </a:graphic>
    </xdr:graphicFrame>
    <xdr:clientData/>
  </xdr:twoCellAnchor>
</xdr:wsDr>
</file>

<file path=xl/drawings/drawing2.xml><?xml version="1.0" encoding="utf-8"?>
<xdr:wsDr xmlns:xdr="http://schemas.openxmlformats.org/drawingml/2006/spreadsheetDrawing">
  <xdr:twoCellAnchor>
    <xdr:from>
      <xdr:col>6</xdr:col>
      <xdr:colOff>0</xdr:colOff>
      <xdr:row>9</xdr:row>
      <xdr:rowOff>0</xdr:rowOff>
    </xdr:from>
    <xdr:to>
      <xdr:col>11</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5cbc73e9e624bc0"/>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3bac68657494455" /></Relationships>
</file>

<file path=xl/worksheets/_rels/sheet3.xml.rels>&#65279;<?xml version="1.0" encoding="utf-8"?><Relationships xmlns="http://schemas.openxmlformats.org/package/2006/relationships"><Relationship Type="http://schemas.openxmlformats.org/officeDocument/2006/relationships/drawing" Target="/xl/drawings/drawing2.xml" Id="Rc4a922e8cbe44c89" /></Relationships>
</file>

<file path=xl/worksheets/sheet1.xml><?xml version="1.0" encoding="utf-8"?>
<x:worksheet xmlns:x="http://schemas.openxmlformats.org/spreadsheetml/2006/main">
  <x:sheetPr>
    <x:tabColor rgb="FF003DA5"/>
  </x:sheetPr>
  <x:sheetViews>
    <x:sheetView showGridLines="0" workbookViewId="0"/>
  </x:sheetViews>
  <x:sheetFormatPr defaultRowHeight="15"/>
  <x:cols>
    <x:col min="1" max="1" width="3" hidden="0" customWidth="1"/>
    <x:col min="2" max="2" width="3" hidden="0" customWidth="1"/>
    <x:col min="3" max="3" width="36"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s>
  <x:sheetData>
    <x:row r="1" ht="23" customHeight="1">
      <x:c r="A1" s="2"/>
      <x:c r="B1" s="2"/>
      <x:c r="C1" s="2"/>
      <x:c r="D1" s="2"/>
      <x:c r="E1" s="2"/>
      <x:c r="F1" s="2"/>
      <x:c r="G1" s="2"/>
      <x:c r="H1" s="2"/>
      <x:c r="I1" s="2"/>
      <x:c r="J1" s="2"/>
      <x:c r="K1" s="2"/>
      <x:c r="L1" s="2"/>
      <x:c r="M1" s="2"/>
      <x:c r="N1" s="2"/>
      <x:c r="O1" s="2"/>
      <x:c r="P1" s="2"/>
      <x:c r="Q1" s="2"/>
    </x:row>
    <x:row r="2" ht="23" customHeight="1">
      <x:c r="A2" s="2"/>
      <x:c r="B2" s="2"/>
      <x:c r="C2" s="3" t="str">
        <x:v>P&amp;G | Scenario review</x:v>
      </x:c>
      <x:c r="D2" s="2"/>
      <x:c r="E2" s="2"/>
      <x:c r="F2" s="2"/>
      <x:c r="G2" s="2"/>
      <x:c r="H2" s="2"/>
      <x:c r="I2" s="2"/>
      <x:c r="J2" s="2"/>
      <x:c r="K2" s="2"/>
      <x:c r="L2" s="2"/>
      <x:c r="M2" s="2"/>
      <x:c r="N2" s="2"/>
      <x:c r="O2" s="2"/>
      <x:c r="P2" s="2"/>
      <x:c r="Q2" s="2"/>
    </x:row>
    <x:row r="3" ht="23" customHeight="1">
      <x:c r="A3" s="2"/>
      <x:c r="B3" s="2"/>
      <x:c r="C3" s="4"/>
      <x:c r="D3" s="4"/>
      <x:c r="E3" s="4"/>
      <x:c r="F3" s="4"/>
      <x:c r="G3" s="4"/>
      <x:c r="H3" s="4"/>
      <x:c r="I3" s="4"/>
      <x:c r="J3" s="4"/>
      <x:c r="K3" s="2"/>
      <x:c r="L3" s="2"/>
      <x:c r="M3" s="2"/>
      <x:c r="N3" s="2"/>
      <x:c r="O3" s="2"/>
      <x:c r="P3" s="2"/>
      <x:c r="Q3" s="2"/>
    </x:row>
    <x:row r="4" ht="23" customHeight="1">
      <x:c r="A4" s="2"/>
      <x:c r="B4" s="2"/>
      <x:c r="C4" s="2"/>
      <x:c r="D4" s="2"/>
      <x:c r="E4" s="2"/>
      <x:c r="F4" s="2"/>
      <x:c r="G4" s="2"/>
      <x:c r="H4" s="2"/>
      <x:c r="I4" s="2"/>
      <x:c r="J4" s="2"/>
      <x:c r="K4" s="2"/>
      <x:c r="L4" s="2"/>
      <x:c r="M4" s="2"/>
      <x:c r="N4" s="2"/>
      <x:c r="O4" s="2"/>
      <x:c r="P4" s="2"/>
      <x:c r="Q4" s="2"/>
    </x:row>
    <x:row r="5" ht="40" customHeight="1">
      <x:c r="A5" s="2"/>
      <x:c r="B5" s="2"/>
      <x:c r="C5" s="13" t="str">
        <x:v>Apr–Jun 2026</x:v>
      </x:c>
      <x:c r="D5" s="13" t="str">
        <x:v>Actual</x:v>
      </x:c>
      <x:c r="E5" s="13" t="str">
        <x:v>May base forecast</x:v>
      </x:c>
      <x:c r="F5" s="13" t="str">
        <x:v>Actual less forecast</x:v>
      </x:c>
      <x:c r="G5" s="2"/>
      <x:c r="H5" s="2"/>
      <x:c r="I5" s="2"/>
      <x:c r="J5" s="2"/>
      <x:c r="K5" s="2"/>
      <x:c r="L5" s="2"/>
      <x:c r="M5" s="2"/>
      <x:c r="N5" s="2"/>
      <x:c r="O5" s="2"/>
      <x:c r="P5" s="2"/>
      <x:c r="Q5" s="2"/>
    </x:row>
    <x:row r="6" ht="23" customHeight="1">
      <x:c r="A6" s="2"/>
      <x:c r="B6" s="2"/>
      <x:c r="C6" s="2" t="str">
        <x:v>Net Sales</x:v>
      </x:c>
      <x:c r="D6" s="20" t="n">
        <x:v>21203</x:v>
      </x:c>
      <x:c r="E6" s="20" t="n">
        <x:v>21724.56</x:v>
      </x:c>
      <x:c r="F6" s="9" t="n">
        <x:f>D6-E6</x:f>
        <x:v>-521.5600000000013</x:v>
      </x:c>
      <x:c r="G6" s="2"/>
      <x:c r="H6" s="2"/>
      <x:c r="I6" s="2"/>
      <x:c r="J6" s="2"/>
      <x:c r="K6" s="2"/>
      <x:c r="L6" s="2"/>
      <x:c r="M6" s="2"/>
      <x:c r="N6" s="2"/>
      <x:c r="O6" s="2"/>
      <x:c r="P6" s="2"/>
      <x:c r="Q6" s="2"/>
    </x:row>
    <x:row r="7" ht="23" customHeight="1">
      <x:c r="A7" s="2"/>
      <x:c r="B7" s="2"/>
      <x:c r="C7" s="2" t="str">
        <x:v>Net Income Attributable</x:v>
      </x:c>
      <x:c r="D7" s="20" t="n">
        <x:v>3044</x:v>
      </x:c>
      <x:c r="E7" s="20" t="n">
        <x:v>3624.5391408</x:v>
      </x:c>
      <x:c r="F7" s="9" t="n">
        <x:f>D7-E7</x:f>
        <x:v>-580.5391408</x:v>
      </x:c>
      <x:c r="G7" s="2"/>
      <x:c r="H7" s="2"/>
      <x:c r="I7" s="2"/>
      <x:c r="J7" s="2"/>
      <x:c r="K7" s="2"/>
      <x:c r="L7" s="2"/>
      <x:c r="M7" s="2"/>
      <x:c r="N7" s="2"/>
      <x:c r="O7" s="2"/>
      <x:c r="P7" s="2"/>
      <x:c r="Q7" s="2"/>
    </x:row>
    <x:row r="8" ht="23" customHeight="1">
      <x:c r="A8" s="2"/>
      <x:c r="B8" s="2"/>
      <x:c r="C8" s="2"/>
      <x:c r="D8" s="2"/>
      <x:c r="E8" s="2"/>
      <x:c r="F8" s="2"/>
      <x:c r="G8" s="2"/>
      <x:c r="H8" s="2"/>
      <x:c r="I8" s="2"/>
      <x:c r="J8" s="2"/>
      <x:c r="K8" s="2"/>
      <x:c r="L8" s="2"/>
      <x:c r="M8" s="2"/>
      <x:c r="N8" s="2"/>
      <x:c r="O8" s="2"/>
      <x:c r="P8" s="2"/>
      <x:c r="Q8" s="2"/>
    </x:row>
    <x:row r="9" ht="23" customHeight="1">
      <x:c r="A9" s="2"/>
      <x:c r="B9" s="2"/>
      <x:c r="C9" s="2"/>
      <x:c r="D9" s="2"/>
      <x:c r="E9" s="2"/>
      <x:c r="F9" s="2"/>
      <x:c r="G9" s="2"/>
      <x:c r="H9" s="2"/>
      <x:c r="I9" s="2"/>
      <x:c r="J9" s="2"/>
      <x:c r="K9" s="2"/>
      <x:c r="L9" s="2"/>
      <x:c r="M9" s="2"/>
      <x:c r="N9" s="2"/>
      <x:c r="O9" s="2"/>
      <x:c r="P9" s="2"/>
      <x:c r="Q9" s="2"/>
    </x:row>
    <x:row r="10" ht="40" customHeight="1">
      <x:c r="A10" s="2"/>
      <x:c r="B10" s="2"/>
      <x:c r="C10" s="13" t="str">
        <x:v>Forecast vintage</x:v>
      </x:c>
      <x:c r="D10" s="13" t="str">
        <x:v>Bear profit</x:v>
      </x:c>
      <x:c r="E10" s="13" t="str">
        <x:v>Base profit</x:v>
      </x:c>
      <x:c r="F10" s="13" t="str">
        <x:v>Bull profit</x:v>
      </x:c>
      <x:c r="G10" s="13" t="str">
        <x:v>Actual profit</x:v>
      </x:c>
      <x:c r="H10" s="2"/>
      <x:c r="I10" s="2"/>
      <x:c r="J10" s="2"/>
      <x:c r="K10" s="2"/>
      <x:c r="L10" s="2"/>
      <x:c r="M10" s="2"/>
      <x:c r="N10" s="2"/>
      <x:c r="O10" s="2"/>
      <x:c r="P10" s="2"/>
      <x:c r="Q10" s="2"/>
    </x:row>
    <x:row r="11" ht="23" customHeight="1">
      <x:c r="A11" s="2"/>
      <x:c r="B11" s="2"/>
      <x:c r="C11" s="2" t="str">
        <x:v>March · history only</x:v>
      </x:c>
      <x:c r="D11" s="9" t="n">
        <x:f>'Forecast Comparison'!F7</x:f>
        <x:v>2866.3111675000005</x:v>
      </x:c>
      <x:c r="E11" s="9" t="n">
        <x:f>'Forecast Comparison'!F8</x:f>
        <x:v>3799.6109599999995</x:v>
      </x:c>
      <x:c r="F11" s="9" t="n">
        <x:f>'Forecast Comparison'!F9</x:f>
        <x:v>4581.379100000001</x:v>
      </x:c>
      <x:c r="G11" s="20" t="n">
        <x:v>3044</x:v>
      </x:c>
      <x:c r="H11" s="2"/>
      <x:c r="I11" s="2"/>
      <x:c r="J11" s="2"/>
      <x:c r="K11" s="2"/>
      <x:c r="L11" s="2"/>
      <x:c r="M11" s="2"/>
      <x:c r="N11" s="2"/>
      <x:c r="O11" s="2"/>
      <x:c r="P11" s="2"/>
      <x:c r="Q11" s="2"/>
    </x:row>
    <x:row r="12" ht="23" customHeight="1">
      <x:c r="A12" s="2"/>
      <x:c r="B12" s="2"/>
      <x:c r="C12" s="2" t="str">
        <x:v>March · market informed</x:v>
      </x:c>
      <x:c r="D12" s="9" t="n">
        <x:f>'Forecast Comparison'!F10</x:f>
        <x:v>2772.4151125000003</x:v>
      </x:c>
      <x:c r="E12" s="9" t="n">
        <x:f>'Forecast Comparison'!F11</x:f>
        <x:v>3799.6109599999995</x:v>
      </x:c>
      <x:c r="F12" s="9" t="n">
        <x:f>'Forecast Comparison'!F12</x:f>
        <x:v>4581.379100000001</x:v>
      </x:c>
      <x:c r="G12" s="20" t="n">
        <x:v>3044</x:v>
      </x:c>
      <x:c r="H12" s="2"/>
      <x:c r="I12" s="2"/>
      <x:c r="J12" s="2"/>
      <x:c r="K12" s="2"/>
      <x:c r="L12" s="2"/>
      <x:c r="M12" s="2"/>
      <x:c r="N12" s="2"/>
      <x:c r="O12" s="2"/>
      <x:c r="P12" s="2"/>
      <x:c r="Q12" s="2"/>
    </x:row>
    <x:row r="13" ht="23" customHeight="1">
      <x:c r="A13" s="2"/>
      <x:c r="B13" s="2"/>
      <x:c r="C13" s="2" t="str">
        <x:v>May · history only</x:v>
      </x:c>
      <x:c r="D13" s="9" t="n">
        <x:f>'Forecast Comparison'!F13</x:f>
        <x:v>2845.2654999999995</x:v>
      </x:c>
      <x:c r="E13" s="9" t="n">
        <x:f>'Forecast Comparison'!F14</x:f>
        <x:v>3693.6232416000003</x:v>
      </x:c>
      <x:c r="F13" s="9" t="n">
        <x:f>'Forecast Comparison'!F15</x:f>
        <x:v>4487.556630499999</x:v>
      </x:c>
      <x:c r="G13" s="20" t="n">
        <x:v>3044</x:v>
      </x:c>
      <x:c r="H13" s="2"/>
      <x:c r="I13" s="2"/>
      <x:c r="J13" s="2"/>
      <x:c r="K13" s="2"/>
      <x:c r="L13" s="2"/>
      <x:c r="M13" s="2"/>
      <x:c r="N13" s="2"/>
      <x:c r="O13" s="2"/>
      <x:c r="P13" s="2"/>
      <x:c r="Q13" s="2"/>
    </x:row>
    <x:row r="14" ht="23" customHeight="1">
      <x:c r="A14" s="2"/>
      <x:c r="B14" s="2"/>
      <x:c r="C14" s="2" t="str">
        <x:v>May · market informed</x:v>
      </x:c>
      <x:c r="D14" s="9" t="n">
        <x:f>'Forecast Comparison'!F16</x:f>
        <x:v>2715.7537</x:v>
      </x:c>
      <x:c r="E14" s="9" t="n">
        <x:f>'Forecast Comparison'!F17</x:f>
        <x:v>3624.5391408</x:v>
      </x:c>
      <x:c r="F14" s="9" t="n">
        <x:f>'Forecast Comparison'!F18</x:f>
        <x:v>4451.3476379</x:v>
      </x:c>
      <x:c r="G14" s="20" t="n">
        <x:v>3044</x:v>
      </x:c>
      <x:c r="H14" s="2"/>
      <x:c r="I14" s="2"/>
      <x:c r="J14" s="2"/>
      <x:c r="K14" s="2"/>
      <x:c r="L14" s="2"/>
      <x:c r="M14" s="2"/>
      <x:c r="N14" s="2"/>
      <x:c r="O14" s="2"/>
      <x:c r="P14" s="2"/>
      <x:c r="Q14" s="2"/>
    </x:row>
    <x:row r="15" ht="23" customHeight="1">
      <x:c r="A15" s="2"/>
      <x:c r="B15" s="2"/>
      <x:c r="C15" s="2"/>
      <x:c r="D15" s="2"/>
      <x:c r="E15" s="2"/>
      <x:c r="F15" s="2"/>
      <x:c r="G15" s="2"/>
      <x:c r="H15" s="2"/>
      <x:c r="I15" s="2"/>
      <x:c r="J15" s="2"/>
      <x:c r="K15" s="2"/>
      <x:c r="L15" s="2"/>
      <x:c r="M15" s="2"/>
      <x:c r="N15" s="2"/>
      <x:c r="O15" s="2"/>
      <x:c r="P15" s="2"/>
      <x:c r="Q15" s="2"/>
    </x:row>
    <x:row r="16" ht="23" customHeight="1">
      <x:c r="A16" s="2"/>
      <x:c r="B16" s="2"/>
      <x:c r="C16" s="2"/>
      <x:c r="D16" s="2"/>
      <x:c r="E16" s="2"/>
      <x:c r="F16" s="2"/>
      <x:c r="G16" s="2"/>
      <x:c r="H16" s="2"/>
      <x:c r="I16" s="2"/>
      <x:c r="J16" s="2"/>
      <x:c r="K16" s="2"/>
      <x:c r="L16" s="2"/>
      <x:c r="M16" s="2"/>
      <x:c r="N16" s="2"/>
      <x:c r="O16" s="2"/>
      <x:c r="P16" s="2"/>
      <x:c r="Q16" s="2"/>
    </x:row>
    <x:row r="17" ht="23" customHeight="1">
      <x:c r="A17" s="2"/>
      <x:c r="B17" s="2"/>
      <x:c r="C17" s="2" t="str">
        <x:v>Quarter-start cutoff: 31 Mar 2026</x:v>
      </x:c>
      <x:c r="D17" s="2"/>
      <x:c r="E17" s="2"/>
      <x:c r="F17" s="2"/>
      <x:c r="G17" s="2"/>
      <x:c r="H17" s="2"/>
      <x:c r="I17" s="2"/>
      <x:c r="J17" s="2"/>
      <x:c r="K17" s="2"/>
      <x:c r="L17" s="2"/>
      <x:c r="M17" s="2"/>
      <x:c r="N17" s="2"/>
      <x:c r="O17" s="2"/>
      <x:c r="P17" s="2"/>
      <x:c r="Q17" s="2"/>
    </x:row>
    <x:row r="18" ht="23" customHeight="1">
      <x:c r="A18" s="2"/>
      <x:c r="B18" s="2"/>
      <x:c r="C18" s="2" t="str">
        <x:v>Mid-quarter cutoff: 15 May 2026</x:v>
      </x:c>
      <x:c r="D18" s="2"/>
      <x:c r="E18" s="2"/>
      <x:c r="F18" s="2"/>
      <x:c r="G18" s="2"/>
      <x:c r="H18" s="2"/>
      <x:c r="I18" s="2"/>
      <x:c r="J18" s="2"/>
      <x:c r="K18" s="2"/>
      <x:c r="L18" s="2"/>
      <x:c r="M18" s="2"/>
      <x:c r="N18" s="2"/>
      <x:c r="O18" s="2"/>
      <x:c r="P18" s="2"/>
      <x:c r="Q18" s="2"/>
    </x:row>
    <x:row r="19" ht="23" customHeight="1">
      <x:c r="A19" s="2"/>
      <x:c r="B19" s="2"/>
      <x:c r="C19" s="2"/>
      <x:c r="D19" s="2"/>
      <x:c r="E19" s="2"/>
      <x:c r="F19" s="2"/>
      <x:c r="G19" s="2"/>
      <x:c r="H19" s="2"/>
      <x:c r="I19" s="2"/>
      <x:c r="J19" s="2"/>
      <x:c r="K19" s="2"/>
      <x:c r="L19" s="2"/>
      <x:c r="M19" s="2"/>
      <x:c r="N19" s="2"/>
      <x:c r="O19" s="2"/>
      <x:c r="P19" s="2"/>
      <x:c r="Q19" s="2"/>
    </x:row>
    <x:row r="20" ht="23" customHeight="1">
      <x:c r="A20" s="2"/>
      <x:c r="B20" s="2"/>
      <x:c r="C20" s="2" t="str">
        <x:v>Retrospective reconstruction using publication-date controls.</x:v>
      </x:c>
      <x:c r="D20" s="2"/>
      <x:c r="E20" s="2"/>
      <x:c r="F20" s="2"/>
      <x:c r="G20" s="2"/>
      <x:c r="H20" s="2"/>
      <x:c r="I20" s="2"/>
      <x:c r="J20" s="2"/>
      <x:c r="K20" s="2"/>
      <x:c r="L20" s="2"/>
      <x:c r="M20" s="2"/>
      <x:c r="N20" s="2"/>
      <x:c r="O20" s="2"/>
      <x:c r="P20" s="2"/>
      <x:c r="Q20" s="2"/>
    </x:row>
    <x:row r="21" ht="23" customHeight="1">
      <x:c r="A21" s="2"/>
      <x:c r="B21" s="2"/>
      <x:c r="C21" s="2"/>
      <x:c r="D21" s="2"/>
      <x:c r="E21" s="2"/>
      <x:c r="F21" s="2"/>
      <x:c r="G21" s="2"/>
      <x:c r="H21" s="2"/>
      <x:c r="I21" s="2"/>
      <x:c r="J21" s="2"/>
      <x:c r="K21" s="2"/>
      <x:c r="L21" s="2"/>
      <x:c r="M21" s="2"/>
      <x:c r="N21" s="2"/>
      <x:c r="O21" s="2"/>
      <x:c r="P21" s="2"/>
      <x:c r="Q21" s="2"/>
    </x:row>
    <x:row r="22" ht="23" customHeight="1">
      <x:c r="A22" s="2"/>
      <x:c r="B22" s="2"/>
      <x:c r="C22" s="2" t="str">
        <x:v>Compare March and May history-only cases to isolate newly released financial information.</x:v>
      </x:c>
      <x:c r="D22" s="2"/>
      <x:c r="E22" s="2"/>
      <x:c r="F22" s="2"/>
      <x:c r="G22" s="2"/>
      <x:c r="H22" s="2"/>
      <x:c r="I22" s="2"/>
      <x:c r="J22" s="2"/>
      <x:c r="K22" s="2"/>
      <x:c r="L22" s="2"/>
      <x:c r="M22" s="2"/>
      <x:c r="N22" s="2"/>
      <x:c r="O22" s="2"/>
      <x:c r="P22" s="2"/>
      <x:c r="Q22" s="2"/>
    </x:row>
    <x:row r="23" ht="23" customHeight="1">
      <x:c r="A23" s="2"/>
      <x:c r="B23" s="2"/>
      <x:c r="C23" s="2"/>
      <x:c r="D23" s="2"/>
      <x:c r="E23" s="2"/>
      <x:c r="F23" s="2"/>
      <x:c r="G23" s="2"/>
      <x:c r="H23" s="2"/>
      <x:c r="I23" s="2"/>
      <x:c r="J23" s="2"/>
      <x:c r="K23" s="2"/>
      <x:c r="L23" s="2"/>
      <x:c r="M23" s="2"/>
      <x:c r="N23" s="2"/>
      <x:c r="O23" s="2"/>
      <x:c r="P23" s="2"/>
      <x:c r="Q23" s="2"/>
    </x:row>
    <x:row r="24" ht="23" customHeight="1">
      <x:c r="A24" s="2"/>
      <x:c r="B24" s="2"/>
      <x:c r="C24" s="2"/>
      <x:c r="D24" s="2"/>
      <x:c r="E24" s="2"/>
      <x:c r="F24" s="2"/>
      <x:c r="G24" s="2"/>
      <x:c r="H24" s="2"/>
      <x:c r="I24" s="2"/>
      <x:c r="J24" s="2"/>
      <x:c r="K24" s="2"/>
      <x:c r="L24" s="2"/>
      <x:c r="M24" s="2"/>
      <x:c r="N24" s="2"/>
      <x:c r="O24" s="2"/>
      <x:c r="P24" s="2"/>
      <x:c r="Q24" s="2"/>
    </x:row>
    <x:row r="25" ht="23" customHeight="1">
      <x:c r="A25" s="2"/>
      <x:c r="B25" s="2"/>
      <x:c r="C25" s="2"/>
      <x:c r="D25" s="2"/>
      <x:c r="E25" s="2"/>
      <x:c r="F25" s="2"/>
      <x:c r="G25" s="2"/>
      <x:c r="H25" s="2"/>
      <x:c r="I25" s="2"/>
      <x:c r="J25" s="2"/>
      <x:c r="K25" s="2"/>
      <x:c r="L25" s="2"/>
      <x:c r="M25" s="2"/>
      <x:c r="N25" s="2"/>
      <x:c r="O25" s="2"/>
      <x:c r="P25" s="2"/>
      <x:c r="Q25" s="2"/>
    </x:row>
    <x:row r="26" ht="23" customHeight="1">
      <x:c r="A26" s="2"/>
      <x:c r="B26" s="2"/>
      <x:c r="C26" s="2"/>
      <x:c r="D26" s="2"/>
      <x:c r="E26" s="2"/>
      <x:c r="F26" s="2"/>
      <x:c r="G26" s="2"/>
      <x:c r="H26" s="2"/>
      <x:c r="I26" s="2"/>
      <x:c r="J26" s="2"/>
      <x:c r="K26" s="2"/>
      <x:c r="L26" s="2"/>
      <x:c r="M26" s="2"/>
      <x:c r="N26" s="2"/>
      <x:c r="O26" s="2"/>
      <x:c r="P26" s="2"/>
      <x:c r="Q26" s="2"/>
    </x:row>
    <x:row r="27" ht="23" customHeight="1">
      <x:c r="A27" s="2"/>
      <x:c r="B27" s="2"/>
      <x:c r="C27" s="2"/>
      <x:c r="D27" s="2"/>
      <x:c r="E27" s="2"/>
      <x:c r="F27" s="2"/>
      <x:c r="G27" s="2"/>
      <x:c r="H27" s="2"/>
      <x:c r="I27" s="2"/>
      <x:c r="J27" s="2"/>
      <x:c r="K27" s="2"/>
      <x:c r="L27" s="2"/>
      <x:c r="M27" s="2"/>
      <x:c r="N27" s="2"/>
      <x:c r="O27" s="2"/>
      <x:c r="P27" s="2"/>
      <x:c r="Q27" s="2"/>
    </x:row>
    <x:row r="28" ht="23" customHeight="1">
      <x:c r="A28" s="2"/>
      <x:c r="B28" s="2"/>
      <x:c r="C28" s="2"/>
      <x:c r="D28" s="2"/>
      <x:c r="E28" s="2"/>
      <x:c r="F28" s="2"/>
      <x:c r="G28" s="2"/>
      <x:c r="H28" s="2"/>
      <x:c r="I28" s="2"/>
      <x:c r="J28" s="2"/>
      <x:c r="K28" s="2"/>
      <x:c r="L28" s="2"/>
      <x:c r="M28" s="2"/>
      <x:c r="N28" s="2"/>
      <x:c r="O28" s="2"/>
      <x:c r="P28" s="2"/>
      <x:c r="Q28" s="2"/>
    </x:row>
    <x:row r="29" ht="23" customHeight="1">
      <x:c r="A29" s="2"/>
      <x:c r="B29" s="2"/>
      <x:c r="C29" s="2"/>
      <x:c r="D29" s="2"/>
      <x:c r="E29" s="2"/>
      <x:c r="F29" s="2"/>
      <x:c r="G29" s="2"/>
      <x:c r="H29" s="2"/>
      <x:c r="I29" s="2"/>
      <x:c r="J29" s="2"/>
      <x:c r="K29" s="2"/>
      <x:c r="L29" s="2"/>
      <x:c r="M29" s="2"/>
      <x:c r="N29" s="2"/>
      <x:c r="O29" s="2"/>
      <x:c r="P29" s="2"/>
      <x:c r="Q29" s="2"/>
    </x:row>
    <x:row r="30" ht="23" customHeight="1">
      <x:c r="A30" s="2"/>
      <x:c r="B30" s="2"/>
      <x:c r="C30" s="2"/>
      <x:c r="D30" s="2"/>
      <x:c r="E30" s="2"/>
      <x:c r="F30" s="2"/>
      <x:c r="G30" s="2"/>
      <x:c r="H30" s="2"/>
      <x:c r="I30" s="2"/>
      <x:c r="J30" s="2"/>
      <x:c r="K30" s="2"/>
      <x:c r="L30" s="2"/>
      <x:c r="M30" s="2"/>
      <x:c r="N30" s="2"/>
      <x:c r="O30" s="2"/>
      <x:c r="P30" s="2"/>
      <x:c r="Q30" s="2"/>
    </x:row>
    <x:row r="31" ht="23" customHeight="1">
      <x:c r="A31" s="2"/>
      <x:c r="B31" s="2"/>
      <x:c r="C31" s="2"/>
      <x:c r="D31" s="2"/>
      <x:c r="E31" s="2"/>
      <x:c r="F31" s="2"/>
      <x:c r="G31" s="2"/>
      <x:c r="H31" s="2"/>
      <x:c r="I31" s="2"/>
      <x:c r="J31" s="2"/>
      <x:c r="K31" s="2"/>
      <x:c r="L31" s="2"/>
      <x:c r="M31" s="2"/>
      <x:c r="N31" s="2"/>
      <x:c r="O31" s="2"/>
      <x:c r="P31" s="2"/>
      <x:c r="Q31" s="2"/>
    </x:row>
    <x:row r="32" ht="23" customHeight="1">
      <x:c r="A32" s="2"/>
      <x:c r="B32" s="2"/>
      <x:c r="C32" s="2"/>
      <x:c r="D32" s="2"/>
      <x:c r="E32" s="2"/>
      <x:c r="F32" s="2"/>
      <x:c r="G32" s="2"/>
      <x:c r="H32" s="2"/>
      <x:c r="I32" s="2"/>
      <x:c r="J32" s="2"/>
      <x:c r="K32" s="2"/>
      <x:c r="L32" s="2"/>
      <x:c r="M32" s="2"/>
      <x:c r="N32" s="2"/>
      <x:c r="O32" s="2"/>
      <x:c r="P32" s="2"/>
      <x:c r="Q32" s="2"/>
    </x:row>
    <x:row r="33" ht="23" customHeight="1">
      <x:c r="A33" s="2"/>
      <x:c r="B33" s="2"/>
      <x:c r="C33" s="2"/>
      <x:c r="D33" s="2"/>
      <x:c r="E33" s="2"/>
      <x:c r="F33" s="2"/>
      <x:c r="G33" s="2"/>
      <x:c r="H33" s="2"/>
      <x:c r="I33" s="2"/>
      <x:c r="J33" s="2"/>
      <x:c r="K33" s="2"/>
      <x:c r="L33" s="2"/>
      <x:c r="M33" s="2"/>
      <x:c r="N33" s="2"/>
      <x:c r="O33" s="2"/>
      <x:c r="P33" s="2"/>
      <x:c r="Q33" s="2"/>
    </x:row>
    <x:row r="34" ht="23" customHeight="1">
      <x:c r="A34" s="2"/>
      <x:c r="B34" s="2"/>
      <x:c r="C34" s="2"/>
      <x:c r="D34" s="2"/>
      <x:c r="E34" s="2"/>
      <x:c r="F34" s="2"/>
      <x:c r="G34" s="2"/>
      <x:c r="H34" s="2"/>
      <x:c r="I34" s="2"/>
      <x:c r="J34" s="2"/>
      <x:c r="K34" s="2"/>
      <x:c r="L34" s="2"/>
      <x:c r="M34" s="2"/>
      <x:c r="N34" s="2"/>
      <x:c r="O34" s="2"/>
      <x:c r="P34" s="2"/>
      <x:c r="Q34" s="2"/>
    </x:row>
    <x:row r="35" ht="23" customHeight="1">
      <x:c r="A35" s="2"/>
      <x:c r="B35" s="2"/>
      <x:c r="C35" s="2"/>
      <x:c r="D35" s="2"/>
      <x:c r="E35" s="2"/>
      <x:c r="F35" s="2"/>
      <x:c r="G35" s="2"/>
      <x:c r="H35" s="2"/>
      <x:c r="I35" s="2"/>
      <x:c r="J35" s="2"/>
      <x:c r="K35" s="2"/>
      <x:c r="L35" s="2"/>
      <x:c r="M35" s="2"/>
      <x:c r="N35" s="2"/>
      <x:c r="O35" s="2"/>
      <x:c r="P35" s="2"/>
      <x:c r="Q35" s="2"/>
    </x:row>
    <x:row r="36" ht="23" customHeight="1">
      <x:c r="A36" s="2"/>
      <x:c r="B36" s="2"/>
      <x:c r="C36" s="2"/>
      <x:c r="D36" s="2"/>
      <x:c r="E36" s="2"/>
      <x:c r="F36" s="2"/>
      <x:c r="G36" s="2"/>
      <x:c r="H36" s="2"/>
      <x:c r="I36" s="2"/>
      <x:c r="J36" s="2"/>
      <x:c r="K36" s="2"/>
      <x:c r="L36" s="2"/>
      <x:c r="M36" s="2"/>
      <x:c r="N36" s="2"/>
      <x:c r="O36" s="2"/>
      <x:c r="P36" s="2"/>
      <x:c r="Q36" s="2"/>
    </x:row>
    <x:row r="37" ht="23" customHeight="1">
      <x:c r="A37" s="2"/>
      <x:c r="B37" s="2"/>
      <x:c r="C37" s="2"/>
      <x:c r="D37" s="2"/>
      <x:c r="E37" s="2"/>
      <x:c r="F37" s="2"/>
      <x:c r="G37" s="2"/>
      <x:c r="H37" s="2"/>
      <x:c r="I37" s="2"/>
      <x:c r="J37" s="2"/>
      <x:c r="K37" s="2"/>
      <x:c r="L37" s="2"/>
      <x:c r="M37" s="2"/>
      <x:c r="N37" s="2"/>
      <x:c r="O37" s="2"/>
      <x:c r="P37" s="2"/>
      <x:c r="Q37" s="2"/>
    </x:row>
    <x:row r="38" ht="23" customHeight="1">
      <x:c r="A38" s="2"/>
      <x:c r="B38" s="2"/>
      <x:c r="C38" s="2"/>
      <x:c r="D38" s="2"/>
      <x:c r="E38" s="2"/>
      <x:c r="F38" s="2"/>
      <x:c r="G38" s="2"/>
      <x:c r="H38" s="2"/>
      <x:c r="I38" s="2"/>
      <x:c r="J38" s="2"/>
      <x:c r="K38" s="2"/>
      <x:c r="L38" s="2"/>
      <x:c r="M38" s="2"/>
      <x:c r="N38" s="2"/>
      <x:c r="O38" s="2"/>
      <x:c r="P38" s="2"/>
      <x:c r="Q38" s="2"/>
    </x:row>
    <x:row r="39" ht="23" customHeight="1">
      <x:c r="A39" s="2"/>
      <x:c r="B39" s="2"/>
      <x:c r="C39" s="2"/>
      <x:c r="D39" s="2"/>
      <x:c r="E39" s="2"/>
      <x:c r="F39" s="2"/>
      <x:c r="G39" s="2"/>
      <x:c r="H39" s="2"/>
      <x:c r="I39" s="2"/>
      <x:c r="J39" s="2"/>
      <x:c r="K39" s="2"/>
      <x:c r="L39" s="2"/>
      <x:c r="M39" s="2"/>
      <x:c r="N39" s="2"/>
      <x:c r="O39" s="2"/>
      <x:c r="P39" s="2"/>
      <x:c r="Q39" s="2"/>
    </x:row>
    <x:row r="40" ht="23" customHeight="1">
      <x:c r="A40" s="2"/>
      <x:c r="B40" s="2"/>
      <x:c r="C40" s="2"/>
      <x:c r="D40" s="2"/>
      <x:c r="E40" s="2"/>
      <x:c r="F40" s="2"/>
      <x:c r="G40" s="2"/>
      <x:c r="H40" s="2"/>
      <x:c r="I40" s="2"/>
      <x:c r="J40" s="2"/>
      <x:c r="K40" s="2"/>
      <x:c r="L40" s="2"/>
      <x:c r="M40" s="2"/>
      <x:c r="N40" s="2"/>
      <x:c r="O40" s="2"/>
      <x:c r="P40" s="2"/>
      <x:c r="Q40" s="2"/>
    </x:row>
    <x:row r="41" ht="23" customHeight="1">
      <x:c r="A41" s="2"/>
      <x:c r="B41" s="2"/>
      <x:c r="C41" s="2"/>
      <x:c r="D41" s="2"/>
      <x:c r="E41" s="2"/>
      <x:c r="F41" s="2"/>
      <x:c r="G41" s="2"/>
      <x:c r="H41" s="2"/>
      <x:c r="I41" s="2"/>
      <x:c r="J41" s="2"/>
      <x:c r="K41" s="2"/>
      <x:c r="L41" s="2"/>
      <x:c r="M41" s="2"/>
      <x:c r="N41" s="2"/>
      <x:c r="O41" s="2"/>
      <x:c r="P41" s="2"/>
      <x:c r="Q41" s="2"/>
    </x:row>
    <x:row r="42" ht="23" customHeight="1">
      <x:c r="A42" s="2"/>
      <x:c r="B42" s="2"/>
      <x:c r="C42" s="2"/>
      <x:c r="D42" s="2"/>
      <x:c r="E42" s="2"/>
      <x:c r="F42" s="2"/>
      <x:c r="G42" s="2"/>
      <x:c r="H42" s="2"/>
      <x:c r="I42" s="2"/>
      <x:c r="J42" s="2"/>
      <x:c r="K42" s="2"/>
      <x:c r="L42" s="2"/>
      <x:c r="M42" s="2"/>
      <x:c r="N42" s="2"/>
      <x:c r="O42" s="2"/>
      <x:c r="P42" s="2"/>
      <x:c r="Q42" s="2"/>
    </x:row>
    <x:row r="43" ht="23" customHeight="1">
      <x:c r="A43" s="2"/>
      <x:c r="B43" s="2"/>
      <x:c r="C43" s="2"/>
      <x:c r="D43" s="2"/>
      <x:c r="E43" s="2"/>
      <x:c r="F43" s="2"/>
      <x:c r="G43" s="2"/>
      <x:c r="H43" s="2"/>
      <x:c r="I43" s="2"/>
      <x:c r="J43" s="2"/>
      <x:c r="K43" s="2"/>
      <x:c r="L43" s="2"/>
      <x:c r="M43" s="2"/>
      <x:c r="N43" s="2"/>
      <x:c r="O43" s="2"/>
      <x:c r="P43" s="2"/>
      <x:c r="Q43" s="2"/>
    </x:row>
    <x:row r="44" ht="23" customHeight="1">
      <x:c r="A44" s="2"/>
      <x:c r="B44" s="2"/>
      <x:c r="C44" s="2"/>
      <x:c r="D44" s="2"/>
      <x:c r="E44" s="2"/>
      <x:c r="F44" s="2"/>
      <x:c r="G44" s="2"/>
      <x:c r="H44" s="2"/>
      <x:c r="I44" s="2"/>
      <x:c r="J44" s="2"/>
      <x:c r="K44" s="2"/>
      <x:c r="L44" s="2"/>
      <x:c r="M44" s="2"/>
      <x:c r="N44" s="2"/>
      <x:c r="O44" s="2"/>
      <x:c r="P44" s="2"/>
      <x:c r="Q44" s="2"/>
    </x:row>
    <x:row r="45" ht="23" customHeight="1">
      <x:c r="A45" s="2"/>
      <x:c r="B45" s="2"/>
      <x:c r="C45" s="2"/>
      <x:c r="D45" s="2"/>
      <x:c r="E45" s="2"/>
      <x:c r="F45" s="2"/>
      <x:c r="G45" s="2"/>
      <x:c r="H45" s="2"/>
      <x:c r="I45" s="2"/>
      <x:c r="J45" s="2"/>
      <x:c r="K45" s="2"/>
      <x:c r="L45" s="2"/>
      <x:c r="M45" s="2"/>
      <x:c r="N45" s="2"/>
      <x:c r="O45" s="2"/>
      <x:c r="P45" s="2"/>
      <x:c r="Q45" s="2"/>
    </x:row>
    <x:row r="46" ht="23" customHeight="1">
      <x:c r="A46" s="2"/>
      <x:c r="B46" s="2"/>
      <x:c r="C46" s="2"/>
      <x:c r="D46" s="2"/>
      <x:c r="E46" s="2"/>
      <x:c r="F46" s="2"/>
      <x:c r="G46" s="2"/>
      <x:c r="H46" s="2"/>
      <x:c r="I46" s="2"/>
      <x:c r="J46" s="2"/>
      <x:c r="K46" s="2"/>
      <x:c r="L46" s="2"/>
      <x:c r="M46" s="2"/>
      <x:c r="N46" s="2"/>
      <x:c r="O46" s="2"/>
      <x:c r="P46" s="2"/>
      <x:c r="Q46" s="2"/>
    </x:row>
    <x:row r="47" ht="23" customHeight="1">
      <x:c r="A47" s="2"/>
      <x:c r="B47" s="2"/>
      <x:c r="C47" s="2"/>
      <x:c r="D47" s="2"/>
      <x:c r="E47" s="2"/>
      <x:c r="F47" s="2"/>
      <x:c r="G47" s="2"/>
      <x:c r="H47" s="2"/>
      <x:c r="I47" s="2"/>
      <x:c r="J47" s="2"/>
      <x:c r="K47" s="2"/>
      <x:c r="L47" s="2"/>
      <x:c r="M47" s="2"/>
      <x:c r="N47" s="2"/>
      <x:c r="O47" s="2"/>
      <x:c r="P47" s="2"/>
      <x:c r="Q47" s="2"/>
    </x:row>
    <x:row r="48" ht="23" customHeight="1">
      <x:c r="A48" s="2"/>
      <x:c r="B48" s="2"/>
      <x:c r="C48" s="2"/>
      <x:c r="D48" s="2"/>
      <x:c r="E48" s="2"/>
      <x:c r="F48" s="2"/>
      <x:c r="G48" s="2"/>
      <x:c r="H48" s="2"/>
      <x:c r="I48" s="2"/>
      <x:c r="J48" s="2"/>
      <x:c r="K48" s="2"/>
      <x:c r="L48" s="2"/>
      <x:c r="M48" s="2"/>
      <x:c r="N48" s="2"/>
      <x:c r="O48" s="2"/>
      <x:c r="P48" s="2"/>
      <x:c r="Q48" s="2"/>
    </x:row>
    <x:row r="49" ht="23" customHeight="1">
      <x:c r="A49" s="2"/>
      <x:c r="B49" s="2"/>
      <x:c r="C49" s="2"/>
      <x:c r="D49" s="2"/>
      <x:c r="E49" s="2"/>
      <x:c r="F49" s="2"/>
      <x:c r="G49" s="2"/>
      <x:c r="H49" s="2"/>
      <x:c r="I49" s="2"/>
      <x:c r="J49" s="2"/>
      <x:c r="K49" s="2"/>
      <x:c r="L49" s="2"/>
      <x:c r="M49" s="2"/>
      <x:c r="N49" s="2"/>
      <x:c r="O49" s="2"/>
      <x:c r="P49" s="2"/>
      <x:c r="Q49" s="2"/>
    </x:row>
    <x:row r="50" ht="23" customHeight="1">
      <x:c r="A50" s="2"/>
      <x:c r="B50" s="2"/>
      <x:c r="C50" s="2"/>
      <x:c r="D50" s="2"/>
      <x:c r="E50" s="2"/>
      <x:c r="F50" s="2"/>
      <x:c r="G50" s="2"/>
      <x:c r="H50" s="2"/>
      <x:c r="I50" s="2"/>
      <x:c r="J50" s="2"/>
      <x:c r="K50" s="2"/>
      <x:c r="L50" s="2"/>
      <x:c r="M50" s="2"/>
      <x:c r="N50" s="2"/>
      <x:c r="O50" s="2"/>
      <x:c r="P50" s="2"/>
      <x:c r="Q50" s="2"/>
    </x:row>
    <x:row r="51" ht="23" customHeight="1">
      <x:c r="A51" s="2"/>
      <x:c r="B51" s="2"/>
      <x:c r="C51" s="2"/>
      <x:c r="D51" s="2"/>
      <x:c r="E51" s="2"/>
      <x:c r="F51" s="2"/>
      <x:c r="G51" s="2"/>
      <x:c r="H51" s="2"/>
      <x:c r="I51" s="2"/>
      <x:c r="J51" s="2"/>
      <x:c r="K51" s="2"/>
      <x:c r="L51" s="2"/>
      <x:c r="M51" s="2"/>
      <x:c r="N51" s="2"/>
      <x:c r="O51" s="2"/>
      <x:c r="P51" s="2"/>
      <x:c r="Q51" s="2"/>
    </x:row>
    <x:row r="52" ht="23" customHeight="1">
      <x:c r="A52" s="2"/>
      <x:c r="B52" s="2"/>
      <x:c r="C52" s="2"/>
      <x:c r="D52" s="2"/>
      <x:c r="E52" s="2"/>
      <x:c r="F52" s="2"/>
      <x:c r="G52" s="2"/>
      <x:c r="H52" s="2"/>
      <x:c r="I52" s="2"/>
      <x:c r="J52" s="2"/>
      <x:c r="K52" s="2"/>
      <x:c r="L52" s="2"/>
      <x:c r="M52" s="2"/>
      <x:c r="N52" s="2"/>
      <x:c r="O52" s="2"/>
      <x:c r="P52" s="2"/>
      <x:c r="Q52" s="2"/>
    </x:row>
    <x:row r="53" ht="23" customHeight="1">
      <x:c r="A53" s="2"/>
      <x:c r="B53" s="2"/>
      <x:c r="C53" s="2"/>
      <x:c r="D53" s="2"/>
      <x:c r="E53" s="2"/>
      <x:c r="F53" s="2"/>
      <x:c r="G53" s="2"/>
      <x:c r="H53" s="2"/>
      <x:c r="I53" s="2"/>
      <x:c r="J53" s="2"/>
      <x:c r="K53" s="2"/>
      <x:c r="L53" s="2"/>
      <x:c r="M53" s="2"/>
      <x:c r="N53" s="2"/>
      <x:c r="O53" s="2"/>
      <x:c r="P53" s="2"/>
      <x:c r="Q53" s="2"/>
    </x:row>
    <x:row r="54" ht="23" customHeight="1">
      <x:c r="A54" s="2"/>
      <x:c r="B54" s="2"/>
      <x:c r="C54" s="2"/>
      <x:c r="D54" s="2"/>
      <x:c r="E54" s="2"/>
      <x:c r="F54" s="2"/>
      <x:c r="G54" s="2"/>
      <x:c r="H54" s="2"/>
      <x:c r="I54" s="2"/>
      <x:c r="J54" s="2"/>
      <x:c r="K54" s="2"/>
      <x:c r="L54" s="2"/>
      <x:c r="M54" s="2"/>
      <x:c r="N54" s="2"/>
      <x:c r="O54" s="2"/>
      <x:c r="P54" s="2"/>
      <x:c r="Q54" s="2"/>
    </x:row>
    <x:row r="55" ht="23" customHeight="1">
      <x:c r="A55" s="2"/>
      <x:c r="B55" s="2"/>
      <x:c r="C55" s="2"/>
      <x:c r="D55" s="2"/>
      <x:c r="E55" s="2"/>
      <x:c r="F55" s="2"/>
      <x:c r="G55" s="2"/>
      <x:c r="H55" s="2"/>
      <x:c r="I55" s="2"/>
      <x:c r="J55" s="2"/>
      <x:c r="K55" s="2"/>
      <x:c r="L55" s="2"/>
      <x:c r="M55" s="2"/>
      <x:c r="N55" s="2"/>
      <x:c r="O55" s="2"/>
      <x:c r="P55" s="2"/>
      <x:c r="Q55" s="2"/>
    </x:row>
    <x:row r="56" ht="23" customHeight="1">
      <x:c r="A56" s="2"/>
      <x:c r="B56" s="2"/>
      <x:c r="C56" s="2"/>
      <x:c r="D56" s="2"/>
      <x:c r="E56" s="2"/>
      <x:c r="F56" s="2"/>
      <x:c r="G56" s="2"/>
      <x:c r="H56" s="2"/>
      <x:c r="I56" s="2"/>
      <x:c r="J56" s="2"/>
      <x:c r="K56" s="2"/>
      <x:c r="L56" s="2"/>
      <x:c r="M56" s="2"/>
      <x:c r="N56" s="2"/>
      <x:c r="O56" s="2"/>
      <x:c r="P56" s="2"/>
      <x:c r="Q56" s="2"/>
    </x:row>
    <x:row r="57" ht="23" customHeight="1">
      <x:c r="A57" s="2"/>
      <x:c r="B57" s="2"/>
      <x:c r="C57" s="2"/>
      <x:c r="D57" s="2"/>
      <x:c r="E57" s="2"/>
      <x:c r="F57" s="2"/>
      <x:c r="G57" s="2"/>
      <x:c r="H57" s="2"/>
      <x:c r="I57" s="2"/>
      <x:c r="J57" s="2"/>
      <x:c r="K57" s="2"/>
      <x:c r="L57" s="2"/>
      <x:c r="M57" s="2"/>
      <x:c r="N57" s="2"/>
      <x:c r="O57" s="2"/>
      <x:c r="P57" s="2"/>
      <x:c r="Q57" s="2"/>
    </x:row>
    <x:row r="58" ht="23" customHeight="1">
      <x:c r="A58" s="2"/>
      <x:c r="B58" s="2"/>
      <x:c r="C58" s="2"/>
      <x:c r="D58" s="2"/>
      <x:c r="E58" s="2"/>
      <x:c r="F58" s="2"/>
      <x:c r="G58" s="2"/>
      <x:c r="H58" s="2"/>
      <x:c r="I58" s="2"/>
      <x:c r="J58" s="2"/>
      <x:c r="K58" s="2"/>
      <x:c r="L58" s="2"/>
      <x:c r="M58" s="2"/>
      <x:c r="N58" s="2"/>
      <x:c r="O58" s="2"/>
      <x:c r="P58" s="2"/>
      <x:c r="Q58" s="2"/>
    </x:row>
    <x:row r="59" ht="23" customHeight="1">
      <x:c r="A59" s="2"/>
      <x:c r="B59" s="2"/>
      <x:c r="C59" s="2"/>
      <x:c r="D59" s="2"/>
      <x:c r="E59" s="2"/>
      <x:c r="F59" s="2"/>
      <x:c r="G59" s="2"/>
      <x:c r="H59" s="2"/>
      <x:c r="I59" s="2"/>
      <x:c r="J59" s="2"/>
      <x:c r="K59" s="2"/>
      <x:c r="L59" s="2"/>
      <x:c r="M59" s="2"/>
      <x:c r="N59" s="2"/>
      <x:c r="O59" s="2"/>
      <x:c r="P59" s="2"/>
      <x:c r="Q59" s="2"/>
    </x:row>
    <x:row r="60" ht="23" customHeight="1">
      <x:c r="A60" s="2"/>
      <x:c r="B60" s="2"/>
      <x:c r="C60" s="2"/>
      <x:c r="D60" s="2"/>
      <x:c r="E60" s="2"/>
      <x:c r="F60" s="2"/>
      <x:c r="G60" s="2"/>
      <x:c r="H60" s="2"/>
      <x:c r="I60" s="2"/>
      <x:c r="J60" s="2"/>
      <x:c r="K60" s="2"/>
      <x:c r="L60" s="2"/>
      <x:c r="M60" s="2"/>
      <x:c r="N60" s="2"/>
      <x:c r="O60" s="2"/>
      <x:c r="P60" s="2"/>
      <x:c r="Q60" s="2"/>
    </x:row>
    <x:row r="61" ht="23" customHeight="1">
      <x:c r="A61" s="2"/>
      <x:c r="B61" s="2"/>
      <x:c r="C61" s="2"/>
      <x:c r="D61" s="2"/>
      <x:c r="E61" s="2"/>
      <x:c r="F61" s="2"/>
      <x:c r="G61" s="2"/>
      <x:c r="H61" s="2"/>
      <x:c r="I61" s="2"/>
      <x:c r="J61" s="2"/>
      <x:c r="K61" s="2"/>
      <x:c r="L61" s="2"/>
      <x:c r="M61" s="2"/>
      <x:c r="N61" s="2"/>
      <x:c r="O61" s="2"/>
      <x:c r="P61" s="2"/>
      <x:c r="Q61" s="2"/>
    </x:row>
    <x:row r="62" ht="23" customHeight="1">
      <x:c r="A62" s="2"/>
      <x:c r="B62" s="2"/>
      <x:c r="C62" s="2"/>
      <x:c r="D62" s="2"/>
      <x:c r="E62" s="2"/>
      <x:c r="F62" s="2"/>
      <x:c r="G62" s="2"/>
      <x:c r="H62" s="2"/>
      <x:c r="I62" s="2"/>
      <x:c r="J62" s="2"/>
      <x:c r="K62" s="2"/>
      <x:c r="L62" s="2"/>
      <x:c r="M62" s="2"/>
      <x:c r="N62" s="2"/>
      <x:c r="O62" s="2"/>
      <x:c r="P62" s="2"/>
      <x:c r="Q62" s="2"/>
    </x:row>
    <x:row r="63" ht="23" customHeight="1">
      <x:c r="A63" s="2"/>
      <x:c r="B63" s="2"/>
      <x:c r="C63" s="2"/>
      <x:c r="D63" s="2"/>
      <x:c r="E63" s="2"/>
      <x:c r="F63" s="2"/>
      <x:c r="G63" s="2"/>
      <x:c r="H63" s="2"/>
      <x:c r="I63" s="2"/>
      <x:c r="J63" s="2"/>
      <x:c r="K63" s="2"/>
      <x:c r="L63" s="2"/>
      <x:c r="M63" s="2"/>
      <x:c r="N63" s="2"/>
      <x:c r="O63" s="2"/>
      <x:c r="P63" s="2"/>
      <x:c r="Q63" s="2"/>
    </x:row>
    <x:row r="64" ht="23" customHeight="1">
      <x:c r="A64" s="2"/>
      <x:c r="B64" s="2"/>
      <x:c r="C64" s="2"/>
      <x:c r="D64" s="2"/>
      <x:c r="E64" s="2"/>
      <x:c r="F64" s="2"/>
      <x:c r="G64" s="2"/>
      <x:c r="H64" s="2"/>
      <x:c r="I64" s="2"/>
      <x:c r="J64" s="2"/>
      <x:c r="K64" s="2"/>
      <x:c r="L64" s="2"/>
      <x:c r="M64" s="2"/>
      <x:c r="N64" s="2"/>
      <x:c r="O64" s="2"/>
      <x:c r="P64" s="2"/>
      <x:c r="Q64" s="2"/>
    </x:row>
    <x:row r="65" ht="23" customHeight="1">
      <x:c r="A65" s="2"/>
      <x:c r="B65" s="2"/>
      <x:c r="C65" s="2"/>
      <x:c r="D65" s="2"/>
      <x:c r="E65" s="2"/>
      <x:c r="F65" s="2"/>
      <x:c r="G65" s="2"/>
      <x:c r="H65" s="2"/>
      <x:c r="I65" s="2"/>
      <x:c r="J65" s="2"/>
      <x:c r="K65" s="2"/>
      <x:c r="L65" s="2"/>
      <x:c r="M65" s="2"/>
      <x:c r="N65" s="2"/>
      <x:c r="O65" s="2"/>
      <x:c r="P65" s="2"/>
      <x:c r="Q65" s="2"/>
    </x:row>
    <x:row r="66" ht="23" customHeight="1">
      <x:c r="A66" s="2"/>
      <x:c r="B66" s="2"/>
      <x:c r="C66" s="2"/>
      <x:c r="D66" s="2"/>
      <x:c r="E66" s="2"/>
      <x:c r="F66" s="2"/>
      <x:c r="G66" s="2"/>
      <x:c r="H66" s="2"/>
      <x:c r="I66" s="2"/>
      <x:c r="J66" s="2"/>
      <x:c r="K66" s="2"/>
      <x:c r="L66" s="2"/>
      <x:c r="M66" s="2"/>
      <x:c r="N66" s="2"/>
      <x:c r="O66" s="2"/>
      <x:c r="P66" s="2"/>
      <x:c r="Q66" s="2"/>
    </x:row>
    <x:row r="67" ht="23" customHeight="1">
      <x:c r="A67" s="2"/>
      <x:c r="B67" s="2"/>
      <x:c r="C67" s="2"/>
      <x:c r="D67" s="2"/>
      <x:c r="E67" s="2"/>
      <x:c r="F67" s="2"/>
      <x:c r="G67" s="2"/>
      <x:c r="H67" s="2"/>
      <x:c r="I67" s="2"/>
      <x:c r="J67" s="2"/>
      <x:c r="K67" s="2"/>
      <x:c r="L67" s="2"/>
      <x:c r="M67" s="2"/>
      <x:c r="N67" s="2"/>
      <x:c r="O67" s="2"/>
      <x:c r="P67" s="2"/>
      <x:c r="Q67" s="2"/>
    </x:row>
    <x:row r="68" ht="23" customHeight="1">
      <x:c r="A68" s="2"/>
      <x:c r="B68" s="2"/>
      <x:c r="C68" s="2"/>
      <x:c r="D68" s="2"/>
      <x:c r="E68" s="2"/>
      <x:c r="F68" s="2"/>
      <x:c r="G68" s="2"/>
      <x:c r="H68" s="2"/>
      <x:c r="I68" s="2"/>
      <x:c r="J68" s="2"/>
      <x:c r="K68" s="2"/>
      <x:c r="L68" s="2"/>
      <x:c r="M68" s="2"/>
      <x:c r="N68" s="2"/>
      <x:c r="O68" s="2"/>
      <x:c r="P68" s="2"/>
      <x:c r="Q68" s="2"/>
    </x:row>
    <x:row r="69" ht="23" customHeight="1">
      <x:c r="A69" s="2"/>
      <x:c r="B69" s="2"/>
      <x:c r="C69" s="2"/>
      <x:c r="D69" s="2"/>
      <x:c r="E69" s="2"/>
      <x:c r="F69" s="2"/>
      <x:c r="G69" s="2"/>
      <x:c r="H69" s="2"/>
      <x:c r="I69" s="2"/>
      <x:c r="J69" s="2"/>
      <x:c r="K69" s="2"/>
      <x:c r="L69" s="2"/>
      <x:c r="M69" s="2"/>
      <x:c r="N69" s="2"/>
      <x:c r="O69" s="2"/>
      <x:c r="P69" s="2"/>
      <x:c r="Q69" s="2"/>
    </x:row>
    <x:row r="70" ht="23" customHeight="1">
      <x:c r="A70" s="2"/>
      <x:c r="B70" s="2"/>
      <x:c r="C70" s="2"/>
      <x:c r="D70" s="2"/>
      <x:c r="E70" s="2"/>
      <x:c r="F70" s="2"/>
      <x:c r="G70" s="2"/>
      <x:c r="H70" s="2"/>
      <x:c r="I70" s="2"/>
      <x:c r="J70" s="2"/>
      <x:c r="K70" s="2"/>
      <x:c r="L70" s="2"/>
      <x:c r="M70" s="2"/>
      <x:c r="N70" s="2"/>
      <x:c r="O70" s="2"/>
      <x:c r="P70" s="2"/>
      <x:c r="Q70" s="2"/>
    </x:row>
    <x:row r="71" ht="23" customHeight="1">
      <x:c r="A71" s="2"/>
      <x:c r="B71" s="2"/>
      <x:c r="C71" s="2"/>
      <x:c r="D71" s="2"/>
      <x:c r="E71" s="2"/>
      <x:c r="F71" s="2"/>
      <x:c r="G71" s="2"/>
      <x:c r="H71" s="2"/>
      <x:c r="I71" s="2"/>
      <x:c r="J71" s="2"/>
      <x:c r="K71" s="2"/>
      <x:c r="L71" s="2"/>
      <x:c r="M71" s="2"/>
      <x:c r="N71" s="2"/>
      <x:c r="O71" s="2"/>
      <x:c r="P71" s="2"/>
      <x:c r="Q71" s="2"/>
    </x:row>
    <x:row r="72" ht="23" customHeight="1">
      <x:c r="A72" s="2"/>
      <x:c r="B72" s="2"/>
      <x:c r="C72" s="2"/>
      <x:c r="D72" s="2"/>
      <x:c r="E72" s="2"/>
      <x:c r="F72" s="2"/>
      <x:c r="G72" s="2"/>
      <x:c r="H72" s="2"/>
      <x:c r="I72" s="2"/>
      <x:c r="J72" s="2"/>
      <x:c r="K72" s="2"/>
      <x:c r="L72" s="2"/>
      <x:c r="M72" s="2"/>
      <x:c r="N72" s="2"/>
      <x:c r="O72" s="2"/>
      <x:c r="P72" s="2"/>
      <x:c r="Q72" s="2"/>
    </x:row>
    <x:row r="73" ht="23" customHeight="1">
      <x:c r="A73" s="2"/>
      <x:c r="B73" s="2"/>
      <x:c r="C73" s="2"/>
      <x:c r="D73" s="2"/>
      <x:c r="E73" s="2"/>
      <x:c r="F73" s="2"/>
      <x:c r="G73" s="2"/>
      <x:c r="H73" s="2"/>
      <x:c r="I73" s="2"/>
      <x:c r="J73" s="2"/>
      <x:c r="K73" s="2"/>
      <x:c r="L73" s="2"/>
      <x:c r="M73" s="2"/>
      <x:c r="N73" s="2"/>
      <x:c r="O73" s="2"/>
      <x:c r="P73" s="2"/>
      <x:c r="Q73" s="2"/>
    </x:row>
    <x:row r="74" ht="23" customHeight="1">
      <x:c r="A74" s="2"/>
      <x:c r="B74" s="2"/>
      <x:c r="C74" s="2"/>
      <x:c r="D74" s="2"/>
      <x:c r="E74" s="2"/>
      <x:c r="F74" s="2"/>
      <x:c r="G74" s="2"/>
      <x:c r="H74" s="2"/>
      <x:c r="I74" s="2"/>
      <x:c r="J74" s="2"/>
      <x:c r="K74" s="2"/>
      <x:c r="L74" s="2"/>
      <x:c r="M74" s="2"/>
      <x:c r="N74" s="2"/>
      <x:c r="O74" s="2"/>
      <x:c r="P74" s="2"/>
      <x:c r="Q74" s="2"/>
    </x:row>
    <x:row r="75" ht="23" customHeight="1">
      <x:c r="A75" s="2"/>
      <x:c r="B75" s="2"/>
      <x:c r="C75" s="2"/>
      <x:c r="D75" s="2"/>
      <x:c r="E75" s="2"/>
      <x:c r="F75" s="2"/>
      <x:c r="G75" s="2"/>
      <x:c r="H75" s="2"/>
      <x:c r="I75" s="2"/>
      <x:c r="J75" s="2"/>
      <x:c r="K75" s="2"/>
      <x:c r="L75" s="2"/>
      <x:c r="M75" s="2"/>
      <x:c r="N75" s="2"/>
      <x:c r="O75" s="2"/>
      <x:c r="P75" s="2"/>
      <x:c r="Q75" s="2"/>
    </x:row>
    <x:row r="76" ht="23" customHeight="1">
      <x:c r="A76" s="2"/>
      <x:c r="B76" s="2"/>
      <x:c r="C76" s="2"/>
      <x:c r="D76" s="2"/>
      <x:c r="E76" s="2"/>
      <x:c r="F76" s="2"/>
      <x:c r="G76" s="2"/>
      <x:c r="H76" s="2"/>
      <x:c r="I76" s="2"/>
      <x:c r="J76" s="2"/>
      <x:c r="K76" s="2"/>
      <x:c r="L76" s="2"/>
      <x:c r="M76" s="2"/>
      <x:c r="N76" s="2"/>
      <x:c r="O76" s="2"/>
      <x:c r="P76" s="2"/>
      <x:c r="Q76" s="2"/>
    </x:row>
    <x:row r="77" ht="23" customHeight="1">
      <x:c r="A77" s="2"/>
      <x:c r="B77" s="2"/>
      <x:c r="C77" s="2"/>
      <x:c r="D77" s="2"/>
      <x:c r="E77" s="2"/>
      <x:c r="F77" s="2"/>
      <x:c r="G77" s="2"/>
      <x:c r="H77" s="2"/>
      <x:c r="I77" s="2"/>
      <x:c r="J77" s="2"/>
      <x:c r="K77" s="2"/>
      <x:c r="L77" s="2"/>
      <x:c r="M77" s="2"/>
      <x:c r="N77" s="2"/>
      <x:c r="O77" s="2"/>
      <x:c r="P77" s="2"/>
      <x:c r="Q77" s="2"/>
    </x:row>
    <x:row r="78" ht="23" customHeight="1">
      <x:c r="A78" s="2"/>
      <x:c r="B78" s="2"/>
      <x:c r="C78" s="2"/>
      <x:c r="D78" s="2"/>
      <x:c r="E78" s="2"/>
      <x:c r="F78" s="2"/>
      <x:c r="G78" s="2"/>
      <x:c r="H78" s="2"/>
      <x:c r="I78" s="2"/>
      <x:c r="J78" s="2"/>
      <x:c r="K78" s="2"/>
      <x:c r="L78" s="2"/>
      <x:c r="M78" s="2"/>
      <x:c r="N78" s="2"/>
      <x:c r="O78" s="2"/>
      <x:c r="P78" s="2"/>
      <x:c r="Q78" s="2"/>
    </x:row>
    <x:row r="79" ht="23" customHeight="1">
      <x:c r="A79" s="2"/>
      <x:c r="B79" s="2"/>
      <x:c r="C79" s="2"/>
      <x:c r="D79" s="2"/>
      <x:c r="E79" s="2"/>
      <x:c r="F79" s="2"/>
      <x:c r="G79" s="2"/>
      <x:c r="H79" s="2"/>
      <x:c r="I79" s="2"/>
      <x:c r="J79" s="2"/>
      <x:c r="K79" s="2"/>
      <x:c r="L79" s="2"/>
      <x:c r="M79" s="2"/>
      <x:c r="N79" s="2"/>
      <x:c r="O79" s="2"/>
      <x:c r="P79" s="2"/>
      <x:c r="Q79" s="2"/>
    </x:row>
    <x:row r="80" ht="23" customHeight="1">
      <x:c r="A80" s="2"/>
      <x:c r="B80" s="2"/>
      <x:c r="C80" s="2"/>
      <x:c r="D80" s="2"/>
      <x:c r="E80" s="2"/>
      <x:c r="F80" s="2"/>
      <x:c r="G80" s="2"/>
      <x:c r="H80" s="2"/>
      <x:c r="I80" s="2"/>
      <x:c r="J80" s="2"/>
      <x:c r="K80" s="2"/>
      <x:c r="L80" s="2"/>
      <x:c r="M80" s="2"/>
      <x:c r="N80" s="2"/>
      <x:c r="O80" s="2"/>
      <x:c r="P80" s="2"/>
      <x:c r="Q80" s="2"/>
    </x:row>
    <x:row r="81" ht="23" customHeight="1">
      <x:c r="A81" s="2"/>
      <x:c r="B81" s="2"/>
      <x:c r="C81" s="2"/>
      <x:c r="D81" s="2"/>
      <x:c r="E81" s="2"/>
      <x:c r="F81" s="2"/>
      <x:c r="G81" s="2"/>
      <x:c r="H81" s="2"/>
      <x:c r="I81" s="2"/>
      <x:c r="J81" s="2"/>
      <x:c r="K81" s="2"/>
      <x:c r="L81" s="2"/>
      <x:c r="M81" s="2"/>
      <x:c r="N81" s="2"/>
      <x:c r="O81" s="2"/>
      <x:c r="P81" s="2"/>
      <x:c r="Q81" s="2"/>
    </x:row>
    <x:row r="82" ht="23" customHeight="1">
      <x:c r="A82" s="2"/>
      <x:c r="B82" s="2"/>
      <x:c r="C82" s="2"/>
      <x:c r="D82" s="2"/>
      <x:c r="E82" s="2"/>
      <x:c r="F82" s="2"/>
      <x:c r="G82" s="2"/>
      <x:c r="H82" s="2"/>
      <x:c r="I82" s="2"/>
      <x:c r="J82" s="2"/>
      <x:c r="K82" s="2"/>
      <x:c r="L82" s="2"/>
      <x:c r="M82" s="2"/>
      <x:c r="N82" s="2"/>
      <x:c r="O82" s="2"/>
      <x:c r="P82" s="2"/>
      <x:c r="Q82" s="2"/>
    </x:row>
    <x:row r="83" ht="23" customHeight="1">
      <x:c r="A83" s="2"/>
      <x:c r="B83" s="2"/>
      <x:c r="C83" s="2"/>
      <x:c r="D83" s="2"/>
      <x:c r="E83" s="2"/>
      <x:c r="F83" s="2"/>
      <x:c r="G83" s="2"/>
      <x:c r="H83" s="2"/>
      <x:c r="I83" s="2"/>
      <x:c r="J83" s="2"/>
      <x:c r="K83" s="2"/>
      <x:c r="L83" s="2"/>
      <x:c r="M83" s="2"/>
      <x:c r="N83" s="2"/>
      <x:c r="O83" s="2"/>
      <x:c r="P83" s="2"/>
      <x:c r="Q83" s="2"/>
    </x:row>
    <x:row r="84" ht="23" customHeight="1">
      <x:c r="A84" s="2"/>
      <x:c r="B84" s="2"/>
      <x:c r="C84" s="2"/>
      <x:c r="D84" s="2"/>
      <x:c r="E84" s="2"/>
      <x:c r="F84" s="2"/>
      <x:c r="G84" s="2"/>
      <x:c r="H84" s="2"/>
      <x:c r="I84" s="2"/>
      <x:c r="J84" s="2"/>
      <x:c r="K84" s="2"/>
      <x:c r="L84" s="2"/>
      <x:c r="M84" s="2"/>
      <x:c r="N84" s="2"/>
      <x:c r="O84" s="2"/>
      <x:c r="P84" s="2"/>
      <x:c r="Q84" s="2"/>
    </x:row>
    <x:row r="85" ht="23" customHeight="1">
      <x:c r="A85" s="2"/>
      <x:c r="B85" s="2"/>
      <x:c r="C85" s="2"/>
      <x:c r="D85" s="2"/>
      <x:c r="E85" s="2"/>
      <x:c r="F85" s="2"/>
      <x:c r="G85" s="2"/>
      <x:c r="H85" s="2"/>
      <x:c r="I85" s="2"/>
      <x:c r="J85" s="2"/>
      <x:c r="K85" s="2"/>
      <x:c r="L85" s="2"/>
      <x:c r="M85" s="2"/>
      <x:c r="N85" s="2"/>
      <x:c r="O85" s="2"/>
      <x:c r="P85" s="2"/>
      <x:c r="Q85" s="2"/>
    </x:row>
    <x:row r="86" ht="23" customHeight="1">
      <x:c r="A86" s="2"/>
      <x:c r="B86" s="2"/>
      <x:c r="C86" s="2"/>
      <x:c r="D86" s="2"/>
      <x:c r="E86" s="2"/>
      <x:c r="F86" s="2"/>
      <x:c r="G86" s="2"/>
      <x:c r="H86" s="2"/>
      <x:c r="I86" s="2"/>
      <x:c r="J86" s="2"/>
      <x:c r="K86" s="2"/>
      <x:c r="L86" s="2"/>
      <x:c r="M86" s="2"/>
      <x:c r="N86" s="2"/>
      <x:c r="O86" s="2"/>
      <x:c r="P86" s="2"/>
      <x:c r="Q86" s="2"/>
    </x:row>
    <x:row r="87" ht="23" customHeight="1">
      <x:c r="A87" s="2"/>
      <x:c r="B87" s="2"/>
      <x:c r="C87" s="2"/>
      <x:c r="D87" s="2"/>
      <x:c r="E87" s="2"/>
      <x:c r="F87" s="2"/>
      <x:c r="G87" s="2"/>
      <x:c r="H87" s="2"/>
      <x:c r="I87" s="2"/>
      <x:c r="J87" s="2"/>
      <x:c r="K87" s="2"/>
      <x:c r="L87" s="2"/>
      <x:c r="M87" s="2"/>
      <x:c r="N87" s="2"/>
      <x:c r="O87" s="2"/>
      <x:c r="P87" s="2"/>
      <x:c r="Q87" s="2"/>
    </x:row>
    <x:row r="88" ht="23" customHeight="1">
      <x:c r="A88" s="2"/>
      <x:c r="B88" s="2"/>
      <x:c r="C88" s="2"/>
      <x:c r="D88" s="2"/>
      <x:c r="E88" s="2"/>
      <x:c r="F88" s="2"/>
      <x:c r="G88" s="2"/>
      <x:c r="H88" s="2"/>
      <x:c r="I88" s="2"/>
      <x:c r="J88" s="2"/>
      <x:c r="K88" s="2"/>
      <x:c r="L88" s="2"/>
      <x:c r="M88" s="2"/>
      <x:c r="N88" s="2"/>
      <x:c r="O88" s="2"/>
      <x:c r="P88" s="2"/>
      <x:c r="Q88" s="2"/>
    </x:row>
    <x:row r="89" ht="23" customHeight="1">
      <x:c r="A89" s="2"/>
      <x:c r="B89" s="2"/>
      <x:c r="C89" s="2"/>
      <x:c r="D89" s="2"/>
      <x:c r="E89" s="2"/>
      <x:c r="F89" s="2"/>
      <x:c r="G89" s="2"/>
      <x:c r="H89" s="2"/>
      <x:c r="I89" s="2"/>
      <x:c r="J89" s="2"/>
      <x:c r="K89" s="2"/>
      <x:c r="L89" s="2"/>
      <x:c r="M89" s="2"/>
      <x:c r="N89" s="2"/>
      <x:c r="O89" s="2"/>
      <x:c r="P89" s="2"/>
      <x:c r="Q89" s="2"/>
    </x:row>
    <x:row r="90" ht="23" customHeight="1">
      <x:c r="A90" s="2"/>
      <x:c r="B90" s="2"/>
      <x:c r="C90" s="2"/>
      <x:c r="D90" s="2"/>
      <x:c r="E90" s="2"/>
      <x:c r="F90" s="2"/>
      <x:c r="G90" s="2"/>
      <x:c r="H90" s="2"/>
      <x:c r="I90" s="2"/>
      <x:c r="J90" s="2"/>
      <x:c r="K90" s="2"/>
      <x:c r="L90" s="2"/>
      <x:c r="M90" s="2"/>
      <x:c r="N90" s="2"/>
      <x:c r="O90" s="2"/>
      <x:c r="P90" s="2"/>
      <x:c r="Q90" s="2"/>
    </x:row>
  </x:sheetData>
  <x:conditionalFormatting sqref="F6:F7">
    <x:cfRule type="cellIs" dxfId="2" priority="1" operator="lessThan">
      <x:formula>0</x:formula>
    </x:cfRule>
    <x:cfRule type="cellIs" dxfId="3" priority="2" operator="greaterThan">
      <x:formula>0</x:formula>
    </x:cfRule>
  </x:conditionalFormatting>
  <x:pageMargins left="0.7" right="0.7" top="0.75" bottom="0.75" header="0.3" footer="0.3"/>
  <x:drawing xmlns:r="http://schemas.openxmlformats.org/officeDocument/2006/relationships" r:id="R03bac68657494455"/>
</x:worksheet>
</file>

<file path=xl/worksheets/sheet2.xml><?xml version="1.0" encoding="utf-8"?>
<x:worksheet xmlns:x="http://schemas.openxmlformats.org/spreadsheetml/2006/main">
  <x:sheetViews>
    <x:sheetView showGridLines="0" workbookViewId="0"/>
  </x:sheetViews>
  <x:sheetFormatPr defaultRowHeight="15"/>
  <x:cols>
    <x:col min="1" max="1" width="3" hidden="0" customWidth="1"/>
    <x:col min="2" max="2" width="3" hidden="0" customWidth="1"/>
    <x:col min="3" max="3" width="36"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s>
  <x:sheetData>
    <x:row r="1" ht="23" customHeight="1">
      <x:c r="A1" s="2"/>
      <x:c r="B1" s="2"/>
      <x:c r="C1" s="2"/>
      <x:c r="D1" s="2"/>
      <x:c r="E1" s="2"/>
      <x:c r="F1" s="2"/>
      <x:c r="G1" s="2"/>
      <x:c r="H1" s="2"/>
      <x:c r="I1" s="2"/>
      <x:c r="J1" s="2"/>
      <x:c r="K1" s="2"/>
      <x:c r="L1" s="2"/>
      <x:c r="M1" s="2"/>
      <x:c r="N1" s="2"/>
      <x:c r="O1" s="2"/>
      <x:c r="P1" s="2"/>
      <x:c r="Q1" s="2"/>
    </x:row>
    <x:row r="2" ht="23" customHeight="1">
      <x:c r="A2" s="2"/>
      <x:c r="B2" s="2"/>
      <x:c r="C2" s="3" t="str">
        <x:v>PG | Earlier-quarter financial review</x:v>
      </x:c>
      <x:c r="D2" s="2"/>
      <x:c r="E2" s="2"/>
      <x:c r="F2" s="2"/>
      <x:c r="G2" s="2"/>
      <x:c r="H2" s="2"/>
      <x:c r="I2" s="2"/>
      <x:c r="J2" s="2"/>
      <x:c r="K2" s="2"/>
      <x:c r="L2" s="2"/>
      <x:c r="M2" s="2"/>
      <x:c r="N2" s="2"/>
      <x:c r="O2" s="2"/>
      <x:c r="P2" s="2"/>
      <x:c r="Q2" s="2"/>
    </x:row>
    <x:row r="3" ht="23" customHeight="1">
      <x:c r="A3" s="2"/>
      <x:c r="B3" s="2"/>
      <x:c r="C3" s="4"/>
      <x:c r="D3" s="4"/>
      <x:c r="E3" s="4"/>
      <x:c r="F3" s="4"/>
      <x:c r="G3" s="4"/>
      <x:c r="H3" s="4"/>
      <x:c r="I3" s="4"/>
      <x:c r="J3" s="4"/>
      <x:c r="K3" s="2"/>
      <x:c r="L3" s="2"/>
      <x:c r="M3" s="2"/>
      <x:c r="N3" s="2"/>
      <x:c r="O3" s="2"/>
      <x:c r="P3" s="2"/>
      <x:c r="Q3" s="2"/>
    </x:row>
    <x:row r="4" ht="23" customHeight="1">
      <x:c r="A4" s="2"/>
      <x:c r="B4" s="2"/>
      <x:c r="C4" s="2"/>
      <x:c r="D4" s="2"/>
      <x:c r="E4" s="2"/>
      <x:c r="F4" s="2"/>
      <x:c r="G4" s="2"/>
      <x:c r="H4" s="2"/>
      <x:c r="I4" s="2"/>
      <x:c r="J4" s="2"/>
      <x:c r="K4" s="2"/>
      <x:c r="L4" s="2"/>
      <x:c r="M4" s="2"/>
      <x:c r="N4" s="2"/>
      <x:c r="O4" s="2"/>
      <x:c r="P4" s="2"/>
      <x:c r="Q4" s="2"/>
    </x:row>
    <x:row r="5" ht="40" customHeight="1">
      <x:c r="A5" s="2"/>
      <x:c r="B5" s="2"/>
      <x:c r="C5" s="13" t="str">
        <x:v>Jan–Mar metric</x:v>
      </x:c>
      <x:c r="D5" s="13" t="str">
        <x:v>2026</x:v>
      </x:c>
      <x:c r="E5" s="13" t="str">
        <x:v>2025</x:v>
      </x:c>
      <x:c r="F5" s="13" t="str">
        <x:v>Year-on-year</x:v>
      </x:c>
      <x:c r="G5" s="2"/>
      <x:c r="H5" s="2"/>
      <x:c r="I5" s="2"/>
      <x:c r="J5" s="2"/>
      <x:c r="K5" s="2"/>
      <x:c r="L5" s="2"/>
      <x:c r="M5" s="2"/>
      <x:c r="N5" s="2"/>
      <x:c r="O5" s="2"/>
      <x:c r="P5" s="2"/>
      <x:c r="Q5" s="2"/>
    </x:row>
    <x:row r="6" ht="23" customHeight="1">
      <x:c r="A6" s="2"/>
      <x:c r="B6" s="2"/>
      <x:c r="C6" s="2" t="str">
        <x:v>Net Sales</x:v>
      </x:c>
      <x:c r="D6" s="20" t="n">
        <x:v>21235</x:v>
      </x:c>
      <x:c r="E6" s="20" t="n">
        <x:v>19776</x:v>
      </x:c>
      <x:c r="F6" s="8" t="n">
        <x:f>D6/E6-1</x:f>
        <x:v>0.07377629449838197</x:v>
      </x:c>
      <x:c r="G6" s="2"/>
      <x:c r="H6" s="2"/>
      <x:c r="I6" s="2"/>
      <x:c r="J6" s="2"/>
      <x:c r="K6" s="2"/>
      <x:c r="L6" s="2"/>
      <x:c r="M6" s="2"/>
      <x:c r="N6" s="2"/>
      <x:c r="O6" s="2"/>
      <x:c r="P6" s="2"/>
      <x:c r="Q6" s="2"/>
    </x:row>
    <x:row r="7" ht="23" customHeight="1">
      <x:c r="A7" s="2"/>
      <x:c r="B7" s="2"/>
      <x:c r="C7" s="2" t="str">
        <x:v>Net Income Attributable</x:v>
      </x:c>
      <x:c r="D7" s="20" t="n">
        <x:v>3932</x:v>
      </x:c>
      <x:c r="E7" s="20" t="n">
        <x:v>3769</x:v>
      </x:c>
      <x:c r="F7" s="8" t="n">
        <x:f>D7/E7-1</x:f>
        <x:v>0.0432475457681083</x:v>
      </x:c>
      <x:c r="G7" s="2"/>
      <x:c r="H7" s="2"/>
      <x:c r="I7" s="2"/>
      <x:c r="J7" s="2"/>
      <x:c r="K7" s="2"/>
      <x:c r="L7" s="2"/>
      <x:c r="M7" s="2"/>
      <x:c r="N7" s="2"/>
      <x:c r="O7" s="2"/>
      <x:c r="P7" s="2"/>
      <x:c r="Q7" s="2"/>
    </x:row>
    <x:row r="8" ht="23" customHeight="1">
      <x:c r="A8" s="2"/>
      <x:c r="B8" s="2"/>
      <x:c r="C8" s="2" t="str">
        <x:v>Operating Cash Flow</x:v>
      </x:c>
      <x:c r="D8" s="20" t="n">
        <x:v>4045</x:v>
      </x:c>
      <x:c r="E8" s="20" t="n">
        <x:v>3705</x:v>
      </x:c>
      <x:c r="F8" s="8" t="n">
        <x:f>D8/E8-1</x:f>
        <x:v>0.09176788124156543</x:v>
      </x:c>
      <x:c r="G8" s="2"/>
      <x:c r="H8" s="2"/>
      <x:c r="I8" s="2"/>
      <x:c r="J8" s="2"/>
      <x:c r="K8" s="2"/>
      <x:c r="L8" s="2"/>
      <x:c r="M8" s="2"/>
      <x:c r="N8" s="2"/>
      <x:c r="O8" s="2"/>
      <x:c r="P8" s="2"/>
      <x:c r="Q8" s="2"/>
    </x:row>
    <x:row r="9" ht="23" customHeight="1">
      <x:c r="A9" s="2"/>
      <x:c r="B9" s="2"/>
      <x:c r="C9" s="2"/>
      <x:c r="D9" s="2"/>
      <x:c r="E9" s="2"/>
      <x:c r="F9" s="2"/>
      <x:c r="G9" s="2"/>
      <x:c r="H9" s="2"/>
      <x:c r="I9" s="2"/>
      <x:c r="J9" s="2"/>
      <x:c r="K9" s="2"/>
      <x:c r="L9" s="2"/>
      <x:c r="M9" s="2"/>
      <x:c r="N9" s="2"/>
      <x:c r="O9" s="2"/>
      <x:c r="P9" s="2"/>
      <x:c r="Q9" s="2"/>
    </x:row>
    <x:row r="10" ht="23" customHeight="1">
      <x:c r="A10" s="2"/>
      <x:c r="B10" s="2"/>
      <x:c r="C10" s="2"/>
      <x:c r="D10" s="2"/>
      <x:c r="E10" s="2"/>
      <x:c r="F10" s="2"/>
      <x:c r="G10" s="2"/>
      <x:c r="H10" s="2"/>
      <x:c r="I10" s="2"/>
      <x:c r="J10" s="2"/>
      <x:c r="K10" s="2"/>
      <x:c r="L10" s="2"/>
      <x:c r="M10" s="2"/>
      <x:c r="N10" s="2"/>
      <x:c r="O10" s="2"/>
      <x:c r="P10" s="2"/>
      <x:c r="Q10" s="2"/>
    </x:row>
    <x:row r="11" ht="40" customHeight="1">
      <x:c r="A11" s="2"/>
      <x:c r="B11" s="2"/>
      <x:c r="C11" s="13" t="str">
        <x:v>Balance sheet item</x:v>
      </x:c>
      <x:c r="D11" s="13" t="str">
        <x:v>31 Mar 2026</x:v>
      </x:c>
      <x:c r="E11" s="13" t="str">
        <x:v>31 Dec 2025</x:v>
      </x:c>
      <x:c r="F11" s="2"/>
      <x:c r="G11" s="2"/>
      <x:c r="H11" s="2"/>
      <x:c r="I11" s="2"/>
      <x:c r="J11" s="2"/>
      <x:c r="K11" s="2"/>
      <x:c r="L11" s="2"/>
      <x:c r="M11" s="2"/>
      <x:c r="N11" s="2"/>
      <x:c r="O11" s="2"/>
      <x:c r="P11" s="2"/>
      <x:c r="Q11" s="2"/>
    </x:row>
    <x:row r="12" ht="23" customHeight="1">
      <x:c r="A12" s="2"/>
      <x:c r="B12" s="2"/>
      <x:c r="C12" s="2" t="str">
        <x:v>Cash Equivalents</x:v>
      </x:c>
      <x:c r="D12" s="20" t="n">
        <x:v>12306</x:v>
      </x:c>
      <x:c r="E12" s="20" t="n">
        <x:v>10825</x:v>
      </x:c>
      <x:c r="F12" s="2"/>
      <x:c r="G12" s="2"/>
      <x:c r="H12" s="2"/>
      <x:c r="I12" s="2"/>
      <x:c r="J12" s="2"/>
      <x:c r="K12" s="2"/>
      <x:c r="L12" s="2"/>
      <x:c r="M12" s="2"/>
      <x:c r="N12" s="2"/>
      <x:c r="O12" s="2"/>
      <x:c r="P12" s="2"/>
      <x:c r="Q12" s="2"/>
    </x:row>
    <x:row r="13" ht="23" customHeight="1">
      <x:c r="A13" s="2"/>
      <x:c r="B13" s="2"/>
      <x:c r="C13" s="2" t="str">
        <x:v>Total Assets</x:v>
      </x:c>
      <x:c r="D13" s="20" t="n">
        <x:v>128378</x:v>
      </x:c>
      <x:c r="E13" s="20" t="n">
        <x:v>127286</x:v>
      </x:c>
      <x:c r="F13" s="2"/>
      <x:c r="G13" s="2"/>
      <x:c r="H13" s="2"/>
      <x:c r="I13" s="2"/>
      <x:c r="J13" s="2"/>
      <x:c r="K13" s="2"/>
      <x:c r="L13" s="2"/>
      <x:c r="M13" s="2"/>
      <x:c r="N13" s="2"/>
      <x:c r="O13" s="2"/>
      <x:c r="P13" s="2"/>
      <x:c r="Q13" s="2"/>
    </x:row>
    <x:row r="14" ht="23" customHeight="1">
      <x:c r="A14" s="2"/>
      <x:c r="B14" s="2"/>
      <x:c r="C14" s="2" t="str">
        <x:v>Current Debt</x:v>
      </x:c>
      <x:c r="D14" s="20" t="n">
        <x:v>13174</x:v>
      </x:c>
      <x:c r="E14" s="20" t="n">
        <x:v>11062</x:v>
      </x:c>
      <x:c r="F14" s="2"/>
      <x:c r="G14" s="2"/>
      <x:c r="H14" s="2"/>
      <x:c r="I14" s="2"/>
      <x:c r="J14" s="2"/>
      <x:c r="K14" s="2"/>
      <x:c r="L14" s="2"/>
      <x:c r="M14" s="2"/>
      <x:c r="N14" s="2"/>
      <x:c r="O14" s="2"/>
      <x:c r="P14" s="2"/>
      <x:c r="Q14" s="2"/>
    </x:row>
    <x:row r="15" ht="23" customHeight="1">
      <x:c r="A15" s="2"/>
      <x:c r="B15" s="2"/>
      <x:c r="C15" s="2" t="str">
        <x:v>Long Term Debt</x:v>
      </x:c>
      <x:c r="D15" s="20" t="n">
        <x:v>23852</x:v>
      </x:c>
      <x:c r="E15" s="20" t="n">
        <x:v>25577</x:v>
      </x:c>
      <x:c r="F15" s="2"/>
      <x:c r="G15" s="2"/>
      <x:c r="H15" s="2"/>
      <x:c r="I15" s="2"/>
      <x:c r="J15" s="2"/>
      <x:c r="K15" s="2"/>
      <x:c r="L15" s="2"/>
      <x:c r="M15" s="2"/>
      <x:c r="N15" s="2"/>
      <x:c r="O15" s="2"/>
      <x:c r="P15" s="2"/>
      <x:c r="Q15" s="2"/>
    </x:row>
    <x:row r="16" ht="23" customHeight="1">
      <x:c r="A16" s="2"/>
      <x:c r="B16" s="2"/>
      <x:c r="C16" s="2" t="str">
        <x:v>Equity</x:v>
      </x:c>
      <x:c r="D16" s="20" t="n">
        <x:v>54731</x:v>
      </x:c>
      <x:c r="E16" s="20" t="n">
        <x:v>53317</x:v>
      </x:c>
      <x:c r="F16" s="2"/>
      <x:c r="G16" s="2"/>
      <x:c r="H16" s="2"/>
      <x:c r="I16" s="2"/>
      <x:c r="J16" s="2"/>
      <x:c r="K16" s="2"/>
      <x:c r="L16" s="2"/>
      <x:c r="M16" s="2"/>
      <x:c r="N16" s="2"/>
      <x:c r="O16" s="2"/>
      <x:c r="P16" s="2"/>
      <x:c r="Q16" s="2"/>
    </x:row>
    <x:row r="17" ht="23" customHeight="1">
      <x:c r="A17" s="2"/>
      <x:c r="B17" s="2"/>
      <x:c r="C17" s="2"/>
      <x:c r="D17" s="20"/>
      <x:c r="E17" s="20"/>
      <x:c r="F17" s="2"/>
      <x:c r="G17" s="2"/>
      <x:c r="H17" s="2"/>
      <x:c r="I17" s="2"/>
      <x:c r="J17" s="2"/>
      <x:c r="K17" s="2"/>
      <x:c r="L17" s="2"/>
      <x:c r="M17" s="2"/>
      <x:c r="N17" s="2"/>
      <x:c r="O17" s="2"/>
      <x:c r="P17" s="2"/>
      <x:c r="Q17" s="2"/>
    </x:row>
    <x:row r="18" ht="23" customHeight="1">
      <x:c r="A18" s="2"/>
      <x:c r="B18" s="2"/>
      <x:c r="C18" s="2"/>
      <x:c r="D18" s="20"/>
      <x:c r="E18" s="20"/>
      <x:c r="F18" s="2"/>
      <x:c r="G18" s="2"/>
      <x:c r="H18" s="2"/>
      <x:c r="I18" s="2"/>
      <x:c r="J18" s="2"/>
      <x:c r="K18" s="2"/>
      <x:c r="L18" s="2"/>
      <x:c r="M18" s="2"/>
      <x:c r="N18" s="2"/>
      <x:c r="O18" s="2"/>
      <x:c r="P18" s="2"/>
      <x:c r="Q18" s="2"/>
    </x:row>
    <x:row r="19" ht="23" customHeight="1">
      <x:c r="A19" s="2"/>
      <x:c r="B19" s="2"/>
      <x:c r="C19" s="2"/>
      <x:c r="D19" s="2"/>
      <x:c r="E19" s="2"/>
      <x:c r="F19" s="2"/>
      <x:c r="G19" s="2"/>
      <x:c r="H19" s="2"/>
      <x:c r="I19" s="2"/>
      <x:c r="J19" s="2"/>
      <x:c r="K19" s="2"/>
      <x:c r="L19" s="2"/>
      <x:c r="M19" s="2"/>
      <x:c r="N19" s="2"/>
      <x:c r="O19" s="2"/>
      <x:c r="P19" s="2"/>
      <x:c r="Q19" s="2"/>
    </x:row>
    <x:row r="20" ht="23" customHeight="1">
      <x:c r="A20" s="2"/>
      <x:c r="B20" s="2"/>
      <x:c r="C20" s="2"/>
      <x:c r="D20" s="2"/>
      <x:c r="E20" s="2"/>
      <x:c r="F20" s="2"/>
      <x:c r="G20" s="2"/>
      <x:c r="H20" s="2"/>
      <x:c r="I20" s="2"/>
      <x:c r="J20" s="2"/>
      <x:c r="K20" s="2"/>
      <x:c r="L20" s="2"/>
      <x:c r="M20" s="2"/>
      <x:c r="N20" s="2"/>
      <x:c r="O20" s="2"/>
      <x:c r="P20" s="2"/>
      <x:c r="Q20" s="2"/>
    </x:row>
    <x:row r="21" ht="23" customHeight="1">
      <x:c r="A21" s="2"/>
      <x:c r="B21" s="2"/>
      <x:c r="C21" s="2" t="str">
        <x:v>Review cash generation alongside debt and capex; earnings alone do not establish liquidity.</x:v>
      </x:c>
      <x:c r="D21" s="2"/>
      <x:c r="E21" s="2"/>
      <x:c r="F21" s="2"/>
      <x:c r="G21" s="2"/>
      <x:c r="H21" s="2"/>
      <x:c r="I21" s="2"/>
      <x:c r="J21" s="2"/>
      <x:c r="K21" s="2"/>
      <x:c r="L21" s="2"/>
      <x:c r="M21" s="2"/>
      <x:c r="N21" s="2"/>
      <x:c r="O21" s="2"/>
      <x:c r="P21" s="2"/>
      <x:c r="Q21" s="2"/>
    </x:row>
    <x:row r="22" ht="23" customHeight="1">
      <x:c r="A22" s="2"/>
      <x:c r="B22" s="2"/>
      <x:c r="C22" s="2"/>
      <x:c r="D22" s="2"/>
      <x:c r="E22" s="2"/>
      <x:c r="F22" s="2"/>
      <x:c r="G22" s="2"/>
      <x:c r="H22" s="2"/>
      <x:c r="I22" s="2"/>
      <x:c r="J22" s="2"/>
      <x:c r="K22" s="2"/>
      <x:c r="L22" s="2"/>
      <x:c r="M22" s="2"/>
      <x:c r="N22" s="2"/>
      <x:c r="O22" s="2"/>
      <x:c r="P22" s="2"/>
      <x:c r="Q22" s="2"/>
    </x:row>
    <x:row r="23" ht="23" customHeight="1">
      <x:c r="A23" s="2"/>
      <x:c r="B23" s="2"/>
      <x:c r="C23" s="2" t="str">
        <x:v>March results were published in April: available to May scenarios only.</x:v>
      </x:c>
      <x:c r="D23" s="2"/>
      <x:c r="E23" s="2"/>
      <x:c r="F23" s="2"/>
      <x:c r="G23" s="2"/>
      <x:c r="H23" s="2"/>
      <x:c r="I23" s="2"/>
      <x:c r="J23" s="2"/>
      <x:c r="K23" s="2"/>
      <x:c r="L23" s="2"/>
      <x:c r="M23" s="2"/>
      <x:c r="N23" s="2"/>
      <x:c r="O23" s="2"/>
      <x:c r="P23" s="2"/>
      <x:c r="Q23" s="2"/>
    </x:row>
    <x:row r="24" ht="23" customHeight="1">
      <x:c r="A24" s="2"/>
      <x:c r="B24" s="2"/>
      <x:c r="C24" s="2"/>
      <x:c r="D24" s="2"/>
      <x:c r="E24" s="2"/>
      <x:c r="F24" s="2"/>
      <x:c r="G24" s="2"/>
      <x:c r="H24" s="2"/>
      <x:c r="I24" s="2"/>
      <x:c r="J24" s="2"/>
      <x:c r="K24" s="2"/>
      <x:c r="L24" s="2"/>
      <x:c r="M24" s="2"/>
      <x:c r="N24" s="2"/>
      <x:c r="O24" s="2"/>
      <x:c r="P24" s="2"/>
      <x:c r="Q24" s="2"/>
    </x:row>
    <x:row r="25" ht="23" customHeight="1">
      <x:c r="A25" s="2"/>
      <x:c r="B25" s="2"/>
      <x:c r="C25" s="2"/>
      <x:c r="D25" s="2"/>
      <x:c r="E25" s="2"/>
      <x:c r="F25" s="2"/>
      <x:c r="G25" s="2"/>
      <x:c r="H25" s="2"/>
      <x:c r="I25" s="2"/>
      <x:c r="J25" s="2"/>
      <x:c r="K25" s="2"/>
      <x:c r="L25" s="2"/>
      <x:c r="M25" s="2"/>
      <x:c r="N25" s="2"/>
      <x:c r="O25" s="2"/>
      <x:c r="P25" s="2"/>
      <x:c r="Q25" s="2"/>
    </x:row>
    <x:row r="26" ht="23" customHeight="1">
      <x:c r="A26" s="2"/>
      <x:c r="B26" s="2"/>
      <x:c r="C26" s="2"/>
      <x:c r="D26" s="2"/>
      <x:c r="E26" s="2"/>
      <x:c r="F26" s="2"/>
      <x:c r="G26" s="2"/>
      <x:c r="H26" s="2"/>
      <x:c r="I26" s="2"/>
      <x:c r="J26" s="2"/>
      <x:c r="K26" s="2"/>
      <x:c r="L26" s="2"/>
      <x:c r="M26" s="2"/>
      <x:c r="N26" s="2"/>
      <x:c r="O26" s="2"/>
      <x:c r="P26" s="2"/>
      <x:c r="Q26" s="2"/>
    </x:row>
    <x:row r="27" ht="23" customHeight="1">
      <x:c r="A27" s="2"/>
      <x:c r="B27" s="2"/>
      <x:c r="C27" s="2"/>
      <x:c r="D27" s="2"/>
      <x:c r="E27" s="2"/>
      <x:c r="F27" s="2"/>
      <x:c r="G27" s="2"/>
      <x:c r="H27" s="2"/>
      <x:c r="I27" s="2"/>
      <x:c r="J27" s="2"/>
      <x:c r="K27" s="2"/>
      <x:c r="L27" s="2"/>
      <x:c r="M27" s="2"/>
      <x:c r="N27" s="2"/>
      <x:c r="O27" s="2"/>
      <x:c r="P27" s="2"/>
      <x:c r="Q27" s="2"/>
    </x:row>
    <x:row r="28" ht="23" customHeight="1">
      <x:c r="A28" s="2"/>
      <x:c r="B28" s="2"/>
      <x:c r="C28" s="2"/>
      <x:c r="D28" s="2"/>
      <x:c r="E28" s="2"/>
      <x:c r="F28" s="2"/>
      <x:c r="G28" s="2"/>
      <x:c r="H28" s="2"/>
      <x:c r="I28" s="2"/>
      <x:c r="J28" s="2"/>
      <x:c r="K28" s="2"/>
      <x:c r="L28" s="2"/>
      <x:c r="M28" s="2"/>
      <x:c r="N28" s="2"/>
      <x:c r="O28" s="2"/>
      <x:c r="P28" s="2"/>
      <x:c r="Q28" s="2"/>
    </x:row>
    <x:row r="29" ht="23" customHeight="1">
      <x:c r="A29" s="2"/>
      <x:c r="B29" s="2"/>
      <x:c r="C29" s="2"/>
      <x:c r="D29" s="2"/>
      <x:c r="E29" s="2"/>
      <x:c r="F29" s="2"/>
      <x:c r="G29" s="2"/>
      <x:c r="H29" s="2"/>
      <x:c r="I29" s="2"/>
      <x:c r="J29" s="2"/>
      <x:c r="K29" s="2"/>
      <x:c r="L29" s="2"/>
      <x:c r="M29" s="2"/>
      <x:c r="N29" s="2"/>
      <x:c r="O29" s="2"/>
      <x:c r="P29" s="2"/>
      <x:c r="Q29" s="2"/>
    </x:row>
    <x:row r="30" ht="23" customHeight="1">
      <x:c r="A30" s="2"/>
      <x:c r="B30" s="2"/>
      <x:c r="C30" s="2"/>
      <x:c r="D30" s="2"/>
      <x:c r="E30" s="2"/>
      <x:c r="F30" s="2"/>
      <x:c r="G30" s="2"/>
      <x:c r="H30" s="2"/>
      <x:c r="I30" s="2"/>
      <x:c r="J30" s="2"/>
      <x:c r="K30" s="2"/>
      <x:c r="L30" s="2"/>
      <x:c r="M30" s="2"/>
      <x:c r="N30" s="2"/>
      <x:c r="O30" s="2"/>
      <x:c r="P30" s="2"/>
      <x:c r="Q30" s="2"/>
    </x:row>
    <x:row r="31" ht="23" customHeight="1">
      <x:c r="A31" s="2"/>
      <x:c r="B31" s="2"/>
      <x:c r="C31" s="2"/>
      <x:c r="D31" s="2"/>
      <x:c r="E31" s="2"/>
      <x:c r="F31" s="2"/>
      <x:c r="G31" s="2"/>
      <x:c r="H31" s="2"/>
      <x:c r="I31" s="2"/>
      <x:c r="J31" s="2"/>
      <x:c r="K31" s="2"/>
      <x:c r="L31" s="2"/>
      <x:c r="M31" s="2"/>
      <x:c r="N31" s="2"/>
      <x:c r="O31" s="2"/>
      <x:c r="P31" s="2"/>
      <x:c r="Q31" s="2"/>
    </x:row>
    <x:row r="32" ht="23" customHeight="1">
      <x:c r="A32" s="2"/>
      <x:c r="B32" s="2"/>
      <x:c r="C32" s="2"/>
      <x:c r="D32" s="2"/>
      <x:c r="E32" s="2"/>
      <x:c r="F32" s="2"/>
      <x:c r="G32" s="2"/>
      <x:c r="H32" s="2"/>
      <x:c r="I32" s="2"/>
      <x:c r="J32" s="2"/>
      <x:c r="K32" s="2"/>
      <x:c r="L32" s="2"/>
      <x:c r="M32" s="2"/>
      <x:c r="N32" s="2"/>
      <x:c r="O32" s="2"/>
      <x:c r="P32" s="2"/>
      <x:c r="Q32" s="2"/>
    </x:row>
    <x:row r="33" ht="23" customHeight="1">
      <x:c r="A33" s="2"/>
      <x:c r="B33" s="2"/>
      <x:c r="C33" s="2"/>
      <x:c r="D33" s="2"/>
      <x:c r="E33" s="2"/>
      <x:c r="F33" s="2"/>
      <x:c r="G33" s="2"/>
      <x:c r="H33" s="2"/>
      <x:c r="I33" s="2"/>
      <x:c r="J33" s="2"/>
      <x:c r="K33" s="2"/>
      <x:c r="L33" s="2"/>
      <x:c r="M33" s="2"/>
      <x:c r="N33" s="2"/>
      <x:c r="O33" s="2"/>
      <x:c r="P33" s="2"/>
      <x:c r="Q33" s="2"/>
    </x:row>
    <x:row r="34" ht="23" customHeight="1">
      <x:c r="A34" s="2"/>
      <x:c r="B34" s="2"/>
      <x:c r="C34" s="2"/>
      <x:c r="D34" s="2"/>
      <x:c r="E34" s="2"/>
      <x:c r="F34" s="2"/>
      <x:c r="G34" s="2"/>
      <x:c r="H34" s="2"/>
      <x:c r="I34" s="2"/>
      <x:c r="J34" s="2"/>
      <x:c r="K34" s="2"/>
      <x:c r="L34" s="2"/>
      <x:c r="M34" s="2"/>
      <x:c r="N34" s="2"/>
      <x:c r="O34" s="2"/>
      <x:c r="P34" s="2"/>
      <x:c r="Q34" s="2"/>
    </x:row>
    <x:row r="35" ht="23" customHeight="1">
      <x:c r="A35" s="2"/>
      <x:c r="B35" s="2"/>
      <x:c r="C35" s="2"/>
      <x:c r="D35" s="2"/>
      <x:c r="E35" s="2"/>
      <x:c r="F35" s="2"/>
      <x:c r="G35" s="2"/>
      <x:c r="H35" s="2"/>
      <x:c r="I35" s="2"/>
      <x:c r="J35" s="2"/>
      <x:c r="K35" s="2"/>
      <x:c r="L35" s="2"/>
      <x:c r="M35" s="2"/>
      <x:c r="N35" s="2"/>
      <x:c r="O35" s="2"/>
      <x:c r="P35" s="2"/>
      <x:c r="Q35" s="2"/>
    </x:row>
    <x:row r="36" ht="23" customHeight="1">
      <x:c r="A36" s="2"/>
      <x:c r="B36" s="2"/>
      <x:c r="C36" s="2"/>
      <x:c r="D36" s="2"/>
      <x:c r="E36" s="2"/>
      <x:c r="F36" s="2"/>
      <x:c r="G36" s="2"/>
      <x:c r="H36" s="2"/>
      <x:c r="I36" s="2"/>
      <x:c r="J36" s="2"/>
      <x:c r="K36" s="2"/>
      <x:c r="L36" s="2"/>
      <x:c r="M36" s="2"/>
      <x:c r="N36" s="2"/>
      <x:c r="O36" s="2"/>
      <x:c r="P36" s="2"/>
      <x:c r="Q36" s="2"/>
    </x:row>
    <x:row r="37" ht="23" customHeight="1">
      <x:c r="A37" s="2"/>
      <x:c r="B37" s="2"/>
      <x:c r="C37" s="2"/>
      <x:c r="D37" s="2"/>
      <x:c r="E37" s="2"/>
      <x:c r="F37" s="2"/>
      <x:c r="G37" s="2"/>
      <x:c r="H37" s="2"/>
      <x:c r="I37" s="2"/>
      <x:c r="J37" s="2"/>
      <x:c r="K37" s="2"/>
      <x:c r="L37" s="2"/>
      <x:c r="M37" s="2"/>
      <x:c r="N37" s="2"/>
      <x:c r="O37" s="2"/>
      <x:c r="P37" s="2"/>
      <x:c r="Q37" s="2"/>
    </x:row>
    <x:row r="38" ht="23" customHeight="1">
      <x:c r="A38" s="2"/>
      <x:c r="B38" s="2"/>
      <x:c r="C38" s="2"/>
      <x:c r="D38" s="2"/>
      <x:c r="E38" s="2"/>
      <x:c r="F38" s="2"/>
      <x:c r="G38" s="2"/>
      <x:c r="H38" s="2"/>
      <x:c r="I38" s="2"/>
      <x:c r="J38" s="2"/>
      <x:c r="K38" s="2"/>
      <x:c r="L38" s="2"/>
      <x:c r="M38" s="2"/>
      <x:c r="N38" s="2"/>
      <x:c r="O38" s="2"/>
      <x:c r="P38" s="2"/>
      <x:c r="Q38" s="2"/>
    </x:row>
    <x:row r="39" ht="23" customHeight="1">
      <x:c r="A39" s="2"/>
      <x:c r="B39" s="2"/>
      <x:c r="C39" s="2"/>
      <x:c r="D39" s="2"/>
      <x:c r="E39" s="2"/>
      <x:c r="F39" s="2"/>
      <x:c r="G39" s="2"/>
      <x:c r="H39" s="2"/>
      <x:c r="I39" s="2"/>
      <x:c r="J39" s="2"/>
      <x:c r="K39" s="2"/>
      <x:c r="L39" s="2"/>
      <x:c r="M39" s="2"/>
      <x:c r="N39" s="2"/>
      <x:c r="O39" s="2"/>
      <x:c r="P39" s="2"/>
      <x:c r="Q39" s="2"/>
    </x:row>
    <x:row r="40" ht="23" customHeight="1">
      <x:c r="A40" s="2"/>
      <x:c r="B40" s="2"/>
      <x:c r="C40" s="2"/>
      <x:c r="D40" s="2"/>
      <x:c r="E40" s="2"/>
      <x:c r="F40" s="2"/>
      <x:c r="G40" s="2"/>
      <x:c r="H40" s="2"/>
      <x:c r="I40" s="2"/>
      <x:c r="J40" s="2"/>
      <x:c r="K40" s="2"/>
      <x:c r="L40" s="2"/>
      <x:c r="M40" s="2"/>
      <x:c r="N40" s="2"/>
      <x:c r="O40" s="2"/>
      <x:c r="P40" s="2"/>
      <x:c r="Q40" s="2"/>
    </x:row>
    <x:row r="41" ht="23" customHeight="1">
      <x:c r="A41" s="2"/>
      <x:c r="B41" s="2"/>
      <x:c r="C41" s="2"/>
      <x:c r="D41" s="2"/>
      <x:c r="E41" s="2"/>
      <x:c r="F41" s="2"/>
      <x:c r="G41" s="2"/>
      <x:c r="H41" s="2"/>
      <x:c r="I41" s="2"/>
      <x:c r="J41" s="2"/>
      <x:c r="K41" s="2"/>
      <x:c r="L41" s="2"/>
      <x:c r="M41" s="2"/>
      <x:c r="N41" s="2"/>
      <x:c r="O41" s="2"/>
      <x:c r="P41" s="2"/>
      <x:c r="Q41" s="2"/>
    </x:row>
    <x:row r="42" ht="23" customHeight="1">
      <x:c r="A42" s="2"/>
      <x:c r="B42" s="2"/>
      <x:c r="C42" s="2"/>
      <x:c r="D42" s="2"/>
      <x:c r="E42" s="2"/>
      <x:c r="F42" s="2"/>
      <x:c r="G42" s="2"/>
      <x:c r="H42" s="2"/>
      <x:c r="I42" s="2"/>
      <x:c r="J42" s="2"/>
      <x:c r="K42" s="2"/>
      <x:c r="L42" s="2"/>
      <x:c r="M42" s="2"/>
      <x:c r="N42" s="2"/>
      <x:c r="O42" s="2"/>
      <x:c r="P42" s="2"/>
      <x:c r="Q42" s="2"/>
    </x:row>
    <x:row r="43" ht="23" customHeight="1">
      <x:c r="A43" s="2"/>
      <x:c r="B43" s="2"/>
      <x:c r="C43" s="2"/>
      <x:c r="D43" s="2"/>
      <x:c r="E43" s="2"/>
      <x:c r="F43" s="2"/>
      <x:c r="G43" s="2"/>
      <x:c r="H43" s="2"/>
      <x:c r="I43" s="2"/>
      <x:c r="J43" s="2"/>
      <x:c r="K43" s="2"/>
      <x:c r="L43" s="2"/>
      <x:c r="M43" s="2"/>
      <x:c r="N43" s="2"/>
      <x:c r="O43" s="2"/>
      <x:c r="P43" s="2"/>
      <x:c r="Q43" s="2"/>
    </x:row>
    <x:row r="44" ht="23" customHeight="1">
      <x:c r="A44" s="2"/>
      <x:c r="B44" s="2"/>
      <x:c r="C44" s="2"/>
      <x:c r="D44" s="2"/>
      <x:c r="E44" s="2"/>
      <x:c r="F44" s="2"/>
      <x:c r="G44" s="2"/>
      <x:c r="H44" s="2"/>
      <x:c r="I44" s="2"/>
      <x:c r="J44" s="2"/>
      <x:c r="K44" s="2"/>
      <x:c r="L44" s="2"/>
      <x:c r="M44" s="2"/>
      <x:c r="N44" s="2"/>
      <x:c r="O44" s="2"/>
      <x:c r="P44" s="2"/>
      <x:c r="Q44" s="2"/>
    </x:row>
    <x:row r="45" ht="23" customHeight="1">
      <x:c r="A45" s="2"/>
      <x:c r="B45" s="2"/>
      <x:c r="C45" s="2"/>
      <x:c r="D45" s="2"/>
      <x:c r="E45" s="2"/>
      <x:c r="F45" s="2"/>
      <x:c r="G45" s="2"/>
      <x:c r="H45" s="2"/>
      <x:c r="I45" s="2"/>
      <x:c r="J45" s="2"/>
      <x:c r="K45" s="2"/>
      <x:c r="L45" s="2"/>
      <x:c r="M45" s="2"/>
      <x:c r="N45" s="2"/>
      <x:c r="O45" s="2"/>
      <x:c r="P45" s="2"/>
      <x:c r="Q45" s="2"/>
    </x:row>
    <x:row r="46" ht="23" customHeight="1">
      <x:c r="A46" s="2"/>
      <x:c r="B46" s="2"/>
      <x:c r="C46" s="2"/>
      <x:c r="D46" s="2"/>
      <x:c r="E46" s="2"/>
      <x:c r="F46" s="2"/>
      <x:c r="G46" s="2"/>
      <x:c r="H46" s="2"/>
      <x:c r="I46" s="2"/>
      <x:c r="J46" s="2"/>
      <x:c r="K46" s="2"/>
      <x:c r="L46" s="2"/>
      <x:c r="M46" s="2"/>
      <x:c r="N46" s="2"/>
      <x:c r="O46" s="2"/>
      <x:c r="P46" s="2"/>
      <x:c r="Q46" s="2"/>
    </x:row>
    <x:row r="47" ht="23" customHeight="1">
      <x:c r="A47" s="2"/>
      <x:c r="B47" s="2"/>
      <x:c r="C47" s="2"/>
      <x:c r="D47" s="2"/>
      <x:c r="E47" s="2"/>
      <x:c r="F47" s="2"/>
      <x:c r="G47" s="2"/>
      <x:c r="H47" s="2"/>
      <x:c r="I47" s="2"/>
      <x:c r="J47" s="2"/>
      <x:c r="K47" s="2"/>
      <x:c r="L47" s="2"/>
      <x:c r="M47" s="2"/>
      <x:c r="N47" s="2"/>
      <x:c r="O47" s="2"/>
      <x:c r="P47" s="2"/>
      <x:c r="Q47" s="2"/>
    </x:row>
    <x:row r="48" ht="23" customHeight="1">
      <x:c r="A48" s="2"/>
      <x:c r="B48" s="2"/>
      <x:c r="C48" s="2"/>
      <x:c r="D48" s="2"/>
      <x:c r="E48" s="2"/>
      <x:c r="F48" s="2"/>
      <x:c r="G48" s="2"/>
      <x:c r="H48" s="2"/>
      <x:c r="I48" s="2"/>
      <x:c r="J48" s="2"/>
      <x:c r="K48" s="2"/>
      <x:c r="L48" s="2"/>
      <x:c r="M48" s="2"/>
      <x:c r="N48" s="2"/>
      <x:c r="O48" s="2"/>
      <x:c r="P48" s="2"/>
      <x:c r="Q48" s="2"/>
    </x:row>
    <x:row r="49" ht="23" customHeight="1">
      <x:c r="A49" s="2"/>
      <x:c r="B49" s="2"/>
      <x:c r="C49" s="2"/>
      <x:c r="D49" s="2"/>
      <x:c r="E49" s="2"/>
      <x:c r="F49" s="2"/>
      <x:c r="G49" s="2"/>
      <x:c r="H49" s="2"/>
      <x:c r="I49" s="2"/>
      <x:c r="J49" s="2"/>
      <x:c r="K49" s="2"/>
      <x:c r="L49" s="2"/>
      <x:c r="M49" s="2"/>
      <x:c r="N49" s="2"/>
      <x:c r="O49" s="2"/>
      <x:c r="P49" s="2"/>
      <x:c r="Q49" s="2"/>
    </x:row>
    <x:row r="50" ht="23" customHeight="1">
      <x:c r="A50" s="2"/>
      <x:c r="B50" s="2"/>
      <x:c r="C50" s="2"/>
      <x:c r="D50" s="2"/>
      <x:c r="E50" s="2"/>
      <x:c r="F50" s="2"/>
      <x:c r="G50" s="2"/>
      <x:c r="H50" s="2"/>
      <x:c r="I50" s="2"/>
      <x:c r="J50" s="2"/>
      <x:c r="K50" s="2"/>
      <x:c r="L50" s="2"/>
      <x:c r="M50" s="2"/>
      <x:c r="N50" s="2"/>
      <x:c r="O50" s="2"/>
      <x:c r="P50" s="2"/>
      <x:c r="Q50" s="2"/>
    </x:row>
    <x:row r="51" ht="23" customHeight="1">
      <x:c r="A51" s="2"/>
      <x:c r="B51" s="2"/>
      <x:c r="C51" s="2"/>
      <x:c r="D51" s="2"/>
      <x:c r="E51" s="2"/>
      <x:c r="F51" s="2"/>
      <x:c r="G51" s="2"/>
      <x:c r="H51" s="2"/>
      <x:c r="I51" s="2"/>
      <x:c r="J51" s="2"/>
      <x:c r="K51" s="2"/>
      <x:c r="L51" s="2"/>
      <x:c r="M51" s="2"/>
      <x:c r="N51" s="2"/>
      <x:c r="O51" s="2"/>
      <x:c r="P51" s="2"/>
      <x:c r="Q51" s="2"/>
    </x:row>
    <x:row r="52" ht="23" customHeight="1">
      <x:c r="A52" s="2"/>
      <x:c r="B52" s="2"/>
      <x:c r="C52" s="2"/>
      <x:c r="D52" s="2"/>
      <x:c r="E52" s="2"/>
      <x:c r="F52" s="2"/>
      <x:c r="G52" s="2"/>
      <x:c r="H52" s="2"/>
      <x:c r="I52" s="2"/>
      <x:c r="J52" s="2"/>
      <x:c r="K52" s="2"/>
      <x:c r="L52" s="2"/>
      <x:c r="M52" s="2"/>
      <x:c r="N52" s="2"/>
      <x:c r="O52" s="2"/>
      <x:c r="P52" s="2"/>
      <x:c r="Q52" s="2"/>
    </x:row>
    <x:row r="53" ht="23" customHeight="1">
      <x:c r="A53" s="2"/>
      <x:c r="B53" s="2"/>
      <x:c r="C53" s="2"/>
      <x:c r="D53" s="2"/>
      <x:c r="E53" s="2"/>
      <x:c r="F53" s="2"/>
      <x:c r="G53" s="2"/>
      <x:c r="H53" s="2"/>
      <x:c r="I53" s="2"/>
      <x:c r="J53" s="2"/>
      <x:c r="K53" s="2"/>
      <x:c r="L53" s="2"/>
      <x:c r="M53" s="2"/>
      <x:c r="N53" s="2"/>
      <x:c r="O53" s="2"/>
      <x:c r="P53" s="2"/>
      <x:c r="Q53" s="2"/>
    </x:row>
    <x:row r="54" ht="23" customHeight="1">
      <x:c r="A54" s="2"/>
      <x:c r="B54" s="2"/>
      <x:c r="C54" s="2"/>
      <x:c r="D54" s="2"/>
      <x:c r="E54" s="2"/>
      <x:c r="F54" s="2"/>
      <x:c r="G54" s="2"/>
      <x:c r="H54" s="2"/>
      <x:c r="I54" s="2"/>
      <x:c r="J54" s="2"/>
      <x:c r="K54" s="2"/>
      <x:c r="L54" s="2"/>
      <x:c r="M54" s="2"/>
      <x:c r="N54" s="2"/>
      <x:c r="O54" s="2"/>
      <x:c r="P54" s="2"/>
      <x:c r="Q54" s="2"/>
    </x:row>
    <x:row r="55" ht="23" customHeight="1">
      <x:c r="A55" s="2"/>
      <x:c r="B55" s="2"/>
      <x:c r="C55" s="2"/>
      <x:c r="D55" s="2"/>
      <x:c r="E55" s="2"/>
      <x:c r="F55" s="2"/>
      <x:c r="G55" s="2"/>
      <x:c r="H55" s="2"/>
      <x:c r="I55" s="2"/>
      <x:c r="J55" s="2"/>
      <x:c r="K55" s="2"/>
      <x:c r="L55" s="2"/>
      <x:c r="M55" s="2"/>
      <x:c r="N55" s="2"/>
      <x:c r="O55" s="2"/>
      <x:c r="P55" s="2"/>
      <x:c r="Q55" s="2"/>
    </x:row>
    <x:row r="56" ht="23" customHeight="1">
      <x:c r="A56" s="2"/>
      <x:c r="B56" s="2"/>
      <x:c r="C56" s="2"/>
      <x:c r="D56" s="2"/>
      <x:c r="E56" s="2"/>
      <x:c r="F56" s="2"/>
      <x:c r="G56" s="2"/>
      <x:c r="H56" s="2"/>
      <x:c r="I56" s="2"/>
      <x:c r="J56" s="2"/>
      <x:c r="K56" s="2"/>
      <x:c r="L56" s="2"/>
      <x:c r="M56" s="2"/>
      <x:c r="N56" s="2"/>
      <x:c r="O56" s="2"/>
      <x:c r="P56" s="2"/>
      <x:c r="Q56" s="2"/>
    </x:row>
    <x:row r="57" ht="23" customHeight="1">
      <x:c r="A57" s="2"/>
      <x:c r="B57" s="2"/>
      <x:c r="C57" s="2"/>
      <x:c r="D57" s="2"/>
      <x:c r="E57" s="2"/>
      <x:c r="F57" s="2"/>
      <x:c r="G57" s="2"/>
      <x:c r="H57" s="2"/>
      <x:c r="I57" s="2"/>
      <x:c r="J57" s="2"/>
      <x:c r="K57" s="2"/>
      <x:c r="L57" s="2"/>
      <x:c r="M57" s="2"/>
      <x:c r="N57" s="2"/>
      <x:c r="O57" s="2"/>
      <x:c r="P57" s="2"/>
      <x:c r="Q57" s="2"/>
    </x:row>
    <x:row r="58" ht="23" customHeight="1">
      <x:c r="A58" s="2"/>
      <x:c r="B58" s="2"/>
      <x:c r="C58" s="2"/>
      <x:c r="D58" s="2"/>
      <x:c r="E58" s="2"/>
      <x:c r="F58" s="2"/>
      <x:c r="G58" s="2"/>
      <x:c r="H58" s="2"/>
      <x:c r="I58" s="2"/>
      <x:c r="J58" s="2"/>
      <x:c r="K58" s="2"/>
      <x:c r="L58" s="2"/>
      <x:c r="M58" s="2"/>
      <x:c r="N58" s="2"/>
      <x:c r="O58" s="2"/>
      <x:c r="P58" s="2"/>
      <x:c r="Q58" s="2"/>
    </x:row>
    <x:row r="59" ht="23" customHeight="1">
      <x:c r="A59" s="2"/>
      <x:c r="B59" s="2"/>
      <x:c r="C59" s="2"/>
      <x:c r="D59" s="2"/>
      <x:c r="E59" s="2"/>
      <x:c r="F59" s="2"/>
      <x:c r="G59" s="2"/>
      <x:c r="H59" s="2"/>
      <x:c r="I59" s="2"/>
      <x:c r="J59" s="2"/>
      <x:c r="K59" s="2"/>
      <x:c r="L59" s="2"/>
      <x:c r="M59" s="2"/>
      <x:c r="N59" s="2"/>
      <x:c r="O59" s="2"/>
      <x:c r="P59" s="2"/>
      <x:c r="Q59" s="2"/>
    </x:row>
    <x:row r="60" ht="23" customHeight="1">
      <x:c r="A60" s="2"/>
      <x:c r="B60" s="2"/>
      <x:c r="C60" s="2"/>
      <x:c r="D60" s="2"/>
      <x:c r="E60" s="2"/>
      <x:c r="F60" s="2"/>
      <x:c r="G60" s="2"/>
      <x:c r="H60" s="2"/>
      <x:c r="I60" s="2"/>
      <x:c r="J60" s="2"/>
      <x:c r="K60" s="2"/>
      <x:c r="L60" s="2"/>
      <x:c r="M60" s="2"/>
      <x:c r="N60" s="2"/>
      <x:c r="O60" s="2"/>
      <x:c r="P60" s="2"/>
      <x:c r="Q60" s="2"/>
    </x:row>
    <x:row r="61" ht="23" customHeight="1">
      <x:c r="A61" s="2"/>
      <x:c r="B61" s="2"/>
      <x:c r="C61" s="2"/>
      <x:c r="D61" s="2"/>
      <x:c r="E61" s="2"/>
      <x:c r="F61" s="2"/>
      <x:c r="G61" s="2"/>
      <x:c r="H61" s="2"/>
      <x:c r="I61" s="2"/>
      <x:c r="J61" s="2"/>
      <x:c r="K61" s="2"/>
      <x:c r="L61" s="2"/>
      <x:c r="M61" s="2"/>
      <x:c r="N61" s="2"/>
      <x:c r="O61" s="2"/>
      <x:c r="P61" s="2"/>
      <x:c r="Q61" s="2"/>
    </x:row>
    <x:row r="62" ht="23" customHeight="1">
      <x:c r="A62" s="2"/>
      <x:c r="B62" s="2"/>
      <x:c r="C62" s="2"/>
      <x:c r="D62" s="2"/>
      <x:c r="E62" s="2"/>
      <x:c r="F62" s="2"/>
      <x:c r="G62" s="2"/>
      <x:c r="H62" s="2"/>
      <x:c r="I62" s="2"/>
      <x:c r="J62" s="2"/>
      <x:c r="K62" s="2"/>
      <x:c r="L62" s="2"/>
      <x:c r="M62" s="2"/>
      <x:c r="N62" s="2"/>
      <x:c r="O62" s="2"/>
      <x:c r="P62" s="2"/>
      <x:c r="Q62" s="2"/>
    </x:row>
    <x:row r="63" ht="23" customHeight="1">
      <x:c r="A63" s="2"/>
      <x:c r="B63" s="2"/>
      <x:c r="C63" s="2"/>
      <x:c r="D63" s="2"/>
      <x:c r="E63" s="2"/>
      <x:c r="F63" s="2"/>
      <x:c r="G63" s="2"/>
      <x:c r="H63" s="2"/>
      <x:c r="I63" s="2"/>
      <x:c r="J63" s="2"/>
      <x:c r="K63" s="2"/>
      <x:c r="L63" s="2"/>
      <x:c r="M63" s="2"/>
      <x:c r="N63" s="2"/>
      <x:c r="O63" s="2"/>
      <x:c r="P63" s="2"/>
      <x:c r="Q63" s="2"/>
    </x:row>
    <x:row r="64" ht="23" customHeight="1">
      <x:c r="A64" s="2"/>
      <x:c r="B64" s="2"/>
      <x:c r="C64" s="2"/>
      <x:c r="D64" s="2"/>
      <x:c r="E64" s="2"/>
      <x:c r="F64" s="2"/>
      <x:c r="G64" s="2"/>
      <x:c r="H64" s="2"/>
      <x:c r="I64" s="2"/>
      <x:c r="J64" s="2"/>
      <x:c r="K64" s="2"/>
      <x:c r="L64" s="2"/>
      <x:c r="M64" s="2"/>
      <x:c r="N64" s="2"/>
      <x:c r="O64" s="2"/>
      <x:c r="P64" s="2"/>
      <x:c r="Q64" s="2"/>
    </x:row>
    <x:row r="65" ht="23" customHeight="1">
      <x:c r="A65" s="2"/>
      <x:c r="B65" s="2"/>
      <x:c r="C65" s="2"/>
      <x:c r="D65" s="2"/>
      <x:c r="E65" s="2"/>
      <x:c r="F65" s="2"/>
      <x:c r="G65" s="2"/>
      <x:c r="H65" s="2"/>
      <x:c r="I65" s="2"/>
      <x:c r="J65" s="2"/>
      <x:c r="K65" s="2"/>
      <x:c r="L65" s="2"/>
      <x:c r="M65" s="2"/>
      <x:c r="N65" s="2"/>
      <x:c r="O65" s="2"/>
      <x:c r="P65" s="2"/>
      <x:c r="Q65" s="2"/>
    </x:row>
    <x:row r="66" ht="23" customHeight="1">
      <x:c r="A66" s="2"/>
      <x:c r="B66" s="2"/>
      <x:c r="C66" s="2"/>
      <x:c r="D66" s="2"/>
      <x:c r="E66" s="2"/>
      <x:c r="F66" s="2"/>
      <x:c r="G66" s="2"/>
      <x:c r="H66" s="2"/>
      <x:c r="I66" s="2"/>
      <x:c r="J66" s="2"/>
      <x:c r="K66" s="2"/>
      <x:c r="L66" s="2"/>
      <x:c r="M66" s="2"/>
      <x:c r="N66" s="2"/>
      <x:c r="O66" s="2"/>
      <x:c r="P66" s="2"/>
      <x:c r="Q66" s="2"/>
    </x:row>
    <x:row r="67" ht="23" customHeight="1">
      <x:c r="A67" s="2"/>
      <x:c r="B67" s="2"/>
      <x:c r="C67" s="2"/>
      <x:c r="D67" s="2"/>
      <x:c r="E67" s="2"/>
      <x:c r="F67" s="2"/>
      <x:c r="G67" s="2"/>
      <x:c r="H67" s="2"/>
      <x:c r="I67" s="2"/>
      <x:c r="J67" s="2"/>
      <x:c r="K67" s="2"/>
      <x:c r="L67" s="2"/>
      <x:c r="M67" s="2"/>
      <x:c r="N67" s="2"/>
      <x:c r="O67" s="2"/>
      <x:c r="P67" s="2"/>
      <x:c r="Q67" s="2"/>
    </x:row>
    <x:row r="68" ht="23" customHeight="1">
      <x:c r="A68" s="2"/>
      <x:c r="B68" s="2"/>
      <x:c r="C68" s="2"/>
      <x:c r="D68" s="2"/>
      <x:c r="E68" s="2"/>
      <x:c r="F68" s="2"/>
      <x:c r="G68" s="2"/>
      <x:c r="H68" s="2"/>
      <x:c r="I68" s="2"/>
      <x:c r="J68" s="2"/>
      <x:c r="K68" s="2"/>
      <x:c r="L68" s="2"/>
      <x:c r="M68" s="2"/>
      <x:c r="N68" s="2"/>
      <x:c r="O68" s="2"/>
      <x:c r="P68" s="2"/>
      <x:c r="Q68" s="2"/>
    </x:row>
    <x:row r="69" ht="23" customHeight="1">
      <x:c r="A69" s="2"/>
      <x:c r="B69" s="2"/>
      <x:c r="C69" s="2"/>
      <x:c r="D69" s="2"/>
      <x:c r="E69" s="2"/>
      <x:c r="F69" s="2"/>
      <x:c r="G69" s="2"/>
      <x:c r="H69" s="2"/>
      <x:c r="I69" s="2"/>
      <x:c r="J69" s="2"/>
      <x:c r="K69" s="2"/>
      <x:c r="L69" s="2"/>
      <x:c r="M69" s="2"/>
      <x:c r="N69" s="2"/>
      <x:c r="O69" s="2"/>
      <x:c r="P69" s="2"/>
      <x:c r="Q69" s="2"/>
    </x:row>
    <x:row r="70" ht="23" customHeight="1">
      <x:c r="A70" s="2"/>
      <x:c r="B70" s="2"/>
      <x:c r="C70" s="2"/>
      <x:c r="D70" s="2"/>
      <x:c r="E70" s="2"/>
      <x:c r="F70" s="2"/>
      <x:c r="G70" s="2"/>
      <x:c r="H70" s="2"/>
      <x:c r="I70" s="2"/>
      <x:c r="J70" s="2"/>
      <x:c r="K70" s="2"/>
      <x:c r="L70" s="2"/>
      <x:c r="M70" s="2"/>
      <x:c r="N70" s="2"/>
      <x:c r="O70" s="2"/>
      <x:c r="P70" s="2"/>
      <x:c r="Q70" s="2"/>
    </x:row>
    <x:row r="71" ht="23" customHeight="1">
      <x:c r="A71" s="2"/>
      <x:c r="B71" s="2"/>
      <x:c r="C71" s="2"/>
      <x:c r="D71" s="2"/>
      <x:c r="E71" s="2"/>
      <x:c r="F71" s="2"/>
      <x:c r="G71" s="2"/>
      <x:c r="H71" s="2"/>
      <x:c r="I71" s="2"/>
      <x:c r="J71" s="2"/>
      <x:c r="K71" s="2"/>
      <x:c r="L71" s="2"/>
      <x:c r="M71" s="2"/>
      <x:c r="N71" s="2"/>
      <x:c r="O71" s="2"/>
      <x:c r="P71" s="2"/>
      <x:c r="Q71" s="2"/>
    </x:row>
    <x:row r="72" ht="23" customHeight="1">
      <x:c r="A72" s="2"/>
      <x:c r="B72" s="2"/>
      <x:c r="C72" s="2"/>
      <x:c r="D72" s="2"/>
      <x:c r="E72" s="2"/>
      <x:c r="F72" s="2"/>
      <x:c r="G72" s="2"/>
      <x:c r="H72" s="2"/>
      <x:c r="I72" s="2"/>
      <x:c r="J72" s="2"/>
      <x:c r="K72" s="2"/>
      <x:c r="L72" s="2"/>
      <x:c r="M72" s="2"/>
      <x:c r="N72" s="2"/>
      <x:c r="O72" s="2"/>
      <x:c r="P72" s="2"/>
      <x:c r="Q72" s="2"/>
    </x:row>
    <x:row r="73" ht="23" customHeight="1">
      <x:c r="A73" s="2"/>
      <x:c r="B73" s="2"/>
      <x:c r="C73" s="2"/>
      <x:c r="D73" s="2"/>
      <x:c r="E73" s="2"/>
      <x:c r="F73" s="2"/>
      <x:c r="G73" s="2"/>
      <x:c r="H73" s="2"/>
      <x:c r="I73" s="2"/>
      <x:c r="J73" s="2"/>
      <x:c r="K73" s="2"/>
      <x:c r="L73" s="2"/>
      <x:c r="M73" s="2"/>
      <x:c r="N73" s="2"/>
      <x:c r="O73" s="2"/>
      <x:c r="P73" s="2"/>
      <x:c r="Q73" s="2"/>
    </x:row>
    <x:row r="74" ht="23" customHeight="1">
      <x:c r="A74" s="2"/>
      <x:c r="B74" s="2"/>
      <x:c r="C74" s="2"/>
      <x:c r="D74" s="2"/>
      <x:c r="E74" s="2"/>
      <x:c r="F74" s="2"/>
      <x:c r="G74" s="2"/>
      <x:c r="H74" s="2"/>
      <x:c r="I74" s="2"/>
      <x:c r="J74" s="2"/>
      <x:c r="K74" s="2"/>
      <x:c r="L74" s="2"/>
      <x:c r="M74" s="2"/>
      <x:c r="N74" s="2"/>
      <x:c r="O74" s="2"/>
      <x:c r="P74" s="2"/>
      <x:c r="Q74" s="2"/>
    </x:row>
    <x:row r="75" ht="23" customHeight="1">
      <x:c r="A75" s="2"/>
      <x:c r="B75" s="2"/>
      <x:c r="C75" s="2"/>
      <x:c r="D75" s="2"/>
      <x:c r="E75" s="2"/>
      <x:c r="F75" s="2"/>
      <x:c r="G75" s="2"/>
      <x:c r="H75" s="2"/>
      <x:c r="I75" s="2"/>
      <x:c r="J75" s="2"/>
      <x:c r="K75" s="2"/>
      <x:c r="L75" s="2"/>
      <x:c r="M75" s="2"/>
      <x:c r="N75" s="2"/>
      <x:c r="O75" s="2"/>
      <x:c r="P75" s="2"/>
      <x:c r="Q75" s="2"/>
    </x:row>
    <x:row r="76" ht="23" customHeight="1">
      <x:c r="A76" s="2"/>
      <x:c r="B76" s="2"/>
      <x:c r="C76" s="2"/>
      <x:c r="D76" s="2"/>
      <x:c r="E76" s="2"/>
      <x:c r="F76" s="2"/>
      <x:c r="G76" s="2"/>
      <x:c r="H76" s="2"/>
      <x:c r="I76" s="2"/>
      <x:c r="J76" s="2"/>
      <x:c r="K76" s="2"/>
      <x:c r="L76" s="2"/>
      <x:c r="M76" s="2"/>
      <x:c r="N76" s="2"/>
      <x:c r="O76" s="2"/>
      <x:c r="P76" s="2"/>
      <x:c r="Q76" s="2"/>
    </x:row>
    <x:row r="77" ht="23" customHeight="1">
      <x:c r="A77" s="2"/>
      <x:c r="B77" s="2"/>
      <x:c r="C77" s="2"/>
      <x:c r="D77" s="2"/>
      <x:c r="E77" s="2"/>
      <x:c r="F77" s="2"/>
      <x:c r="G77" s="2"/>
      <x:c r="H77" s="2"/>
      <x:c r="I77" s="2"/>
      <x:c r="J77" s="2"/>
      <x:c r="K77" s="2"/>
      <x:c r="L77" s="2"/>
      <x:c r="M77" s="2"/>
      <x:c r="N77" s="2"/>
      <x:c r="O77" s="2"/>
      <x:c r="P77" s="2"/>
      <x:c r="Q77" s="2"/>
    </x:row>
    <x:row r="78" ht="23" customHeight="1">
      <x:c r="A78" s="2"/>
      <x:c r="B78" s="2"/>
      <x:c r="C78" s="2"/>
      <x:c r="D78" s="2"/>
      <x:c r="E78" s="2"/>
      <x:c r="F78" s="2"/>
      <x:c r="G78" s="2"/>
      <x:c r="H78" s="2"/>
      <x:c r="I78" s="2"/>
      <x:c r="J78" s="2"/>
      <x:c r="K78" s="2"/>
      <x:c r="L78" s="2"/>
      <x:c r="M78" s="2"/>
      <x:c r="N78" s="2"/>
      <x:c r="O78" s="2"/>
      <x:c r="P78" s="2"/>
      <x:c r="Q78" s="2"/>
    </x:row>
    <x:row r="79" ht="23" customHeight="1">
      <x:c r="A79" s="2"/>
      <x:c r="B79" s="2"/>
      <x:c r="C79" s="2"/>
      <x:c r="D79" s="2"/>
      <x:c r="E79" s="2"/>
      <x:c r="F79" s="2"/>
      <x:c r="G79" s="2"/>
      <x:c r="H79" s="2"/>
      <x:c r="I79" s="2"/>
      <x:c r="J79" s="2"/>
      <x:c r="K79" s="2"/>
      <x:c r="L79" s="2"/>
      <x:c r="M79" s="2"/>
      <x:c r="N79" s="2"/>
      <x:c r="O79" s="2"/>
      <x:c r="P79" s="2"/>
      <x:c r="Q79" s="2"/>
    </x:row>
    <x:row r="80" ht="23" customHeight="1">
      <x:c r="A80" s="2"/>
      <x:c r="B80" s="2"/>
      <x:c r="C80" s="2"/>
      <x:c r="D80" s="2"/>
      <x:c r="E80" s="2"/>
      <x:c r="F80" s="2"/>
      <x:c r="G80" s="2"/>
      <x:c r="H80" s="2"/>
      <x:c r="I80" s="2"/>
      <x:c r="J80" s="2"/>
      <x:c r="K80" s="2"/>
      <x:c r="L80" s="2"/>
      <x:c r="M80" s="2"/>
      <x:c r="N80" s="2"/>
      <x:c r="O80" s="2"/>
      <x:c r="P80" s="2"/>
      <x:c r="Q80" s="2"/>
    </x:row>
    <x:row r="81" ht="23" customHeight="1">
      <x:c r="A81" s="2"/>
      <x:c r="B81" s="2"/>
      <x:c r="C81" s="2"/>
      <x:c r="D81" s="2"/>
      <x:c r="E81" s="2"/>
      <x:c r="F81" s="2"/>
      <x:c r="G81" s="2"/>
      <x:c r="H81" s="2"/>
      <x:c r="I81" s="2"/>
      <x:c r="J81" s="2"/>
      <x:c r="K81" s="2"/>
      <x:c r="L81" s="2"/>
      <x:c r="M81" s="2"/>
      <x:c r="N81" s="2"/>
      <x:c r="O81" s="2"/>
      <x:c r="P81" s="2"/>
      <x:c r="Q81" s="2"/>
    </x:row>
    <x:row r="82" ht="23" customHeight="1">
      <x:c r="A82" s="2"/>
      <x:c r="B82" s="2"/>
      <x:c r="C82" s="2"/>
      <x:c r="D82" s="2"/>
      <x:c r="E82" s="2"/>
      <x:c r="F82" s="2"/>
      <x:c r="G82" s="2"/>
      <x:c r="H82" s="2"/>
      <x:c r="I82" s="2"/>
      <x:c r="J82" s="2"/>
      <x:c r="K82" s="2"/>
      <x:c r="L82" s="2"/>
      <x:c r="M82" s="2"/>
      <x:c r="N82" s="2"/>
      <x:c r="O82" s="2"/>
      <x:c r="P82" s="2"/>
      <x:c r="Q82" s="2"/>
    </x:row>
    <x:row r="83" ht="23" customHeight="1">
      <x:c r="A83" s="2"/>
      <x:c r="B83" s="2"/>
      <x:c r="C83" s="2"/>
      <x:c r="D83" s="2"/>
      <x:c r="E83" s="2"/>
      <x:c r="F83" s="2"/>
      <x:c r="G83" s="2"/>
      <x:c r="H83" s="2"/>
      <x:c r="I83" s="2"/>
      <x:c r="J83" s="2"/>
      <x:c r="K83" s="2"/>
      <x:c r="L83" s="2"/>
      <x:c r="M83" s="2"/>
      <x:c r="N83" s="2"/>
      <x:c r="O83" s="2"/>
      <x:c r="P83" s="2"/>
      <x:c r="Q83" s="2"/>
    </x:row>
    <x:row r="84" ht="23" customHeight="1">
      <x:c r="A84" s="2"/>
      <x:c r="B84" s="2"/>
      <x:c r="C84" s="2"/>
      <x:c r="D84" s="2"/>
      <x:c r="E84" s="2"/>
      <x:c r="F84" s="2"/>
      <x:c r="G84" s="2"/>
      <x:c r="H84" s="2"/>
      <x:c r="I84" s="2"/>
      <x:c r="J84" s="2"/>
      <x:c r="K84" s="2"/>
      <x:c r="L84" s="2"/>
      <x:c r="M84" s="2"/>
      <x:c r="N84" s="2"/>
      <x:c r="O84" s="2"/>
      <x:c r="P84" s="2"/>
      <x:c r="Q84" s="2"/>
    </x:row>
    <x:row r="85" ht="23" customHeight="1">
      <x:c r="A85" s="2"/>
      <x:c r="B85" s="2"/>
      <x:c r="C85" s="2"/>
      <x:c r="D85" s="2"/>
      <x:c r="E85" s="2"/>
      <x:c r="F85" s="2"/>
      <x:c r="G85" s="2"/>
      <x:c r="H85" s="2"/>
      <x:c r="I85" s="2"/>
      <x:c r="J85" s="2"/>
      <x:c r="K85" s="2"/>
      <x:c r="L85" s="2"/>
      <x:c r="M85" s="2"/>
      <x:c r="N85" s="2"/>
      <x:c r="O85" s="2"/>
      <x:c r="P85" s="2"/>
      <x:c r="Q85" s="2"/>
    </x:row>
    <x:row r="86" ht="23" customHeight="1">
      <x:c r="A86" s="2"/>
      <x:c r="B86" s="2"/>
      <x:c r="C86" s="2"/>
      <x:c r="D86" s="2"/>
      <x:c r="E86" s="2"/>
      <x:c r="F86" s="2"/>
      <x:c r="G86" s="2"/>
      <x:c r="H86" s="2"/>
      <x:c r="I86" s="2"/>
      <x:c r="J86" s="2"/>
      <x:c r="K86" s="2"/>
      <x:c r="L86" s="2"/>
      <x:c r="M86" s="2"/>
      <x:c r="N86" s="2"/>
      <x:c r="O86" s="2"/>
      <x:c r="P86" s="2"/>
      <x:c r="Q86" s="2"/>
    </x:row>
    <x:row r="87" ht="23" customHeight="1">
      <x:c r="A87" s="2"/>
      <x:c r="B87" s="2"/>
      <x:c r="C87" s="2"/>
      <x:c r="D87" s="2"/>
      <x:c r="E87" s="2"/>
      <x:c r="F87" s="2"/>
      <x:c r="G87" s="2"/>
      <x:c r="H87" s="2"/>
      <x:c r="I87" s="2"/>
      <x:c r="J87" s="2"/>
      <x:c r="K87" s="2"/>
      <x:c r="L87" s="2"/>
      <x:c r="M87" s="2"/>
      <x:c r="N87" s="2"/>
      <x:c r="O87" s="2"/>
      <x:c r="P87" s="2"/>
      <x:c r="Q87" s="2"/>
    </x:row>
    <x:row r="88" ht="23" customHeight="1">
      <x:c r="A88" s="2"/>
      <x:c r="B88" s="2"/>
      <x:c r="C88" s="2"/>
      <x:c r="D88" s="2"/>
      <x:c r="E88" s="2"/>
      <x:c r="F88" s="2"/>
      <x:c r="G88" s="2"/>
      <x:c r="H88" s="2"/>
      <x:c r="I88" s="2"/>
      <x:c r="J88" s="2"/>
      <x:c r="K88" s="2"/>
      <x:c r="L88" s="2"/>
      <x:c r="M88" s="2"/>
      <x:c r="N88" s="2"/>
      <x:c r="O88" s="2"/>
      <x:c r="P88" s="2"/>
      <x:c r="Q88" s="2"/>
    </x:row>
    <x:row r="89" ht="23" customHeight="1">
      <x:c r="A89" s="2"/>
      <x:c r="B89" s="2"/>
      <x:c r="C89" s="2"/>
      <x:c r="D89" s="2"/>
      <x:c r="E89" s="2"/>
      <x:c r="F89" s="2"/>
      <x:c r="G89" s="2"/>
      <x:c r="H89" s="2"/>
      <x:c r="I89" s="2"/>
      <x:c r="J89" s="2"/>
      <x:c r="K89" s="2"/>
      <x:c r="L89" s="2"/>
      <x:c r="M89" s="2"/>
      <x:c r="N89" s="2"/>
      <x:c r="O89" s="2"/>
      <x:c r="P89" s="2"/>
      <x:c r="Q89" s="2"/>
    </x:row>
    <x:row r="90" ht="23" customHeight="1">
      <x:c r="A90" s="2"/>
      <x:c r="B90" s="2"/>
      <x:c r="C90" s="2"/>
      <x:c r="D90" s="2"/>
      <x:c r="E90" s="2"/>
      <x:c r="F90" s="2"/>
      <x:c r="G90" s="2"/>
      <x:c r="H90" s="2"/>
      <x:c r="I90" s="2"/>
      <x:c r="J90" s="2"/>
      <x:c r="K90" s="2"/>
      <x:c r="L90" s="2"/>
      <x:c r="M90" s="2"/>
      <x:c r="N90" s="2"/>
      <x:c r="O90" s="2"/>
      <x:c r="P90" s="2"/>
      <x:c r="Q90" s="2"/>
    </x:row>
  </x:sheetData>
  <x:pageMargins left="0.7" right="0.7" top="0.75" bottom="0.75" header="0.3" footer="0.3"/>
</x:worksheet>
</file>

<file path=xl/worksheets/sheet3.xml><?xml version="1.0" encoding="utf-8"?>
<x:worksheet xmlns:x="http://schemas.openxmlformats.org/spreadsheetml/2006/main">
  <x:sheetPr>
    <x:tabColor rgb="FF003DA5"/>
  </x:sheetPr>
  <x:sheetViews>
    <x:sheetView showGridLines="0" workbookViewId="0"/>
  </x:sheetViews>
  <x:sheetFormatPr defaultRowHeight="15"/>
  <x:cols>
    <x:col min="1" max="1" width="3" hidden="0" customWidth="1"/>
    <x:col min="2" max="2" width="3" hidden="0" customWidth="1"/>
    <x:col min="3" max="3" width="36"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s>
  <x:sheetData>
    <x:row r="1" ht="23" customHeight="1">
      <x:c r="A1" s="2"/>
      <x:c r="B1" s="2"/>
      <x:c r="C1" s="2"/>
      <x:c r="D1" s="2"/>
      <x:c r="E1" s="2"/>
      <x:c r="F1" s="2"/>
      <x:c r="G1" s="2"/>
      <x:c r="H1" s="2"/>
      <x:c r="I1" s="2"/>
      <x:c r="J1" s="2"/>
      <x:c r="K1" s="2"/>
      <x:c r="L1" s="2"/>
      <x:c r="M1" s="2"/>
      <x:c r="N1" s="2"/>
      <x:c r="O1" s="2"/>
      <x:c r="P1" s="2"/>
      <x:c r="Q1" s="2"/>
    </x:row>
    <x:row r="2" ht="23" customHeight="1">
      <x:c r="A2" s="2"/>
      <x:c r="B2" s="2"/>
      <x:c r="C2" s="3" t="str">
        <x:v>PG | One live calculation</x:v>
      </x:c>
      <x:c r="D2" s="2"/>
      <x:c r="E2" s="2"/>
      <x:c r="F2" s="2"/>
      <x:c r="G2" s="2"/>
      <x:c r="H2" s="2"/>
      <x:c r="I2" s="2"/>
      <x:c r="J2" s="2"/>
      <x:c r="K2" s="2"/>
      <x:c r="L2" s="2"/>
      <x:c r="M2" s="2"/>
      <x:c r="N2" s="2"/>
      <x:c r="O2" s="2"/>
      <x:c r="P2" s="2"/>
      <x:c r="Q2" s="2"/>
    </x:row>
    <x:row r="3" ht="23" customHeight="1">
      <x:c r="A3" s="2"/>
      <x:c r="B3" s="2"/>
      <x:c r="C3" s="4"/>
      <x:c r="D3" s="4"/>
      <x:c r="E3" s="4"/>
      <x:c r="F3" s="4"/>
      <x:c r="G3" s="4"/>
      <x:c r="H3" s="4"/>
      <x:c r="I3" s="4"/>
      <x:c r="J3" s="4"/>
      <x:c r="K3" s="2"/>
      <x:c r="L3" s="2"/>
      <x:c r="M3" s="2"/>
      <x:c r="N3" s="2"/>
      <x:c r="O3" s="2"/>
      <x:c r="P3" s="2"/>
      <x:c r="Q3" s="2"/>
    </x:row>
    <x:row r="4" ht="23" customHeight="1">
      <x:c r="A4" s="2"/>
      <x:c r="B4" s="2"/>
      <x:c r="C4" s="2" t="str">
        <x:v>Case selected:</x:v>
      </x:c>
      <x:c r="D4" s="23" t="str">
        <x:f>'Assumptions'!D4</x:f>
        <x:v>May · market informed · base</x:v>
      </x:c>
      <x:c r="E4" s="2"/>
      <x:c r="F4" s="2"/>
      <x:c r="G4" s="2"/>
      <x:c r="H4" s="2"/>
      <x:c r="I4" s="2"/>
      <x:c r="J4" s="2"/>
      <x:c r="K4" s="2"/>
      <x:c r="L4" s="2"/>
      <x:c r="M4" s="2"/>
      <x:c r="N4" s="2"/>
      <x:c r="O4" s="2"/>
      <x:c r="P4" s="2"/>
      <x:c r="Q4" s="2"/>
    </x:row>
    <x:row r="5" ht="23" customHeight="1">
      <x:c r="A5" s="2"/>
      <x:c r="B5" s="2"/>
      <x:c r="C5" s="2"/>
      <x:c r="D5" s="2"/>
      <x:c r="E5" s="2"/>
      <x:c r="F5" s="2"/>
      <x:c r="G5" s="2"/>
      <x:c r="H5" s="2"/>
      <x:c r="I5" s="2"/>
      <x:c r="J5" s="2"/>
      <x:c r="K5" s="2"/>
      <x:c r="L5" s="2"/>
      <x:c r="M5" s="2"/>
      <x:c r="N5" s="2"/>
      <x:c r="O5" s="2"/>
      <x:c r="P5" s="2"/>
      <x:c r="Q5" s="2"/>
    </x:row>
    <x:row r="6" ht="40" customHeight="1">
      <x:c r="A6" s="2"/>
      <x:c r="B6" s="2"/>
      <x:c r="C6" s="13" t="str">
        <x:v>Calculation</x:v>
      </x:c>
      <x:c r="D6" s="13" t="str">
        <x:v>Selected case</x:v>
      </x:c>
      <x:c r="E6" s="13" t="str">
        <x:v>Actual Apr–Jun 2026</x:v>
      </x:c>
      <x:c r="F6" s="2"/>
      <x:c r="G6" s="2" t="str">
        <x:v>Comparison</x:v>
      </x:c>
      <x:c r="H6" s="2" t="str">
        <x:v>Profit</x:v>
      </x:c>
      <x:c r="I6" s="2"/>
      <x:c r="J6" s="2"/>
      <x:c r="K6" s="2"/>
      <x:c r="L6" s="2"/>
      <x:c r="M6" s="2"/>
      <x:c r="N6" s="2"/>
      <x:c r="O6" s="2"/>
      <x:c r="P6" s="2"/>
      <x:c r="Q6" s="2"/>
    </x:row>
    <x:row r="7" ht="23" customHeight="1">
      <x:c r="A7" s="2"/>
      <x:c r="B7" s="2"/>
      <x:c r="C7" s="2" t="str">
        <x:v>Net Sales</x:v>
      </x:c>
      <x:c r="D7" s="24" t="n">
        <x:f>'Historical Financials'!I14*(1+'Assumptions'!D7)</x:f>
        <x:v>21724.56</x:v>
      </x:c>
      <x:c r="E7" s="20" t="n">
        <x:v>21203</x:v>
      </x:c>
      <x:c r="F7" s="2"/>
      <x:c r="G7" s="2" t="str">
        <x:v>Selected case</x:v>
      </x:c>
      <x:c r="H7" s="9" t="n">
        <x:f>D14</x:f>
        <x:v>3624.5391408</x:v>
      </x:c>
      <x:c r="I7" s="2"/>
      <x:c r="J7" s="2"/>
      <x:c r="K7" s="2"/>
      <x:c r="L7" s="2"/>
      <x:c r="M7" s="2"/>
      <x:c r="N7" s="2"/>
      <x:c r="O7" s="2"/>
      <x:c r="P7" s="2"/>
      <x:c r="Q7" s="2"/>
    </x:row>
    <x:row r="8" ht="23" customHeight="1">
      <x:c r="A8" s="2"/>
      <x:c r="B8" s="2"/>
      <x:c r="C8" s="2" t="str">
        <x:v>Gross Profit</x:v>
      </x:c>
      <x:c r="D8" s="24" t="n">
        <x:f>D7*'Assumptions'!D8</x:f>
        <x:v>10558.13616</x:v>
      </x:c>
      <x:c r="E8" s="20" t="n">
        <x:v>10283</x:v>
      </x:c>
      <x:c r="F8" s="2"/>
      <x:c r="G8" s="2" t="str">
        <x:v>Actual</x:v>
      </x:c>
      <x:c r="H8" s="9" t="n">
        <x:f>E14</x:f>
        <x:v>3044</x:v>
      </x:c>
      <x:c r="I8" s="2"/>
      <x:c r="J8" s="2"/>
      <x:c r="K8" s="2"/>
      <x:c r="L8" s="2"/>
      <x:c r="M8" s="2"/>
      <x:c r="N8" s="2"/>
      <x:c r="O8" s="2"/>
      <x:c r="P8" s="2"/>
      <x:c r="Q8" s="2"/>
    </x:row>
    <x:row r="9" ht="23" customHeight="1">
      <x:c r="A9" s="2"/>
      <x:c r="B9" s="2"/>
      <x:c r="C9" s="2" t="str">
        <x:v>Sga</x:v>
      </x:c>
      <x:c r="D9" s="24" t="n">
        <x:f>D7*'Assumptions'!D9</x:f>
        <x:v>6126.32592</x:v>
      </x:c>
      <x:c r="E9" s="20" t="n">
        <x:v>6334</x:v>
      </x:c>
      <x:c r="F9" s="2"/>
      <x:c r="G9" s="2"/>
      <x:c r="H9" s="2"/>
      <x:c r="I9" s="2"/>
      <x:c r="J9" s="2"/>
      <x:c r="K9" s="2"/>
      <x:c r="L9" s="2"/>
      <x:c r="M9" s="2"/>
      <x:c r="N9" s="2"/>
      <x:c r="O9" s="2"/>
      <x:c r="P9" s="2"/>
      <x:c r="Q9" s="2"/>
    </x:row>
    <x:row r="10" ht="23" customHeight="1">
      <x:c r="A10" s="2"/>
      <x:c r="B10" s="2"/>
      <x:c r="C10" s="2" t="str">
        <x:v>Operating Income</x:v>
      </x:c>
      <x:c r="D10" s="9" t="n">
        <x:f>D8-D9</x:f>
        <x:v>4431.81024</x:v>
      </x:c>
      <x:c r="E10" s="20" t="n">
        <x:v>3949</x:v>
      </x:c>
      <x:c r="F10" s="2"/>
      <x:c r="G10" s="2"/>
      <x:c r="H10" s="2"/>
      <x:c r="I10" s="2"/>
      <x:c r="J10" s="2"/>
      <x:c r="K10" s="2"/>
      <x:c r="L10" s="2"/>
      <x:c r="M10" s="2"/>
      <x:c r="N10" s="2"/>
      <x:c r="O10" s="2"/>
      <x:c r="P10" s="2"/>
      <x:c r="Q10" s="2"/>
    </x:row>
    <x:row r="11" ht="23" customHeight="1">
      <x:c r="A11" s="2"/>
      <x:c r="B11" s="2"/>
      <x:c r="C11" s="2" t="str">
        <x:v>Pretax Income</x:v>
      </x:c>
      <x:c r="D11" s="24" t="n">
        <x:f>D10+'Assumptions'!D10</x:f>
        <x:v>4581.81024</x:v>
      </x:c>
      <x:c r="E11" s="20" t="n">
        <x:v>3933</x:v>
      </x:c>
      <x:c r="F11" s="2"/>
      <x:c r="G11" s="2"/>
      <x:c r="H11" s="2"/>
      <x:c r="I11" s="2"/>
      <x:c r="J11" s="2"/>
      <x:c r="K11" s="2"/>
      <x:c r="L11" s="2"/>
      <x:c r="M11" s="2"/>
      <x:c r="N11" s="2"/>
      <x:c r="O11" s="2"/>
      <x:c r="P11" s="2"/>
      <x:c r="Q11" s="2"/>
    </x:row>
    <x:row r="12" ht="23" customHeight="1">
      <x:c r="A12" s="2"/>
      <x:c r="B12" s="2"/>
      <x:c r="C12" s="2" t="str">
        <x:v>Income Taxes</x:v>
      </x:c>
      <x:c r="D12" s="24" t="n">
        <x:f>D11*'Assumptions'!D11</x:f>
        <x:v>939.2710991999999</x:v>
      </x:c>
      <x:c r="E12" s="20" t="n">
        <x:v>852</x:v>
      </x:c>
      <x:c r="F12" s="2"/>
      <x:c r="G12" s="2"/>
      <x:c r="H12" s="2"/>
      <x:c r="I12" s="2"/>
      <x:c r="J12" s="2"/>
      <x:c r="K12" s="2"/>
      <x:c r="L12" s="2"/>
      <x:c r="M12" s="2"/>
      <x:c r="N12" s="2"/>
      <x:c r="O12" s="2"/>
      <x:c r="P12" s="2"/>
      <x:c r="Q12" s="2"/>
    </x:row>
    <x:row r="13" ht="23" customHeight="1">
      <x:c r="A13" s="2"/>
      <x:c r="B13" s="2"/>
      <x:c r="C13" s="2" t="str">
        <x:v>Net Income</x:v>
      </x:c>
      <x:c r="D13" s="9" t="n">
        <x:f>D11-D12</x:f>
        <x:v>3642.5391408</x:v>
      </x:c>
      <x:c r="E13" s="20" t="n">
        <x:v>3081</x:v>
      </x:c>
      <x:c r="F13" s="2"/>
      <x:c r="G13" s="2"/>
      <x:c r="H13" s="2"/>
      <x:c r="I13" s="2"/>
      <x:c r="J13" s="2"/>
      <x:c r="K13" s="2"/>
      <x:c r="L13" s="2"/>
      <x:c r="M13" s="2"/>
      <x:c r="N13" s="2"/>
      <x:c r="O13" s="2"/>
      <x:c r="P13" s="2"/>
      <x:c r="Q13" s="2"/>
    </x:row>
    <x:row r="14" ht="23" customHeight="1">
      <x:c r="A14" s="2"/>
      <x:c r="B14" s="2"/>
      <x:c r="C14" s="2" t="str">
        <x:v>Net Income Attributable</x:v>
      </x:c>
      <x:c r="D14" s="24" t="n">
        <x:f>D13-'Assumptions'!D12</x:f>
        <x:v>3624.5391408</x:v>
      </x:c>
      <x:c r="E14" s="20" t="n">
        <x:v>3044</x:v>
      </x:c>
      <x:c r="F14" s="2"/>
      <x:c r="G14" s="2"/>
      <x:c r="H14" s="2"/>
      <x:c r="I14" s="2"/>
      <x:c r="J14" s="2"/>
      <x:c r="K14" s="2"/>
      <x:c r="L14" s="2"/>
      <x:c r="M14" s="2"/>
      <x:c r="N14" s="2"/>
      <x:c r="O14" s="2"/>
      <x:c r="P14" s="2"/>
      <x:c r="Q14" s="2"/>
    </x:row>
    <x:row r="15" ht="23" customHeight="1">
      <x:c r="A15" s="2"/>
      <x:c r="B15" s="2"/>
      <x:c r="C15" s="2" t="str">
        <x:v>Diluted Eps</x:v>
      </x:c>
      <x:c r="D15" s="25" t="n">
        <x:f>D14/'Assumptions'!D13</x:f>
        <x:v>1.507084881829522</x:v>
      </x:c>
      <x:c r="E15" s="21" t="n">
        <x:v>1.26</x:v>
      </x:c>
      <x:c r="F15" s="2"/>
      <x:c r="G15" s="2"/>
      <x:c r="H15" s="2"/>
      <x:c r="I15" s="2"/>
      <x:c r="J15" s="2"/>
      <x:c r="K15" s="2"/>
      <x:c r="L15" s="2"/>
      <x:c r="M15" s="2"/>
      <x:c r="N15" s="2"/>
      <x:c r="O15" s="2"/>
      <x:c r="P15" s="2"/>
      <x:c r="Q15" s="2"/>
    </x:row>
    <x:row r="16" ht="23" customHeight="1">
      <x:c r="A16" s="2"/>
      <x:c r="B16" s="2"/>
      <x:c r="C16" s="2" t="str">
        <x:v>Operating Cash Flow</x:v>
      </x:c>
      <x:c r="D16" s="24" t="n">
        <x:f>D13*'Assumptions'!D14</x:f>
        <x:v>4735.30088304</x:v>
      </x:c>
      <x:c r="E16" s="20" t="n">
        <x:v>5131</x:v>
      </x:c>
      <x:c r="F16" s="2"/>
      <x:c r="G16" s="2"/>
      <x:c r="H16" s="2"/>
      <x:c r="I16" s="2"/>
      <x:c r="J16" s="2"/>
      <x:c r="K16" s="2"/>
      <x:c r="L16" s="2"/>
      <x:c r="M16" s="2"/>
      <x:c r="N16" s="2"/>
      <x:c r="O16" s="2"/>
      <x:c r="P16" s="2"/>
      <x:c r="Q16" s="2"/>
    </x:row>
    <x:row r="17" ht="23" customHeight="1">
      <x:c r="A17" s="2"/>
      <x:c r="B17" s="2"/>
      <x:c r="C17" s="2" t="str">
        <x:v>Capital Expenditures</x:v>
      </x:c>
      <x:c r="D17" s="24" t="n">
        <x:f>D7*'Assumptions'!D15</x:f>
        <x:v>1086.228</x:v>
      </x:c>
      <x:c r="E17" s="20" t="n">
        <x:v>1023</x:v>
      </x:c>
      <x:c r="F17" s="2"/>
      <x:c r="G17" s="2"/>
      <x:c r="H17" s="2"/>
      <x:c r="I17" s="2"/>
      <x:c r="J17" s="2"/>
      <x:c r="K17" s="2"/>
      <x:c r="L17" s="2"/>
      <x:c r="M17" s="2"/>
      <x:c r="N17" s="2"/>
      <x:c r="O17" s="2"/>
      <x:c r="P17" s="2"/>
      <x:c r="Q17" s="2"/>
    </x:row>
    <x:row r="18" ht="23" customHeight="1">
      <x:c r="A18" s="2"/>
      <x:c r="B18" s="2"/>
      <x:c r="C18" s="2" t="str">
        <x:v>Free Cash Flow</x:v>
      </x:c>
      <x:c r="D18" s="9" t="n">
        <x:f>D16-D17</x:f>
        <x:v>3649.0728830400003</x:v>
      </x:c>
      <x:c r="E18" s="20" t="n">
        <x:v>4108</x:v>
      </x:c>
      <x:c r="F18" s="2"/>
      <x:c r="G18" s="2"/>
      <x:c r="H18" s="2"/>
      <x:c r="I18" s="2"/>
      <x:c r="J18" s="2"/>
      <x:c r="K18" s="2"/>
      <x:c r="L18" s="2"/>
      <x:c r="M18" s="2"/>
      <x:c r="N18" s="2"/>
      <x:c r="O18" s="2"/>
      <x:c r="P18" s="2"/>
      <x:c r="Q18" s="2"/>
    </x:row>
    <x:row r="19" ht="23" customHeight="1">
      <x:c r="A19" s="2"/>
      <x:c r="B19" s="2"/>
      <x:c r="C19" s="2"/>
      <x:c r="D19" s="2"/>
      <x:c r="E19" s="2"/>
      <x:c r="F19" s="2"/>
      <x:c r="G19" s="2"/>
      <x:c r="H19" s="2"/>
      <x:c r="I19" s="2"/>
      <x:c r="J19" s="2"/>
      <x:c r="K19" s="2"/>
      <x:c r="L19" s="2"/>
      <x:c r="M19" s="2"/>
      <x:c r="N19" s="2"/>
      <x:c r="O19" s="2"/>
      <x:c r="P19" s="2"/>
      <x:c r="Q19" s="2"/>
    </x:row>
    <x:row r="20" ht="23" customHeight="1">
      <x:c r="A20" s="2"/>
      <x:c r="B20" s="2"/>
      <x:c r="C20" s="2"/>
      <x:c r="D20" s="2"/>
      <x:c r="E20" s="2"/>
      <x:c r="F20" s="2"/>
      <x:c r="G20" s="2"/>
      <x:c r="H20" s="2"/>
      <x:c r="I20" s="2"/>
      <x:c r="J20" s="2"/>
      <x:c r="K20" s="2"/>
      <x:c r="L20" s="2"/>
      <x:c r="M20" s="2"/>
      <x:c r="N20" s="2"/>
      <x:c r="O20" s="2"/>
      <x:c r="P20" s="2"/>
      <x:c r="Q20" s="2"/>
    </x:row>
    <x:row r="21" ht="23" customHeight="1">
      <x:c r="A21" s="2"/>
      <x:c r="B21" s="2"/>
      <x:c r="C21" s="2"/>
      <x:c r="D21" s="2"/>
      <x:c r="E21" s="2"/>
      <x:c r="F21" s="2"/>
      <x:c r="G21" s="2"/>
      <x:c r="H21" s="2"/>
      <x:c r="I21" s="2"/>
      <x:c r="J21" s="2"/>
      <x:c r="K21" s="2"/>
      <x:c r="L21" s="2"/>
      <x:c r="M21" s="2"/>
      <x:c r="N21" s="2"/>
      <x:c r="O21" s="2"/>
      <x:c r="P21" s="2"/>
      <x:c r="Q21" s="2"/>
    </x:row>
    <x:row r="22" ht="23" customHeight="1">
      <x:c r="A22" s="2"/>
      <x:c r="B22" s="2"/>
      <x:c r="C22" s="2" t="str">
        <x:v>Forecasts are analyst estimates, not the company’s official budget.</x:v>
      </x:c>
      <x:c r="D22" s="2"/>
      <x:c r="E22" s="2"/>
      <x:c r="F22" s="2"/>
      <x:c r="G22" s="2"/>
      <x:c r="H22" s="2"/>
      <x:c r="I22" s="2"/>
      <x:c r="J22" s="2"/>
      <x:c r="K22" s="2"/>
      <x:c r="L22" s="2"/>
      <x:c r="M22" s="2"/>
      <x:c r="N22" s="2"/>
      <x:c r="O22" s="2"/>
      <x:c r="P22" s="2"/>
      <x:c r="Q22" s="2"/>
    </x:row>
    <x:row r="23" ht="23" customHeight="1">
      <x:c r="A23" s="2"/>
      <x:c r="B23" s="2"/>
      <x:c r="C23" s="2"/>
      <x:c r="D23" s="2"/>
      <x:c r="E23" s="2"/>
      <x:c r="F23" s="2"/>
      <x:c r="G23" s="2"/>
      <x:c r="H23" s="2"/>
      <x:c r="I23" s="2"/>
      <x:c r="J23" s="2"/>
      <x:c r="K23" s="2"/>
      <x:c r="L23" s="2"/>
      <x:c r="M23" s="2"/>
      <x:c r="N23" s="2"/>
      <x:c r="O23" s="2"/>
      <x:c r="P23" s="2"/>
      <x:c r="Q23" s="2"/>
    </x:row>
    <x:row r="24" ht="23" customHeight="1">
      <x:c r="A24" s="2"/>
      <x:c r="B24" s="2"/>
      <x:c r="C24" s="2" t="str">
        <x:v>Cash flow uses a conversion assumption; it is not a full working-capital schedule.</x:v>
      </x:c>
      <x:c r="D24" s="2"/>
      <x:c r="E24" s="2"/>
      <x:c r="F24" s="2"/>
      <x:c r="G24" s="2"/>
      <x:c r="H24" s="2"/>
      <x:c r="I24" s="2"/>
      <x:c r="J24" s="2"/>
      <x:c r="K24" s="2"/>
      <x:c r="L24" s="2"/>
      <x:c r="M24" s="2"/>
      <x:c r="N24" s="2"/>
      <x:c r="O24" s="2"/>
      <x:c r="P24" s="2"/>
      <x:c r="Q24" s="2"/>
    </x:row>
    <x:row r="25" ht="23" customHeight="1">
      <x:c r="A25" s="2"/>
      <x:c r="B25" s="2"/>
      <x:c r="C25" s="2"/>
      <x:c r="D25" s="2"/>
      <x:c r="E25" s="2"/>
      <x:c r="F25" s="2"/>
      <x:c r="G25" s="2"/>
      <x:c r="H25" s="2"/>
      <x:c r="I25" s="2"/>
      <x:c r="J25" s="2"/>
      <x:c r="K25" s="2"/>
      <x:c r="L25" s="2"/>
      <x:c r="M25" s="2"/>
      <x:c r="N25" s="2"/>
      <x:c r="O25" s="2"/>
      <x:c r="P25" s="2"/>
      <x:c r="Q25" s="2"/>
    </x:row>
    <x:row r="26" ht="23" customHeight="1">
      <x:c r="A26" s="2"/>
      <x:c r="B26" s="2"/>
      <x:c r="C26" s="2"/>
      <x:c r="D26" s="2"/>
      <x:c r="E26" s="2"/>
      <x:c r="F26" s="2"/>
      <x:c r="G26" s="2"/>
      <x:c r="H26" s="2"/>
      <x:c r="I26" s="2"/>
      <x:c r="J26" s="2"/>
      <x:c r="K26" s="2"/>
      <x:c r="L26" s="2"/>
      <x:c r="M26" s="2"/>
      <x:c r="N26" s="2"/>
      <x:c r="O26" s="2"/>
      <x:c r="P26" s="2"/>
      <x:c r="Q26" s="2"/>
    </x:row>
    <x:row r="27" ht="23" customHeight="1">
      <x:c r="A27" s="2"/>
      <x:c r="B27" s="2"/>
      <x:c r="C27" s="2"/>
      <x:c r="D27" s="2"/>
      <x:c r="E27" s="2"/>
      <x:c r="F27" s="2"/>
      <x:c r="G27" s="2"/>
      <x:c r="H27" s="2"/>
      <x:c r="I27" s="2"/>
      <x:c r="J27" s="2"/>
      <x:c r="K27" s="2"/>
      <x:c r="L27" s="2"/>
      <x:c r="M27" s="2"/>
      <x:c r="N27" s="2"/>
      <x:c r="O27" s="2"/>
      <x:c r="P27" s="2"/>
      <x:c r="Q27" s="2"/>
    </x:row>
    <x:row r="28" ht="23" customHeight="1">
      <x:c r="A28" s="2"/>
      <x:c r="B28" s="2"/>
      <x:c r="C28" s="2"/>
      <x:c r="D28" s="2"/>
      <x:c r="E28" s="2"/>
      <x:c r="F28" s="2"/>
      <x:c r="G28" s="2"/>
      <x:c r="H28" s="2"/>
      <x:c r="I28" s="2"/>
      <x:c r="J28" s="2"/>
      <x:c r="K28" s="2"/>
      <x:c r="L28" s="2"/>
      <x:c r="M28" s="2"/>
      <x:c r="N28" s="2"/>
      <x:c r="O28" s="2"/>
      <x:c r="P28" s="2"/>
      <x:c r="Q28" s="2"/>
    </x:row>
    <x:row r="29" ht="23" customHeight="1">
      <x:c r="A29" s="2"/>
      <x:c r="B29" s="2"/>
      <x:c r="C29" s="2"/>
      <x:c r="D29" s="2"/>
      <x:c r="E29" s="2"/>
      <x:c r="F29" s="2"/>
      <x:c r="G29" s="2"/>
      <x:c r="H29" s="2"/>
      <x:c r="I29" s="2"/>
      <x:c r="J29" s="2"/>
      <x:c r="K29" s="2"/>
      <x:c r="L29" s="2"/>
      <x:c r="M29" s="2"/>
      <x:c r="N29" s="2"/>
      <x:c r="O29" s="2"/>
      <x:c r="P29" s="2"/>
      <x:c r="Q29" s="2"/>
    </x:row>
    <x:row r="30" ht="23" customHeight="1">
      <x:c r="A30" s="2"/>
      <x:c r="B30" s="2"/>
      <x:c r="C30" s="2"/>
      <x:c r="D30" s="2"/>
      <x:c r="E30" s="2"/>
      <x:c r="F30" s="2"/>
      <x:c r="G30" s="2"/>
      <x:c r="H30" s="2"/>
      <x:c r="I30" s="2"/>
      <x:c r="J30" s="2"/>
      <x:c r="K30" s="2"/>
      <x:c r="L30" s="2"/>
      <x:c r="M30" s="2"/>
      <x:c r="N30" s="2"/>
      <x:c r="O30" s="2"/>
      <x:c r="P30" s="2"/>
      <x:c r="Q30" s="2"/>
    </x:row>
    <x:row r="31" ht="23" customHeight="1">
      <x:c r="A31" s="2"/>
      <x:c r="B31" s="2"/>
      <x:c r="C31" s="2"/>
      <x:c r="D31" s="2"/>
      <x:c r="E31" s="2"/>
      <x:c r="F31" s="2"/>
      <x:c r="G31" s="2"/>
      <x:c r="H31" s="2"/>
      <x:c r="I31" s="2"/>
      <x:c r="J31" s="2"/>
      <x:c r="K31" s="2"/>
      <x:c r="L31" s="2"/>
      <x:c r="M31" s="2"/>
      <x:c r="N31" s="2"/>
      <x:c r="O31" s="2"/>
      <x:c r="P31" s="2"/>
      <x:c r="Q31" s="2"/>
    </x:row>
    <x:row r="32" ht="23" customHeight="1">
      <x:c r="A32" s="2"/>
      <x:c r="B32" s="2"/>
      <x:c r="C32" s="2"/>
      <x:c r="D32" s="2"/>
      <x:c r="E32" s="2"/>
      <x:c r="F32" s="2"/>
      <x:c r="G32" s="2"/>
      <x:c r="H32" s="2"/>
      <x:c r="I32" s="2"/>
      <x:c r="J32" s="2"/>
      <x:c r="K32" s="2"/>
      <x:c r="L32" s="2"/>
      <x:c r="M32" s="2"/>
      <x:c r="N32" s="2"/>
      <x:c r="O32" s="2"/>
      <x:c r="P32" s="2"/>
      <x:c r="Q32" s="2"/>
    </x:row>
    <x:row r="33" ht="23" customHeight="1">
      <x:c r="A33" s="2"/>
      <x:c r="B33" s="2"/>
      <x:c r="C33" s="2"/>
      <x:c r="D33" s="2"/>
      <x:c r="E33" s="2"/>
      <x:c r="F33" s="2"/>
      <x:c r="G33" s="2"/>
      <x:c r="H33" s="2"/>
      <x:c r="I33" s="2"/>
      <x:c r="J33" s="2"/>
      <x:c r="K33" s="2"/>
      <x:c r="L33" s="2"/>
      <x:c r="M33" s="2"/>
      <x:c r="N33" s="2"/>
      <x:c r="O33" s="2"/>
      <x:c r="P33" s="2"/>
      <x:c r="Q33" s="2"/>
    </x:row>
    <x:row r="34" ht="23" customHeight="1">
      <x:c r="A34" s="2"/>
      <x:c r="B34" s="2"/>
      <x:c r="C34" s="2"/>
      <x:c r="D34" s="2"/>
      <x:c r="E34" s="2"/>
      <x:c r="F34" s="2"/>
      <x:c r="G34" s="2"/>
      <x:c r="H34" s="2"/>
      <x:c r="I34" s="2"/>
      <x:c r="J34" s="2"/>
      <x:c r="K34" s="2"/>
      <x:c r="L34" s="2"/>
      <x:c r="M34" s="2"/>
      <x:c r="N34" s="2"/>
      <x:c r="O34" s="2"/>
      <x:c r="P34" s="2"/>
      <x:c r="Q34" s="2"/>
    </x:row>
    <x:row r="35" ht="23" customHeight="1">
      <x:c r="A35" s="2"/>
      <x:c r="B35" s="2"/>
      <x:c r="C35" s="2"/>
      <x:c r="D35" s="2"/>
      <x:c r="E35" s="2"/>
      <x:c r="F35" s="2"/>
      <x:c r="G35" s="2"/>
      <x:c r="H35" s="2"/>
      <x:c r="I35" s="2"/>
      <x:c r="J35" s="2"/>
      <x:c r="K35" s="2"/>
      <x:c r="L35" s="2"/>
      <x:c r="M35" s="2"/>
      <x:c r="N35" s="2"/>
      <x:c r="O35" s="2"/>
      <x:c r="P35" s="2"/>
      <x:c r="Q35" s="2"/>
    </x:row>
    <x:row r="36" ht="23" customHeight="1">
      <x:c r="A36" s="2"/>
      <x:c r="B36" s="2"/>
      <x:c r="C36" s="2"/>
      <x:c r="D36" s="2"/>
      <x:c r="E36" s="2"/>
      <x:c r="F36" s="2"/>
      <x:c r="G36" s="2"/>
      <x:c r="H36" s="2"/>
      <x:c r="I36" s="2"/>
      <x:c r="J36" s="2"/>
      <x:c r="K36" s="2"/>
      <x:c r="L36" s="2"/>
      <x:c r="M36" s="2"/>
      <x:c r="N36" s="2"/>
      <x:c r="O36" s="2"/>
      <x:c r="P36" s="2"/>
      <x:c r="Q36" s="2"/>
    </x:row>
    <x:row r="37" ht="23" customHeight="1">
      <x:c r="A37" s="2"/>
      <x:c r="B37" s="2"/>
      <x:c r="C37" s="2"/>
      <x:c r="D37" s="2"/>
      <x:c r="E37" s="2"/>
      <x:c r="F37" s="2"/>
      <x:c r="G37" s="2"/>
      <x:c r="H37" s="2"/>
      <x:c r="I37" s="2"/>
      <x:c r="J37" s="2"/>
      <x:c r="K37" s="2"/>
      <x:c r="L37" s="2"/>
      <x:c r="M37" s="2"/>
      <x:c r="N37" s="2"/>
      <x:c r="O37" s="2"/>
      <x:c r="P37" s="2"/>
      <x:c r="Q37" s="2"/>
    </x:row>
    <x:row r="38" ht="23" customHeight="1">
      <x:c r="A38" s="2"/>
      <x:c r="B38" s="2"/>
      <x:c r="C38" s="2"/>
      <x:c r="D38" s="2"/>
      <x:c r="E38" s="2"/>
      <x:c r="F38" s="2"/>
      <x:c r="G38" s="2"/>
      <x:c r="H38" s="2"/>
      <x:c r="I38" s="2"/>
      <x:c r="J38" s="2"/>
      <x:c r="K38" s="2"/>
      <x:c r="L38" s="2"/>
      <x:c r="M38" s="2"/>
      <x:c r="N38" s="2"/>
      <x:c r="O38" s="2"/>
      <x:c r="P38" s="2"/>
      <x:c r="Q38" s="2"/>
    </x:row>
    <x:row r="39" ht="23" customHeight="1">
      <x:c r="A39" s="2"/>
      <x:c r="B39" s="2"/>
      <x:c r="C39" s="2"/>
      <x:c r="D39" s="2"/>
      <x:c r="E39" s="2"/>
      <x:c r="F39" s="2"/>
      <x:c r="G39" s="2"/>
      <x:c r="H39" s="2"/>
      <x:c r="I39" s="2"/>
      <x:c r="J39" s="2"/>
      <x:c r="K39" s="2"/>
      <x:c r="L39" s="2"/>
      <x:c r="M39" s="2"/>
      <x:c r="N39" s="2"/>
      <x:c r="O39" s="2"/>
      <x:c r="P39" s="2"/>
      <x:c r="Q39" s="2"/>
    </x:row>
    <x:row r="40" ht="23" customHeight="1">
      <x:c r="A40" s="2"/>
      <x:c r="B40" s="2"/>
      <x:c r="C40" s="2"/>
      <x:c r="D40" s="2"/>
      <x:c r="E40" s="2"/>
      <x:c r="F40" s="2"/>
      <x:c r="G40" s="2"/>
      <x:c r="H40" s="2"/>
      <x:c r="I40" s="2"/>
      <x:c r="J40" s="2"/>
      <x:c r="K40" s="2"/>
      <x:c r="L40" s="2"/>
      <x:c r="M40" s="2"/>
      <x:c r="N40" s="2"/>
      <x:c r="O40" s="2"/>
      <x:c r="P40" s="2"/>
      <x:c r="Q40" s="2"/>
    </x:row>
    <x:row r="41" ht="23" customHeight="1">
      <x:c r="A41" s="2"/>
      <x:c r="B41" s="2"/>
      <x:c r="C41" s="2"/>
      <x:c r="D41" s="2"/>
      <x:c r="E41" s="2"/>
      <x:c r="F41" s="2"/>
      <x:c r="G41" s="2"/>
      <x:c r="H41" s="2"/>
      <x:c r="I41" s="2"/>
      <x:c r="J41" s="2"/>
      <x:c r="K41" s="2"/>
      <x:c r="L41" s="2"/>
      <x:c r="M41" s="2"/>
      <x:c r="N41" s="2"/>
      <x:c r="O41" s="2"/>
      <x:c r="P41" s="2"/>
      <x:c r="Q41" s="2"/>
    </x:row>
    <x:row r="42" ht="23" customHeight="1">
      <x:c r="A42" s="2"/>
      <x:c r="B42" s="2"/>
      <x:c r="C42" s="2"/>
      <x:c r="D42" s="2"/>
      <x:c r="E42" s="2"/>
      <x:c r="F42" s="2"/>
      <x:c r="G42" s="2"/>
      <x:c r="H42" s="2"/>
      <x:c r="I42" s="2"/>
      <x:c r="J42" s="2"/>
      <x:c r="K42" s="2"/>
      <x:c r="L42" s="2"/>
      <x:c r="M42" s="2"/>
      <x:c r="N42" s="2"/>
      <x:c r="O42" s="2"/>
      <x:c r="P42" s="2"/>
      <x:c r="Q42" s="2"/>
    </x:row>
    <x:row r="43" ht="23" customHeight="1">
      <x:c r="A43" s="2"/>
      <x:c r="B43" s="2"/>
      <x:c r="C43" s="2"/>
      <x:c r="D43" s="2"/>
      <x:c r="E43" s="2"/>
      <x:c r="F43" s="2"/>
      <x:c r="G43" s="2"/>
      <x:c r="H43" s="2"/>
      <x:c r="I43" s="2"/>
      <x:c r="J43" s="2"/>
      <x:c r="K43" s="2"/>
      <x:c r="L43" s="2"/>
      <x:c r="M43" s="2"/>
      <x:c r="N43" s="2"/>
      <x:c r="O43" s="2"/>
      <x:c r="P43" s="2"/>
      <x:c r="Q43" s="2"/>
    </x:row>
    <x:row r="44" ht="23" customHeight="1">
      <x:c r="A44" s="2"/>
      <x:c r="B44" s="2"/>
      <x:c r="C44" s="2"/>
      <x:c r="D44" s="2"/>
      <x:c r="E44" s="2"/>
      <x:c r="F44" s="2"/>
      <x:c r="G44" s="2"/>
      <x:c r="H44" s="2"/>
      <x:c r="I44" s="2"/>
      <x:c r="J44" s="2"/>
      <x:c r="K44" s="2"/>
      <x:c r="L44" s="2"/>
      <x:c r="M44" s="2"/>
      <x:c r="N44" s="2"/>
      <x:c r="O44" s="2"/>
      <x:c r="P44" s="2"/>
      <x:c r="Q44" s="2"/>
    </x:row>
    <x:row r="45" ht="23" customHeight="1">
      <x:c r="A45" s="2"/>
      <x:c r="B45" s="2"/>
      <x:c r="C45" s="2"/>
      <x:c r="D45" s="2"/>
      <x:c r="E45" s="2"/>
      <x:c r="F45" s="2"/>
      <x:c r="G45" s="2"/>
      <x:c r="H45" s="2"/>
      <x:c r="I45" s="2"/>
      <x:c r="J45" s="2"/>
      <x:c r="K45" s="2"/>
      <x:c r="L45" s="2"/>
      <x:c r="M45" s="2"/>
      <x:c r="N45" s="2"/>
      <x:c r="O45" s="2"/>
      <x:c r="P45" s="2"/>
      <x:c r="Q45" s="2"/>
    </x:row>
    <x:row r="46" ht="23" customHeight="1">
      <x:c r="A46" s="2"/>
      <x:c r="B46" s="2"/>
      <x:c r="C46" s="2"/>
      <x:c r="D46" s="2"/>
      <x:c r="E46" s="2"/>
      <x:c r="F46" s="2"/>
      <x:c r="G46" s="2"/>
      <x:c r="H46" s="2"/>
      <x:c r="I46" s="2"/>
      <x:c r="J46" s="2"/>
      <x:c r="K46" s="2"/>
      <x:c r="L46" s="2"/>
      <x:c r="M46" s="2"/>
      <x:c r="N46" s="2"/>
      <x:c r="O46" s="2"/>
      <x:c r="P46" s="2"/>
      <x:c r="Q46" s="2"/>
    </x:row>
    <x:row r="47" ht="23" customHeight="1">
      <x:c r="A47" s="2"/>
      <x:c r="B47" s="2"/>
      <x:c r="C47" s="2"/>
      <x:c r="D47" s="2"/>
      <x:c r="E47" s="2"/>
      <x:c r="F47" s="2"/>
      <x:c r="G47" s="2"/>
      <x:c r="H47" s="2"/>
      <x:c r="I47" s="2"/>
      <x:c r="J47" s="2"/>
      <x:c r="K47" s="2"/>
      <x:c r="L47" s="2"/>
      <x:c r="M47" s="2"/>
      <x:c r="N47" s="2"/>
      <x:c r="O47" s="2"/>
      <x:c r="P47" s="2"/>
      <x:c r="Q47" s="2"/>
    </x:row>
    <x:row r="48" ht="23" customHeight="1">
      <x:c r="A48" s="2"/>
      <x:c r="B48" s="2"/>
      <x:c r="C48" s="2"/>
      <x:c r="D48" s="2"/>
      <x:c r="E48" s="2"/>
      <x:c r="F48" s="2"/>
      <x:c r="G48" s="2"/>
      <x:c r="H48" s="2"/>
      <x:c r="I48" s="2"/>
      <x:c r="J48" s="2"/>
      <x:c r="K48" s="2"/>
      <x:c r="L48" s="2"/>
      <x:c r="M48" s="2"/>
      <x:c r="N48" s="2"/>
      <x:c r="O48" s="2"/>
      <x:c r="P48" s="2"/>
      <x:c r="Q48" s="2"/>
    </x:row>
    <x:row r="49" ht="23" customHeight="1">
      <x:c r="A49" s="2"/>
      <x:c r="B49" s="2"/>
      <x:c r="C49" s="2"/>
      <x:c r="D49" s="2"/>
      <x:c r="E49" s="2"/>
      <x:c r="F49" s="2"/>
      <x:c r="G49" s="2"/>
      <x:c r="H49" s="2"/>
      <x:c r="I49" s="2"/>
      <x:c r="J49" s="2"/>
      <x:c r="K49" s="2"/>
      <x:c r="L49" s="2"/>
      <x:c r="M49" s="2"/>
      <x:c r="N49" s="2"/>
      <x:c r="O49" s="2"/>
      <x:c r="P49" s="2"/>
      <x:c r="Q49" s="2"/>
    </x:row>
    <x:row r="50" ht="23" customHeight="1">
      <x:c r="A50" s="2"/>
      <x:c r="B50" s="2"/>
      <x:c r="C50" s="2"/>
      <x:c r="D50" s="2"/>
      <x:c r="E50" s="2"/>
      <x:c r="F50" s="2"/>
      <x:c r="G50" s="2"/>
      <x:c r="H50" s="2"/>
      <x:c r="I50" s="2"/>
      <x:c r="J50" s="2"/>
      <x:c r="K50" s="2"/>
      <x:c r="L50" s="2"/>
      <x:c r="M50" s="2"/>
      <x:c r="N50" s="2"/>
      <x:c r="O50" s="2"/>
      <x:c r="P50" s="2"/>
      <x:c r="Q50" s="2"/>
    </x:row>
    <x:row r="51" ht="23" customHeight="1">
      <x:c r="A51" s="2"/>
      <x:c r="B51" s="2"/>
      <x:c r="C51" s="2"/>
      <x:c r="D51" s="2"/>
      <x:c r="E51" s="2"/>
      <x:c r="F51" s="2"/>
      <x:c r="G51" s="2"/>
      <x:c r="H51" s="2"/>
      <x:c r="I51" s="2"/>
      <x:c r="J51" s="2"/>
      <x:c r="K51" s="2"/>
      <x:c r="L51" s="2"/>
      <x:c r="M51" s="2"/>
      <x:c r="N51" s="2"/>
      <x:c r="O51" s="2"/>
      <x:c r="P51" s="2"/>
      <x:c r="Q51" s="2"/>
    </x:row>
    <x:row r="52" ht="23" customHeight="1">
      <x:c r="A52" s="2"/>
      <x:c r="B52" s="2"/>
      <x:c r="C52" s="2"/>
      <x:c r="D52" s="2"/>
      <x:c r="E52" s="2"/>
      <x:c r="F52" s="2"/>
      <x:c r="G52" s="2"/>
      <x:c r="H52" s="2"/>
      <x:c r="I52" s="2"/>
      <x:c r="J52" s="2"/>
      <x:c r="K52" s="2"/>
      <x:c r="L52" s="2"/>
      <x:c r="M52" s="2"/>
      <x:c r="N52" s="2"/>
      <x:c r="O52" s="2"/>
      <x:c r="P52" s="2"/>
      <x:c r="Q52" s="2"/>
    </x:row>
    <x:row r="53" ht="23" customHeight="1">
      <x:c r="A53" s="2"/>
      <x:c r="B53" s="2"/>
      <x:c r="C53" s="2"/>
      <x:c r="D53" s="2"/>
      <x:c r="E53" s="2"/>
      <x:c r="F53" s="2"/>
      <x:c r="G53" s="2"/>
      <x:c r="H53" s="2"/>
      <x:c r="I53" s="2"/>
      <x:c r="J53" s="2"/>
      <x:c r="K53" s="2"/>
      <x:c r="L53" s="2"/>
      <x:c r="M53" s="2"/>
      <x:c r="N53" s="2"/>
      <x:c r="O53" s="2"/>
      <x:c r="P53" s="2"/>
      <x:c r="Q53" s="2"/>
    </x:row>
    <x:row r="54" ht="23" customHeight="1">
      <x:c r="A54" s="2"/>
      <x:c r="B54" s="2"/>
      <x:c r="C54" s="2"/>
      <x:c r="D54" s="2"/>
      <x:c r="E54" s="2"/>
      <x:c r="F54" s="2"/>
      <x:c r="G54" s="2"/>
      <x:c r="H54" s="2"/>
      <x:c r="I54" s="2"/>
      <x:c r="J54" s="2"/>
      <x:c r="K54" s="2"/>
      <x:c r="L54" s="2"/>
      <x:c r="M54" s="2"/>
      <x:c r="N54" s="2"/>
      <x:c r="O54" s="2"/>
      <x:c r="P54" s="2"/>
      <x:c r="Q54" s="2"/>
    </x:row>
    <x:row r="55" ht="23" customHeight="1">
      <x:c r="A55" s="2"/>
      <x:c r="B55" s="2"/>
      <x:c r="C55" s="2"/>
      <x:c r="D55" s="2"/>
      <x:c r="E55" s="2"/>
      <x:c r="F55" s="2"/>
      <x:c r="G55" s="2"/>
      <x:c r="H55" s="2"/>
      <x:c r="I55" s="2"/>
      <x:c r="J55" s="2"/>
      <x:c r="K55" s="2"/>
      <x:c r="L55" s="2"/>
      <x:c r="M55" s="2"/>
      <x:c r="N55" s="2"/>
      <x:c r="O55" s="2"/>
      <x:c r="P55" s="2"/>
      <x:c r="Q55" s="2"/>
    </x:row>
    <x:row r="56" ht="23" customHeight="1">
      <x:c r="A56" s="2"/>
      <x:c r="B56" s="2"/>
      <x:c r="C56" s="2"/>
      <x:c r="D56" s="2"/>
      <x:c r="E56" s="2"/>
      <x:c r="F56" s="2"/>
      <x:c r="G56" s="2"/>
      <x:c r="H56" s="2"/>
      <x:c r="I56" s="2"/>
      <x:c r="J56" s="2"/>
      <x:c r="K56" s="2"/>
      <x:c r="L56" s="2"/>
      <x:c r="M56" s="2"/>
      <x:c r="N56" s="2"/>
      <x:c r="O56" s="2"/>
      <x:c r="P56" s="2"/>
      <x:c r="Q56" s="2"/>
    </x:row>
    <x:row r="57" ht="23" customHeight="1">
      <x:c r="A57" s="2"/>
      <x:c r="B57" s="2"/>
      <x:c r="C57" s="2"/>
      <x:c r="D57" s="2"/>
      <x:c r="E57" s="2"/>
      <x:c r="F57" s="2"/>
      <x:c r="G57" s="2"/>
      <x:c r="H57" s="2"/>
      <x:c r="I57" s="2"/>
      <x:c r="J57" s="2"/>
      <x:c r="K57" s="2"/>
      <x:c r="L57" s="2"/>
      <x:c r="M57" s="2"/>
      <x:c r="N57" s="2"/>
      <x:c r="O57" s="2"/>
      <x:c r="P57" s="2"/>
      <x:c r="Q57" s="2"/>
    </x:row>
    <x:row r="58" ht="23" customHeight="1">
      <x:c r="A58" s="2"/>
      <x:c r="B58" s="2"/>
      <x:c r="C58" s="2"/>
      <x:c r="D58" s="2"/>
      <x:c r="E58" s="2"/>
      <x:c r="F58" s="2"/>
      <x:c r="G58" s="2"/>
      <x:c r="H58" s="2"/>
      <x:c r="I58" s="2"/>
      <x:c r="J58" s="2"/>
      <x:c r="K58" s="2"/>
      <x:c r="L58" s="2"/>
      <x:c r="M58" s="2"/>
      <x:c r="N58" s="2"/>
      <x:c r="O58" s="2"/>
      <x:c r="P58" s="2"/>
      <x:c r="Q58" s="2"/>
    </x:row>
    <x:row r="59" ht="23" customHeight="1">
      <x:c r="A59" s="2"/>
      <x:c r="B59" s="2"/>
      <x:c r="C59" s="2"/>
      <x:c r="D59" s="2"/>
      <x:c r="E59" s="2"/>
      <x:c r="F59" s="2"/>
      <x:c r="G59" s="2"/>
      <x:c r="H59" s="2"/>
      <x:c r="I59" s="2"/>
      <x:c r="J59" s="2"/>
      <x:c r="K59" s="2"/>
      <x:c r="L59" s="2"/>
      <x:c r="M59" s="2"/>
      <x:c r="N59" s="2"/>
      <x:c r="O59" s="2"/>
      <x:c r="P59" s="2"/>
      <x:c r="Q59" s="2"/>
    </x:row>
    <x:row r="60" ht="23" customHeight="1">
      <x:c r="A60" s="2"/>
      <x:c r="B60" s="2"/>
      <x:c r="C60" s="2"/>
      <x:c r="D60" s="2"/>
      <x:c r="E60" s="2"/>
      <x:c r="F60" s="2"/>
      <x:c r="G60" s="2"/>
      <x:c r="H60" s="2"/>
      <x:c r="I60" s="2"/>
      <x:c r="J60" s="2"/>
      <x:c r="K60" s="2"/>
      <x:c r="L60" s="2"/>
      <x:c r="M60" s="2"/>
      <x:c r="N60" s="2"/>
      <x:c r="O60" s="2"/>
      <x:c r="P60" s="2"/>
      <x:c r="Q60" s="2"/>
    </x:row>
    <x:row r="61" ht="23" customHeight="1">
      <x:c r="A61" s="2"/>
      <x:c r="B61" s="2"/>
      <x:c r="C61" s="2"/>
      <x:c r="D61" s="2"/>
      <x:c r="E61" s="2"/>
      <x:c r="F61" s="2"/>
      <x:c r="G61" s="2"/>
      <x:c r="H61" s="2"/>
      <x:c r="I61" s="2"/>
      <x:c r="J61" s="2"/>
      <x:c r="K61" s="2"/>
      <x:c r="L61" s="2"/>
      <x:c r="M61" s="2"/>
      <x:c r="N61" s="2"/>
      <x:c r="O61" s="2"/>
      <x:c r="P61" s="2"/>
      <x:c r="Q61" s="2"/>
    </x:row>
    <x:row r="62" ht="23" customHeight="1">
      <x:c r="A62" s="2"/>
      <x:c r="B62" s="2"/>
      <x:c r="C62" s="2"/>
      <x:c r="D62" s="2"/>
      <x:c r="E62" s="2"/>
      <x:c r="F62" s="2"/>
      <x:c r="G62" s="2"/>
      <x:c r="H62" s="2"/>
      <x:c r="I62" s="2"/>
      <x:c r="J62" s="2"/>
      <x:c r="K62" s="2"/>
      <x:c r="L62" s="2"/>
      <x:c r="M62" s="2"/>
      <x:c r="N62" s="2"/>
      <x:c r="O62" s="2"/>
      <x:c r="P62" s="2"/>
      <x:c r="Q62" s="2"/>
    </x:row>
    <x:row r="63" ht="23" customHeight="1">
      <x:c r="A63" s="2"/>
      <x:c r="B63" s="2"/>
      <x:c r="C63" s="2"/>
      <x:c r="D63" s="2"/>
      <x:c r="E63" s="2"/>
      <x:c r="F63" s="2"/>
      <x:c r="G63" s="2"/>
      <x:c r="H63" s="2"/>
      <x:c r="I63" s="2"/>
      <x:c r="J63" s="2"/>
      <x:c r="K63" s="2"/>
      <x:c r="L63" s="2"/>
      <x:c r="M63" s="2"/>
      <x:c r="N63" s="2"/>
      <x:c r="O63" s="2"/>
      <x:c r="P63" s="2"/>
      <x:c r="Q63" s="2"/>
    </x:row>
    <x:row r="64" ht="23" customHeight="1">
      <x:c r="A64" s="2"/>
      <x:c r="B64" s="2"/>
      <x:c r="C64" s="2"/>
      <x:c r="D64" s="2"/>
      <x:c r="E64" s="2"/>
      <x:c r="F64" s="2"/>
      <x:c r="G64" s="2"/>
      <x:c r="H64" s="2"/>
      <x:c r="I64" s="2"/>
      <x:c r="J64" s="2"/>
      <x:c r="K64" s="2"/>
      <x:c r="L64" s="2"/>
      <x:c r="M64" s="2"/>
      <x:c r="N64" s="2"/>
      <x:c r="O64" s="2"/>
      <x:c r="P64" s="2"/>
      <x:c r="Q64" s="2"/>
    </x:row>
    <x:row r="65" ht="23" customHeight="1">
      <x:c r="A65" s="2"/>
      <x:c r="B65" s="2"/>
      <x:c r="C65" s="2"/>
      <x:c r="D65" s="2"/>
      <x:c r="E65" s="2"/>
      <x:c r="F65" s="2"/>
      <x:c r="G65" s="2"/>
      <x:c r="H65" s="2"/>
      <x:c r="I65" s="2"/>
      <x:c r="J65" s="2"/>
      <x:c r="K65" s="2"/>
      <x:c r="L65" s="2"/>
      <x:c r="M65" s="2"/>
      <x:c r="N65" s="2"/>
      <x:c r="O65" s="2"/>
      <x:c r="P65" s="2"/>
      <x:c r="Q65" s="2"/>
    </x:row>
    <x:row r="66" ht="23" customHeight="1">
      <x:c r="A66" s="2"/>
      <x:c r="B66" s="2"/>
      <x:c r="C66" s="2"/>
      <x:c r="D66" s="2"/>
      <x:c r="E66" s="2"/>
      <x:c r="F66" s="2"/>
      <x:c r="G66" s="2"/>
      <x:c r="H66" s="2"/>
      <x:c r="I66" s="2"/>
      <x:c r="J66" s="2"/>
      <x:c r="K66" s="2"/>
      <x:c r="L66" s="2"/>
      <x:c r="M66" s="2"/>
      <x:c r="N66" s="2"/>
      <x:c r="O66" s="2"/>
      <x:c r="P66" s="2"/>
      <x:c r="Q66" s="2"/>
    </x:row>
    <x:row r="67" ht="23" customHeight="1">
      <x:c r="A67" s="2"/>
      <x:c r="B67" s="2"/>
      <x:c r="C67" s="2"/>
      <x:c r="D67" s="2"/>
      <x:c r="E67" s="2"/>
      <x:c r="F67" s="2"/>
      <x:c r="G67" s="2"/>
      <x:c r="H67" s="2"/>
      <x:c r="I67" s="2"/>
      <x:c r="J67" s="2"/>
      <x:c r="K67" s="2"/>
      <x:c r="L67" s="2"/>
      <x:c r="M67" s="2"/>
      <x:c r="N67" s="2"/>
      <x:c r="O67" s="2"/>
      <x:c r="P67" s="2"/>
      <x:c r="Q67" s="2"/>
    </x:row>
    <x:row r="68" ht="23" customHeight="1">
      <x:c r="A68" s="2"/>
      <x:c r="B68" s="2"/>
      <x:c r="C68" s="2"/>
      <x:c r="D68" s="2"/>
      <x:c r="E68" s="2"/>
      <x:c r="F68" s="2"/>
      <x:c r="G68" s="2"/>
      <x:c r="H68" s="2"/>
      <x:c r="I68" s="2"/>
      <x:c r="J68" s="2"/>
      <x:c r="K68" s="2"/>
      <x:c r="L68" s="2"/>
      <x:c r="M68" s="2"/>
      <x:c r="N68" s="2"/>
      <x:c r="O68" s="2"/>
      <x:c r="P68" s="2"/>
      <x:c r="Q68" s="2"/>
    </x:row>
    <x:row r="69" ht="23" customHeight="1">
      <x:c r="A69" s="2"/>
      <x:c r="B69" s="2"/>
      <x:c r="C69" s="2"/>
      <x:c r="D69" s="2"/>
      <x:c r="E69" s="2"/>
      <x:c r="F69" s="2"/>
      <x:c r="G69" s="2"/>
      <x:c r="H69" s="2"/>
      <x:c r="I69" s="2"/>
      <x:c r="J69" s="2"/>
      <x:c r="K69" s="2"/>
      <x:c r="L69" s="2"/>
      <x:c r="M69" s="2"/>
      <x:c r="N69" s="2"/>
      <x:c r="O69" s="2"/>
      <x:c r="P69" s="2"/>
      <x:c r="Q69" s="2"/>
    </x:row>
    <x:row r="70" ht="23" customHeight="1">
      <x:c r="A70" s="2"/>
      <x:c r="B70" s="2"/>
      <x:c r="C70" s="2"/>
      <x:c r="D70" s="2"/>
      <x:c r="E70" s="2"/>
      <x:c r="F70" s="2"/>
      <x:c r="G70" s="2"/>
      <x:c r="H70" s="2"/>
      <x:c r="I70" s="2"/>
      <x:c r="J70" s="2"/>
      <x:c r="K70" s="2"/>
      <x:c r="L70" s="2"/>
      <x:c r="M70" s="2"/>
      <x:c r="N70" s="2"/>
      <x:c r="O70" s="2"/>
      <x:c r="P70" s="2"/>
      <x:c r="Q70" s="2"/>
    </x:row>
    <x:row r="71" ht="23" customHeight="1">
      <x:c r="A71" s="2"/>
      <x:c r="B71" s="2"/>
      <x:c r="C71" s="2"/>
      <x:c r="D71" s="2"/>
      <x:c r="E71" s="2"/>
      <x:c r="F71" s="2"/>
      <x:c r="G71" s="2"/>
      <x:c r="H71" s="2"/>
      <x:c r="I71" s="2"/>
      <x:c r="J71" s="2"/>
      <x:c r="K71" s="2"/>
      <x:c r="L71" s="2"/>
      <x:c r="M71" s="2"/>
      <x:c r="N71" s="2"/>
      <x:c r="O71" s="2"/>
      <x:c r="P71" s="2"/>
      <x:c r="Q71" s="2"/>
    </x:row>
    <x:row r="72" ht="23" customHeight="1">
      <x:c r="A72" s="2"/>
      <x:c r="B72" s="2"/>
      <x:c r="C72" s="2"/>
      <x:c r="D72" s="2"/>
      <x:c r="E72" s="2"/>
      <x:c r="F72" s="2"/>
      <x:c r="G72" s="2"/>
      <x:c r="H72" s="2"/>
      <x:c r="I72" s="2"/>
      <x:c r="J72" s="2"/>
      <x:c r="K72" s="2"/>
      <x:c r="L72" s="2"/>
      <x:c r="M72" s="2"/>
      <x:c r="N72" s="2"/>
      <x:c r="O72" s="2"/>
      <x:c r="P72" s="2"/>
      <x:c r="Q72" s="2"/>
    </x:row>
    <x:row r="73" ht="23" customHeight="1">
      <x:c r="A73" s="2"/>
      <x:c r="B73" s="2"/>
      <x:c r="C73" s="2"/>
      <x:c r="D73" s="2"/>
      <x:c r="E73" s="2"/>
      <x:c r="F73" s="2"/>
      <x:c r="G73" s="2"/>
      <x:c r="H73" s="2"/>
      <x:c r="I73" s="2"/>
      <x:c r="J73" s="2"/>
      <x:c r="K73" s="2"/>
      <x:c r="L73" s="2"/>
      <x:c r="M73" s="2"/>
      <x:c r="N73" s="2"/>
      <x:c r="O73" s="2"/>
      <x:c r="P73" s="2"/>
      <x:c r="Q73" s="2"/>
    </x:row>
    <x:row r="74" ht="23" customHeight="1">
      <x:c r="A74" s="2"/>
      <x:c r="B74" s="2"/>
      <x:c r="C74" s="2"/>
      <x:c r="D74" s="2"/>
      <x:c r="E74" s="2"/>
      <x:c r="F74" s="2"/>
      <x:c r="G74" s="2"/>
      <x:c r="H74" s="2"/>
      <x:c r="I74" s="2"/>
      <x:c r="J74" s="2"/>
      <x:c r="K74" s="2"/>
      <x:c r="L74" s="2"/>
      <x:c r="M74" s="2"/>
      <x:c r="N74" s="2"/>
      <x:c r="O74" s="2"/>
      <x:c r="P74" s="2"/>
      <x:c r="Q74" s="2"/>
    </x:row>
    <x:row r="75" ht="23" customHeight="1">
      <x:c r="A75" s="2"/>
      <x:c r="B75" s="2"/>
      <x:c r="C75" s="2"/>
      <x:c r="D75" s="2"/>
      <x:c r="E75" s="2"/>
      <x:c r="F75" s="2"/>
      <x:c r="G75" s="2"/>
      <x:c r="H75" s="2"/>
      <x:c r="I75" s="2"/>
      <x:c r="J75" s="2"/>
      <x:c r="K75" s="2"/>
      <x:c r="L75" s="2"/>
      <x:c r="M75" s="2"/>
      <x:c r="N75" s="2"/>
      <x:c r="O75" s="2"/>
      <x:c r="P75" s="2"/>
      <x:c r="Q75" s="2"/>
    </x:row>
    <x:row r="76" ht="23" customHeight="1">
      <x:c r="A76" s="2"/>
      <x:c r="B76" s="2"/>
      <x:c r="C76" s="2"/>
      <x:c r="D76" s="2"/>
      <x:c r="E76" s="2"/>
      <x:c r="F76" s="2"/>
      <x:c r="G76" s="2"/>
      <x:c r="H76" s="2"/>
      <x:c r="I76" s="2"/>
      <x:c r="J76" s="2"/>
      <x:c r="K76" s="2"/>
      <x:c r="L76" s="2"/>
      <x:c r="M76" s="2"/>
      <x:c r="N76" s="2"/>
      <x:c r="O76" s="2"/>
      <x:c r="P76" s="2"/>
      <x:c r="Q76" s="2"/>
    </x:row>
    <x:row r="77" ht="23" customHeight="1">
      <x:c r="A77" s="2"/>
      <x:c r="B77" s="2"/>
      <x:c r="C77" s="2"/>
      <x:c r="D77" s="2"/>
      <x:c r="E77" s="2"/>
      <x:c r="F77" s="2"/>
      <x:c r="G77" s="2"/>
      <x:c r="H77" s="2"/>
      <x:c r="I77" s="2"/>
      <x:c r="J77" s="2"/>
      <x:c r="K77" s="2"/>
      <x:c r="L77" s="2"/>
      <x:c r="M77" s="2"/>
      <x:c r="N77" s="2"/>
      <x:c r="O77" s="2"/>
      <x:c r="P77" s="2"/>
      <x:c r="Q77" s="2"/>
    </x:row>
    <x:row r="78" ht="23" customHeight="1">
      <x:c r="A78" s="2"/>
      <x:c r="B78" s="2"/>
      <x:c r="C78" s="2"/>
      <x:c r="D78" s="2"/>
      <x:c r="E78" s="2"/>
      <x:c r="F78" s="2"/>
      <x:c r="G78" s="2"/>
      <x:c r="H78" s="2"/>
      <x:c r="I78" s="2"/>
      <x:c r="J78" s="2"/>
      <x:c r="K78" s="2"/>
      <x:c r="L78" s="2"/>
      <x:c r="M78" s="2"/>
      <x:c r="N78" s="2"/>
      <x:c r="O78" s="2"/>
      <x:c r="P78" s="2"/>
      <x:c r="Q78" s="2"/>
    </x:row>
    <x:row r="79" ht="23" customHeight="1">
      <x:c r="A79" s="2"/>
      <x:c r="B79" s="2"/>
      <x:c r="C79" s="2"/>
      <x:c r="D79" s="2"/>
      <x:c r="E79" s="2"/>
      <x:c r="F79" s="2"/>
      <x:c r="G79" s="2"/>
      <x:c r="H79" s="2"/>
      <x:c r="I79" s="2"/>
      <x:c r="J79" s="2"/>
      <x:c r="K79" s="2"/>
      <x:c r="L79" s="2"/>
      <x:c r="M79" s="2"/>
      <x:c r="N79" s="2"/>
      <x:c r="O79" s="2"/>
      <x:c r="P79" s="2"/>
      <x:c r="Q79" s="2"/>
    </x:row>
    <x:row r="80" ht="23" customHeight="1">
      <x:c r="A80" s="2"/>
      <x:c r="B80" s="2"/>
      <x:c r="C80" s="2"/>
      <x:c r="D80" s="2"/>
      <x:c r="E80" s="2"/>
      <x:c r="F80" s="2"/>
      <x:c r="G80" s="2"/>
      <x:c r="H80" s="2"/>
      <x:c r="I80" s="2"/>
      <x:c r="J80" s="2"/>
      <x:c r="K80" s="2"/>
      <x:c r="L80" s="2"/>
      <x:c r="M80" s="2"/>
      <x:c r="N80" s="2"/>
      <x:c r="O80" s="2"/>
      <x:c r="P80" s="2"/>
      <x:c r="Q80" s="2"/>
    </x:row>
    <x:row r="81" ht="23" customHeight="1">
      <x:c r="A81" s="2"/>
      <x:c r="B81" s="2"/>
      <x:c r="C81" s="2"/>
      <x:c r="D81" s="2"/>
      <x:c r="E81" s="2"/>
      <x:c r="F81" s="2"/>
      <x:c r="G81" s="2"/>
      <x:c r="H81" s="2"/>
      <x:c r="I81" s="2"/>
      <x:c r="J81" s="2"/>
      <x:c r="K81" s="2"/>
      <x:c r="L81" s="2"/>
      <x:c r="M81" s="2"/>
      <x:c r="N81" s="2"/>
      <x:c r="O81" s="2"/>
      <x:c r="P81" s="2"/>
      <x:c r="Q81" s="2"/>
    </x:row>
    <x:row r="82" ht="23" customHeight="1">
      <x:c r="A82" s="2"/>
      <x:c r="B82" s="2"/>
      <x:c r="C82" s="2"/>
      <x:c r="D82" s="2"/>
      <x:c r="E82" s="2"/>
      <x:c r="F82" s="2"/>
      <x:c r="G82" s="2"/>
      <x:c r="H82" s="2"/>
      <x:c r="I82" s="2"/>
      <x:c r="J82" s="2"/>
      <x:c r="K82" s="2"/>
      <x:c r="L82" s="2"/>
      <x:c r="M82" s="2"/>
      <x:c r="N82" s="2"/>
      <x:c r="O82" s="2"/>
      <x:c r="P82" s="2"/>
      <x:c r="Q82" s="2"/>
    </x:row>
    <x:row r="83" ht="23" customHeight="1">
      <x:c r="A83" s="2"/>
      <x:c r="B83" s="2"/>
      <x:c r="C83" s="2"/>
      <x:c r="D83" s="2"/>
      <x:c r="E83" s="2"/>
      <x:c r="F83" s="2"/>
      <x:c r="G83" s="2"/>
      <x:c r="H83" s="2"/>
      <x:c r="I83" s="2"/>
      <x:c r="J83" s="2"/>
      <x:c r="K83" s="2"/>
      <x:c r="L83" s="2"/>
      <x:c r="M83" s="2"/>
      <x:c r="N83" s="2"/>
      <x:c r="O83" s="2"/>
      <x:c r="P83" s="2"/>
      <x:c r="Q83" s="2"/>
    </x:row>
    <x:row r="84" ht="23" customHeight="1">
      <x:c r="A84" s="2"/>
      <x:c r="B84" s="2"/>
      <x:c r="C84" s="2"/>
      <x:c r="D84" s="2"/>
      <x:c r="E84" s="2"/>
      <x:c r="F84" s="2"/>
      <x:c r="G84" s="2"/>
      <x:c r="H84" s="2"/>
      <x:c r="I84" s="2"/>
      <x:c r="J84" s="2"/>
      <x:c r="K84" s="2"/>
      <x:c r="L84" s="2"/>
      <x:c r="M84" s="2"/>
      <x:c r="N84" s="2"/>
      <x:c r="O84" s="2"/>
      <x:c r="P84" s="2"/>
      <x:c r="Q84" s="2"/>
    </x:row>
    <x:row r="85" ht="23" customHeight="1">
      <x:c r="A85" s="2"/>
      <x:c r="B85" s="2"/>
      <x:c r="C85" s="2"/>
      <x:c r="D85" s="2"/>
      <x:c r="E85" s="2"/>
      <x:c r="F85" s="2"/>
      <x:c r="G85" s="2"/>
      <x:c r="H85" s="2"/>
      <x:c r="I85" s="2"/>
      <x:c r="J85" s="2"/>
      <x:c r="K85" s="2"/>
      <x:c r="L85" s="2"/>
      <x:c r="M85" s="2"/>
      <x:c r="N85" s="2"/>
      <x:c r="O85" s="2"/>
      <x:c r="P85" s="2"/>
      <x:c r="Q85" s="2"/>
    </x:row>
    <x:row r="86" ht="23" customHeight="1">
      <x:c r="A86" s="2"/>
      <x:c r="B86" s="2"/>
      <x:c r="C86" s="2"/>
      <x:c r="D86" s="2"/>
      <x:c r="E86" s="2"/>
      <x:c r="F86" s="2"/>
      <x:c r="G86" s="2"/>
      <x:c r="H86" s="2"/>
      <x:c r="I86" s="2"/>
      <x:c r="J86" s="2"/>
      <x:c r="K86" s="2"/>
      <x:c r="L86" s="2"/>
      <x:c r="M86" s="2"/>
      <x:c r="N86" s="2"/>
      <x:c r="O86" s="2"/>
      <x:c r="P86" s="2"/>
      <x:c r="Q86" s="2"/>
    </x:row>
    <x:row r="87" ht="23" customHeight="1">
      <x:c r="A87" s="2"/>
      <x:c r="B87" s="2"/>
      <x:c r="C87" s="2"/>
      <x:c r="D87" s="2"/>
      <x:c r="E87" s="2"/>
      <x:c r="F87" s="2"/>
      <x:c r="G87" s="2"/>
      <x:c r="H87" s="2"/>
      <x:c r="I87" s="2"/>
      <x:c r="J87" s="2"/>
      <x:c r="K87" s="2"/>
      <x:c r="L87" s="2"/>
      <x:c r="M87" s="2"/>
      <x:c r="N87" s="2"/>
      <x:c r="O87" s="2"/>
      <x:c r="P87" s="2"/>
      <x:c r="Q87" s="2"/>
    </x:row>
    <x:row r="88" ht="23" customHeight="1">
      <x:c r="A88" s="2"/>
      <x:c r="B88" s="2"/>
      <x:c r="C88" s="2"/>
      <x:c r="D88" s="2"/>
      <x:c r="E88" s="2"/>
      <x:c r="F88" s="2"/>
      <x:c r="G88" s="2"/>
      <x:c r="H88" s="2"/>
      <x:c r="I88" s="2"/>
      <x:c r="J88" s="2"/>
      <x:c r="K88" s="2"/>
      <x:c r="L88" s="2"/>
      <x:c r="M88" s="2"/>
      <x:c r="N88" s="2"/>
      <x:c r="O88" s="2"/>
      <x:c r="P88" s="2"/>
      <x:c r="Q88" s="2"/>
    </x:row>
    <x:row r="89" ht="23" customHeight="1">
      <x:c r="A89" s="2"/>
      <x:c r="B89" s="2"/>
      <x:c r="C89" s="2"/>
      <x:c r="D89" s="2"/>
      <x:c r="E89" s="2"/>
      <x:c r="F89" s="2"/>
      <x:c r="G89" s="2"/>
      <x:c r="H89" s="2"/>
      <x:c r="I89" s="2"/>
      <x:c r="J89" s="2"/>
      <x:c r="K89" s="2"/>
      <x:c r="L89" s="2"/>
      <x:c r="M89" s="2"/>
      <x:c r="N89" s="2"/>
      <x:c r="O89" s="2"/>
      <x:c r="P89" s="2"/>
      <x:c r="Q89" s="2"/>
    </x:row>
    <x:row r="90" ht="23" customHeight="1">
      <x:c r="A90" s="2"/>
      <x:c r="B90" s="2"/>
      <x:c r="C90" s="2"/>
      <x:c r="D90" s="2"/>
      <x:c r="E90" s="2"/>
      <x:c r="F90" s="2"/>
      <x:c r="G90" s="2"/>
      <x:c r="H90" s="2"/>
      <x:c r="I90" s="2"/>
      <x:c r="J90" s="2"/>
      <x:c r="K90" s="2"/>
      <x:c r="L90" s="2"/>
      <x:c r="M90" s="2"/>
      <x:c r="N90" s="2"/>
      <x:c r="O90" s="2"/>
      <x:c r="P90" s="2"/>
      <x:c r="Q90" s="2"/>
    </x:row>
  </x:sheetData>
  <x:pageMargins left="0.7" right="0.7" top="0.75" bottom="0.75" header="0.3" footer="0.3"/>
  <x:drawing xmlns:r="http://schemas.openxmlformats.org/officeDocument/2006/relationships" r:id="Rc4a922e8cbe44c89"/>
</x:worksheet>
</file>

<file path=xl/worksheets/sheet4.xml><?xml version="1.0" encoding="utf-8"?>
<x:worksheet xmlns:x="http://schemas.openxmlformats.org/spreadsheetml/2006/main">
  <x:sheetPr>
    <x:tabColor rgb="FF003DA5"/>
  </x:sheetPr>
  <x:sheetViews>
    <x:sheetView showGridLines="0" workbookViewId="0"/>
  </x:sheetViews>
  <x:sheetFormatPr defaultRowHeight="15"/>
  <x:cols>
    <x:col min="1" max="1" width="3" hidden="0" customWidth="1"/>
    <x:col min="2" max="2" width="3" hidden="0" customWidth="1"/>
    <x:col min="3" max="3" width="40" hidden="0" customWidth="1"/>
    <x:col min="4" max="4" width="19" hidden="0" customWidth="1"/>
    <x:col min="5" max="5" width="19" hidden="0" customWidth="1"/>
    <x:col min="6" max="6" width="19" hidden="0" customWidth="1"/>
    <x:col min="7" max="7" width="19" hidden="0" customWidth="1"/>
    <x:col min="8" max="8" width="19"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s>
  <x:sheetData>
    <x:row r="1" ht="23" customHeight="1">
      <x:c r="A1" s="2"/>
      <x:c r="B1" s="2"/>
      <x:c r="C1" s="2"/>
      <x:c r="D1" s="2"/>
      <x:c r="E1" s="2"/>
      <x:c r="F1" s="2"/>
      <x:c r="G1" s="2"/>
      <x:c r="H1" s="2"/>
      <x:c r="I1" s="2"/>
      <x:c r="J1" s="2"/>
      <x:c r="K1" s="2"/>
      <x:c r="L1" s="2"/>
      <x:c r="M1" s="2"/>
      <x:c r="N1" s="2"/>
      <x:c r="O1" s="2"/>
      <x:c r="P1" s="2"/>
      <x:c r="Q1" s="2"/>
    </x:row>
    <x:row r="2" ht="23" customHeight="1">
      <x:c r="A2" s="2"/>
      <x:c r="B2" s="2"/>
      <x:c r="C2" s="3" t="str">
        <x:v>PG | Editable scenario assumptions</x:v>
      </x:c>
      <x:c r="D2" s="2"/>
      <x:c r="E2" s="2"/>
      <x:c r="F2" s="2"/>
      <x:c r="G2" s="2"/>
      <x:c r="H2" s="2"/>
      <x:c r="I2" s="2"/>
      <x:c r="J2" s="2"/>
      <x:c r="K2" s="2"/>
      <x:c r="L2" s="2"/>
      <x:c r="M2" s="2"/>
      <x:c r="N2" s="2"/>
      <x:c r="O2" s="2"/>
      <x:c r="P2" s="2"/>
      <x:c r="Q2" s="2"/>
    </x:row>
    <x:row r="3" ht="23" customHeight="1">
      <x:c r="A3" s="2"/>
      <x:c r="B3" s="2"/>
      <x:c r="C3" s="4"/>
      <x:c r="D3" s="4"/>
      <x:c r="E3" s="4"/>
      <x:c r="F3" s="4"/>
      <x:c r="G3" s="4"/>
      <x:c r="H3" s="4"/>
      <x:c r="I3" s="4"/>
      <x:c r="J3" s="4"/>
      <x:c r="K3" s="2"/>
      <x:c r="L3" s="2"/>
      <x:c r="M3" s="2"/>
      <x:c r="N3" s="2"/>
      <x:c r="O3" s="2"/>
      <x:c r="P3" s="2"/>
      <x:c r="Q3" s="2"/>
    </x:row>
    <x:row r="4" ht="23" customHeight="1">
      <x:c r="A4" s="2"/>
      <x:c r="B4" s="2"/>
      <x:c r="C4" s="2" t="str">
        <x:v>Case selected:</x:v>
      </x:c>
      <x:c r="D4" s="6" t="str">
        <x:v>May · market informed · base</x:v>
      </x:c>
      <x:c r="E4" s="2"/>
      <x:c r="F4" s="2"/>
      <x:c r="G4" s="2"/>
      <x:c r="H4" s="2"/>
      <x:c r="I4" s="2"/>
      <x:c r="J4" s="2"/>
      <x:c r="K4" s="2"/>
      <x:c r="L4" s="2"/>
      <x:c r="M4" s="2"/>
      <x:c r="N4" s="2"/>
      <x:c r="O4" s="2"/>
      <x:c r="P4" s="2"/>
      <x:c r="Q4" s="2"/>
    </x:row>
    <x:row r="5" ht="23" customHeight="1">
      <x:c r="A5" s="2"/>
      <x:c r="B5" s="2"/>
      <x:c r="C5" s="2"/>
      <x:c r="D5" s="2"/>
      <x:c r="E5" s="2"/>
      <x:c r="F5" s="2"/>
      <x:c r="G5" s="2"/>
      <x:c r="H5" s="2"/>
      <x:c r="I5" s="2"/>
      <x:c r="J5" s="2"/>
      <x:c r="K5" s="2"/>
      <x:c r="L5" s="2"/>
      <x:c r="M5" s="2"/>
      <x:c r="N5" s="2"/>
      <x:c r="O5" s="2"/>
      <x:c r="P5" s="2"/>
      <x:c r="Q5" s="2"/>
    </x:row>
    <x:row r="6" ht="23" customHeight="1">
      <x:c r="A6" s="2"/>
      <x:c r="B6" s="2"/>
      <x:c r="C6" s="2" t="str">
        <x:v>Driver</x:v>
      </x:c>
      <x:c r="D6" s="2" t="str">
        <x:v>Active selection</x:v>
      </x:c>
      <x:c r="E6" s="2"/>
      <x:c r="F6" s="2" t="str">
        <x:v>Model definition</x:v>
      </x:c>
      <x:c r="G6" s="2"/>
      <x:c r="H6" s="2"/>
      <x:c r="I6" s="2"/>
      <x:c r="J6" s="2"/>
      <x:c r="K6" s="2"/>
      <x:c r="L6" s="2"/>
      <x:c r="M6" s="2"/>
      <x:c r="N6" s="2"/>
      <x:c r="O6" s="2"/>
      <x:c r="P6" s="2"/>
      <x:c r="Q6" s="2"/>
    </x:row>
    <x:row r="7" ht="23" customHeight="1">
      <x:c r="A7" s="2"/>
      <x:c r="B7" s="2"/>
      <x:c r="C7" s="2" t="str">
        <x:v>Sales Growth</x:v>
      </x:c>
      <x:c r="D7" s="8" t="n">
        <x:f>INDEX(D24:D35,MATCH($D$4,$C$24:$C$35,0))</x:f>
        <x:v>0.04</x:v>
      </x:c>
      <x:c r="E7" s="2"/>
      <x:c r="F7" s="2" t="str">
        <x:v>Decimal ratio; 1% = 0.01</x:v>
      </x:c>
      <x:c r="G7" s="2"/>
      <x:c r="H7" s="2"/>
      <x:c r="I7" s="2"/>
      <x:c r="J7" s="2"/>
      <x:c r="K7" s="2"/>
      <x:c r="L7" s="2"/>
      <x:c r="M7" s="2"/>
      <x:c r="N7" s="2"/>
      <x:c r="O7" s="2"/>
      <x:c r="P7" s="2"/>
      <x:c r="Q7" s="2"/>
    </x:row>
    <x:row r="8" ht="23" customHeight="1">
      <x:c r="A8" s="2"/>
      <x:c r="B8" s="2"/>
      <x:c r="C8" s="2" t="str">
        <x:v>Gross Margin</x:v>
      </x:c>
      <x:c r="D8" s="8" t="n">
        <x:f>INDEX(E24:E35,MATCH($D$4,$C$24:$C$35,0))</x:f>
        <x:v>0.486</x:v>
      </x:c>
      <x:c r="E8" s="2"/>
      <x:c r="F8" s="2" t="str">
        <x:v>Decimal ratio; 1% = 0.01</x:v>
      </x:c>
      <x:c r="G8" s="2"/>
      <x:c r="H8" s="2"/>
      <x:c r="I8" s="2"/>
      <x:c r="J8" s="2"/>
      <x:c r="K8" s="2"/>
      <x:c r="L8" s="2"/>
      <x:c r="M8" s="2"/>
      <x:c r="N8" s="2"/>
      <x:c r="O8" s="2"/>
      <x:c r="P8" s="2"/>
      <x:c r="Q8" s="2"/>
    </x:row>
    <x:row r="9" ht="23" customHeight="1">
      <x:c r="A9" s="2"/>
      <x:c r="B9" s="2"/>
      <x:c r="C9" s="2" t="str">
        <x:v>Sga Ratio</x:v>
      </x:c>
      <x:c r="D9" s="8" t="n">
        <x:f>INDEX(F24:F35,MATCH($D$4,$C$24:$C$35,0))</x:f>
        <x:v>0.282</x:v>
      </x:c>
      <x:c r="E9" s="2"/>
      <x:c r="F9" s="2" t="str">
        <x:v>Decimal ratio; 1% = 0.01</x:v>
      </x:c>
      <x:c r="G9" s="2"/>
      <x:c r="H9" s="2"/>
      <x:c r="I9" s="2"/>
      <x:c r="J9" s="2"/>
      <x:c r="K9" s="2"/>
      <x:c r="L9" s="2"/>
      <x:c r="M9" s="2"/>
      <x:c r="N9" s="2"/>
      <x:c r="O9" s="2"/>
      <x:c r="P9" s="2"/>
      <x:c r="Q9" s="2"/>
    </x:row>
    <x:row r="10" ht="23" customHeight="1">
      <x:c r="A10" s="2"/>
      <x:c r="B10" s="2"/>
      <x:c r="C10" s="2" t="str">
        <x:v>Net Nonoperating Income</x:v>
      </x:c>
      <x:c r="D10" s="9" t="n">
        <x:f>INDEX(G24:G35,MATCH($D$4,$C$24:$C$35,0))</x:f>
        <x:v>150</x:v>
      </x:c>
      <x:c r="E10" s="2"/>
      <x:c r="F10" s="2" t="str">
        <x:v>USD million</x:v>
      </x:c>
      <x:c r="G10" s="2"/>
      <x:c r="H10" s="2"/>
      <x:c r="I10" s="2"/>
      <x:c r="J10" s="2"/>
      <x:c r="K10" s="2"/>
      <x:c r="L10" s="2"/>
      <x:c r="M10" s="2"/>
      <x:c r="N10" s="2"/>
      <x:c r="O10" s="2"/>
      <x:c r="P10" s="2"/>
      <x:c r="Q10" s="2"/>
    </x:row>
    <x:row r="11" ht="23" customHeight="1">
      <x:c r="A11" s="2"/>
      <x:c r="B11" s="2"/>
      <x:c r="C11" s="2" t="str">
        <x:v>Effective Tax Rate</x:v>
      </x:c>
      <x:c r="D11" s="8" t="n">
        <x:f>INDEX(H24:H35,MATCH($D$4,$C$24:$C$35,0))</x:f>
        <x:v>0.205</x:v>
      </x:c>
      <x:c r="E11" s="2"/>
      <x:c r="F11" s="2" t="str">
        <x:v>Decimal ratio; 1% = 0.01</x:v>
      </x:c>
      <x:c r="G11" s="2"/>
      <x:c r="H11" s="2"/>
      <x:c r="I11" s="2"/>
      <x:c r="J11" s="2"/>
      <x:c r="K11" s="2"/>
      <x:c r="L11" s="2"/>
      <x:c r="M11" s="2"/>
      <x:c r="N11" s="2"/>
      <x:c r="O11" s="2"/>
      <x:c r="P11" s="2"/>
      <x:c r="Q11" s="2"/>
    </x:row>
    <x:row r="12" ht="23" customHeight="1">
      <x:c r="A12" s="2"/>
      <x:c r="B12" s="2"/>
      <x:c r="C12" s="2" t="str">
        <x:v>Noncontrolling Income</x:v>
      </x:c>
      <x:c r="D12" s="9" t="n">
        <x:f>INDEX(I24:I35,MATCH($D$4,$C$24:$C$35,0))</x:f>
        <x:v>18</x:v>
      </x:c>
      <x:c r="E12" s="2"/>
      <x:c r="F12" s="2" t="str">
        <x:v>USD million</x:v>
      </x:c>
      <x:c r="G12" s="2"/>
      <x:c r="H12" s="2"/>
      <x:c r="I12" s="2"/>
      <x:c r="J12" s="2"/>
      <x:c r="K12" s="2"/>
      <x:c r="L12" s="2"/>
      <x:c r="M12" s="2"/>
      <x:c r="N12" s="2"/>
      <x:c r="O12" s="2"/>
      <x:c r="P12" s="2"/>
      <x:c r="Q12" s="2"/>
    </x:row>
    <x:row r="13" ht="23" customHeight="1">
      <x:c r="A13" s="2"/>
      <x:c r="B13" s="2"/>
      <x:c r="C13" s="2" t="str">
        <x:v>Diluted Shares</x:v>
      </x:c>
      <x:c r="D13" s="10" t="n">
        <x:f>INDEX(J24:J35,MATCH($D$4,$C$24:$C$35,0))</x:f>
        <x:v>2405</x:v>
      </x:c>
      <x:c r="E13" s="2"/>
      <x:c r="F13" s="2" t="str">
        <x:v>million shares</x:v>
      </x:c>
      <x:c r="G13" s="2"/>
      <x:c r="H13" s="2"/>
      <x:c r="I13" s="2"/>
      <x:c r="J13" s="2"/>
      <x:c r="K13" s="2"/>
      <x:c r="L13" s="2"/>
      <x:c r="M13" s="2"/>
      <x:c r="N13" s="2"/>
      <x:c r="O13" s="2"/>
      <x:c r="P13" s="2"/>
      <x:c r="Q13" s="2"/>
    </x:row>
    <x:row r="14" ht="23" customHeight="1">
      <x:c r="A14" s="2"/>
      <x:c r="B14" s="2"/>
      <x:c r="C14" s="2" t="str">
        <x:v>Ocf To Net Income</x:v>
      </x:c>
      <x:c r="D14" s="8" t="n">
        <x:f>INDEX(K24:K35,MATCH($D$4,$C$24:$C$35,0))</x:f>
        <x:v>1.3</x:v>
      </x:c>
      <x:c r="E14" s="2"/>
      <x:c r="F14" s="2" t="str">
        <x:v>Decimal ratio; 1% = 0.01</x:v>
      </x:c>
      <x:c r="G14" s="2"/>
      <x:c r="H14" s="2"/>
      <x:c r="I14" s="2"/>
      <x:c r="J14" s="2"/>
      <x:c r="K14" s="2"/>
      <x:c r="L14" s="2"/>
      <x:c r="M14" s="2"/>
      <x:c r="N14" s="2"/>
      <x:c r="O14" s="2"/>
      <x:c r="P14" s="2"/>
      <x:c r="Q14" s="2"/>
    </x:row>
    <x:row r="15" ht="23" customHeight="1">
      <x:c r="A15" s="2"/>
      <x:c r="B15" s="2"/>
      <x:c r="C15" s="2" t="str">
        <x:v>Capex Ratio</x:v>
      </x:c>
      <x:c r="D15" s="8" t="n">
        <x:f>INDEX(L24:L35,MATCH($D$4,$C$24:$C$35,0))</x:f>
        <x:v>0.05</x:v>
      </x:c>
      <x:c r="E15" s="2"/>
      <x:c r="F15" s="2" t="str">
        <x:v>Decimal ratio; 1% = 0.01</x:v>
      </x:c>
      <x:c r="G15" s="2"/>
      <x:c r="H15" s="2"/>
      <x:c r="I15" s="2"/>
      <x:c r="J15" s="2"/>
      <x:c r="K15" s="2"/>
      <x:c r="L15" s="2"/>
      <x:c r="M15" s="2"/>
      <x:c r="N15" s="2"/>
      <x:c r="O15" s="2"/>
      <x:c r="P15" s="2"/>
      <x:c r="Q15" s="2"/>
    </x:row>
    <x:row r="16" ht="23" customHeight="1">
      <x:c r="A16" s="2"/>
      <x:c r="B16" s="2"/>
      <x:c r="C16" s="2"/>
      <x:c r="D16" s="2"/>
      <x:c r="E16" s="2"/>
      <x:c r="F16" s="2"/>
      <x:c r="G16" s="2"/>
      <x:c r="H16" s="2"/>
      <x:c r="I16" s="2"/>
      <x:c r="J16" s="2"/>
      <x:c r="K16" s="2"/>
      <x:c r="L16" s="2"/>
      <x:c r="M16" s="2"/>
      <x:c r="N16" s="2"/>
      <x:c r="O16" s="2"/>
      <x:c r="P16" s="2"/>
      <x:c r="Q16" s="2"/>
    </x:row>
    <x:row r="17" ht="23" customHeight="1">
      <x:c r="A17" s="2"/>
      <x:c r="B17" s="2"/>
      <x:c r="C17" s="2"/>
      <x:c r="D17" s="2"/>
      <x:c r="E17" s="2"/>
      <x:c r="F17" s="2"/>
      <x:c r="G17" s="2"/>
      <x:c r="H17" s="2"/>
      <x:c r="I17" s="2"/>
      <x:c r="J17" s="2"/>
      <x:c r="K17" s="2"/>
      <x:c r="L17" s="2"/>
      <x:c r="M17" s="2"/>
      <x:c r="N17" s="2"/>
      <x:c r="O17" s="2"/>
      <x:c r="P17" s="2"/>
      <x:c r="Q17" s="2"/>
    </x:row>
    <x:row r="18" ht="23" customHeight="1">
      <x:c r="A18" s="2"/>
      <x:c r="B18" s="2"/>
      <x:c r="C18" s="2"/>
      <x:c r="D18" s="2"/>
      <x:c r="E18" s="2"/>
      <x:c r="F18" s="2"/>
      <x:c r="G18" s="2"/>
      <x:c r="H18" s="2"/>
      <x:c r="I18" s="2"/>
      <x:c r="J18" s="2"/>
      <x:c r="K18" s="2"/>
      <x:c r="L18" s="2"/>
      <x:c r="M18" s="2"/>
      <x:c r="N18" s="2"/>
      <x:c r="O18" s="2"/>
      <x:c r="P18" s="2"/>
      <x:c r="Q18" s="2"/>
    </x:row>
    <x:row r="19" ht="23" customHeight="1">
      <x:c r="A19" s="2"/>
      <x:c r="B19" s="2"/>
      <x:c r="C19" s="2" t="str">
        <x:v>Blue numbers below are editable. Original forecasts remain fixed on Forecast Comparison.</x:v>
      </x:c>
      <x:c r="D19" s="2"/>
      <x:c r="E19" s="2"/>
      <x:c r="F19" s="2"/>
      <x:c r="G19" s="2"/>
      <x:c r="H19" s="2"/>
      <x:c r="I19" s="2"/>
      <x:c r="J19" s="2"/>
      <x:c r="K19" s="2"/>
      <x:c r="L19" s="2"/>
      <x:c r="M19" s="2"/>
      <x:c r="N19" s="2"/>
      <x:c r="O19" s="2"/>
      <x:c r="P19" s="2"/>
      <x:c r="Q19" s="2"/>
    </x:row>
    <x:row r="20" ht="23" customHeight="1">
      <x:c r="A20" s="2"/>
      <x:c r="B20" s="2"/>
      <x:c r="C20" s="2"/>
      <x:c r="D20" s="2"/>
      <x:c r="E20" s="2"/>
      <x:c r="F20" s="2"/>
      <x:c r="G20" s="2"/>
      <x:c r="H20" s="2"/>
      <x:c r="I20" s="2"/>
      <x:c r="J20" s="2"/>
      <x:c r="K20" s="2"/>
      <x:c r="L20" s="2"/>
      <x:c r="M20" s="2"/>
      <x:c r="N20" s="2"/>
      <x:c r="O20" s="2"/>
      <x:c r="P20" s="2"/>
      <x:c r="Q20" s="2"/>
    </x:row>
    <x:row r="21" ht="23" customHeight="1">
      <x:c r="A21" s="2"/>
      <x:c r="B21" s="2"/>
      <x:c r="C21" s="2"/>
      <x:c r="D21" s="2"/>
      <x:c r="E21" s="2"/>
      <x:c r="F21" s="2"/>
      <x:c r="G21" s="2"/>
      <x:c r="H21" s="2"/>
      <x:c r="I21" s="2"/>
      <x:c r="J21" s="2"/>
      <x:c r="K21" s="2"/>
      <x:c r="L21" s="2"/>
      <x:c r="M21" s="2"/>
      <x:c r="N21" s="2"/>
      <x:c r="O21" s="2"/>
      <x:c r="P21" s="2"/>
      <x:c r="Q21" s="2"/>
    </x:row>
    <x:row r="22" ht="23" customHeight="1">
      <x:c r="A22" s="2"/>
      <x:c r="B22" s="2"/>
      <x:c r="C22" s="2"/>
      <x:c r="D22" s="2"/>
      <x:c r="E22" s="2"/>
      <x:c r="F22" s="2"/>
      <x:c r="G22" s="2"/>
      <x:c r="H22" s="2"/>
      <x:c r="I22" s="2"/>
      <x:c r="J22" s="2"/>
      <x:c r="K22" s="2"/>
      <x:c r="L22" s="2"/>
      <x:c r="M22" s="2"/>
      <x:c r="N22" s="2"/>
      <x:c r="O22" s="2"/>
      <x:c r="P22" s="2"/>
      <x:c r="Q22" s="2"/>
    </x:row>
    <x:row r="23" ht="48" customHeight="1">
      <x:c r="A23" s="2"/>
      <x:c r="B23" s="2"/>
      <x:c r="C23" s="13" t="str">
        <x:v>Scenario</x:v>
      </x:c>
      <x:c r="D23" s="13" t="str">
        <x:v>Sales Growth</x:v>
      </x:c>
      <x:c r="E23" s="13" t="str">
        <x:v>Gross Margin</x:v>
      </x:c>
      <x:c r="F23" s="13" t="str">
        <x:v>Sga Ratio</x:v>
      </x:c>
      <x:c r="G23" s="13" t="str">
        <x:v>Net Nonoperating Income</x:v>
      </x:c>
      <x:c r="H23" s="13" t="str">
        <x:v>Effective Tax Rate</x:v>
      </x:c>
      <x:c r="I23" s="13" t="str">
        <x:v>Noncontrolling Income</x:v>
      </x:c>
      <x:c r="J23" s="13" t="str">
        <x:v>Diluted Shares</x:v>
      </x:c>
      <x:c r="K23" s="13" t="str">
        <x:v>Ocf To Net Income</x:v>
      </x:c>
      <x:c r="L23" s="13" t="str">
        <x:v>Capex Ratio</x:v>
      </x:c>
      <x:c r="M23" s="18"/>
      <x:c r="N23" s="18"/>
      <x:c r="O23" s="18"/>
      <x:c r="P23" s="2"/>
      <x:c r="Q23" s="2"/>
    </x:row>
    <x:row r="24" ht="23" customHeight="1">
      <x:c r="A24" s="2"/>
      <x:c r="B24" s="2"/>
      <x:c r="C24" s="2" t="str">
        <x:v>March · history only · bear</x:v>
      </x:c>
      <x:c r="D24" s="15" t="n">
        <x:v>-0.02</x:v>
      </x:c>
      <x:c r="E24" s="15" t="n">
        <x:v>0.48</x:v>
      </x:c>
      <x:c r="F24" s="15" t="n">
        <x:v>0.295</x:v>
      </x:c>
      <x:c r="G24" s="16" t="n">
        <x:v>-50</x:v>
      </x:c>
      <x:c r="H24" s="15" t="n">
        <x:v>0.225</x:v>
      </x:c>
      <x:c r="I24" s="16" t="n">
        <x:v>30</x:v>
      </x:c>
      <x:c r="J24" s="17" t="n">
        <x:v>2445</x:v>
      </x:c>
      <x:c r="K24" s="15" t="n">
        <x:v>1.05</x:v>
      </x:c>
      <x:c r="L24" s="15" t="n">
        <x:v>0.06</x:v>
      </x:c>
      <x:c r="M24" s="2"/>
      <x:c r="N24" s="2"/>
      <x:c r="O24" s="2"/>
      <x:c r="P24" s="2"/>
      <x:c r="Q24" s="2"/>
    </x:row>
    <x:row r="25" ht="23" customHeight="1">
      <x:c r="A25" s="2"/>
      <x:c r="B25" s="2"/>
      <x:c r="C25" s="2" t="str">
        <x:v>March · history only · base</x:v>
      </x:c>
      <x:c r="D25" s="15" t="n">
        <x:v>0.015</x:v>
      </x:c>
      <x:c r="E25" s="15" t="n">
        <x:v>0.5</x:v>
      </x:c>
      <x:c r="F25" s="15" t="n">
        <x:v>0.28</x:v>
      </x:c>
      <x:c r="G25" s="16" t="n">
        <x:v>100</x:v>
      </x:c>
      <x:c r="H25" s="15" t="n">
        <x:v>0.2</x:v>
      </x:c>
      <x:c r="I25" s="16" t="n">
        <x:v>12</x:v>
      </x:c>
      <x:c r="J25" s="17" t="n">
        <x:v>2420</x:v>
      </x:c>
      <x:c r="K25" s="15" t="n">
        <x:v>1.3</x:v>
      </x:c>
      <x:c r="L25" s="15" t="n">
        <x:v>0.05</x:v>
      </x:c>
      <x:c r="M25" s="2"/>
      <x:c r="N25" s="2"/>
      <x:c r="O25" s="2"/>
      <x:c r="P25" s="2"/>
      <x:c r="Q25" s="2"/>
    </x:row>
    <x:row r="26" ht="23" customHeight="1">
      <x:c r="A26" s="2"/>
      <x:c r="B26" s="2"/>
      <x:c r="C26" s="2" t="str">
        <x:v>March · history only · bull</x:v>
      </x:c>
      <x:c r="D26" s="15" t="n">
        <x:v>0.04</x:v>
      </x:c>
      <x:c r="E26" s="15" t="n">
        <x:v>0.515</x:v>
      </x:c>
      <x:c r="F26" s="15" t="n">
        <x:v>0.265</x:v>
      </x:c>
      <x:c r="G26" s="16" t="n">
        <x:v>200</x:v>
      </x:c>
      <x:c r="H26" s="15" t="n">
        <x:v>0.185</x:v>
      </x:c>
      <x:c r="I26" s="16" t="n">
        <x:v>8</x:v>
      </x:c>
      <x:c r="J26" s="17" t="n">
        <x:v>2395</x:v>
      </x:c>
      <x:c r="K26" s="15" t="n">
        <x:v>1.5</x:v>
      </x:c>
      <x:c r="L26" s="15" t="n">
        <x:v>0.045</x:v>
      </x:c>
      <x:c r="M26" s="2"/>
      <x:c r="N26" s="2"/>
      <x:c r="O26" s="2"/>
      <x:c r="P26" s="2"/>
      <x:c r="Q26" s="2"/>
    </x:row>
    <x:row r="27" ht="23" customHeight="1">
      <x:c r="A27" s="2"/>
      <x:c r="B27" s="2"/>
      <x:c r="C27" s="2" t="str">
        <x:v>March · market informed · bear</x:v>
      </x:c>
      <x:c r="D27" s="15" t="n">
        <x:v>-0.025</x:v>
      </x:c>
      <x:c r="E27" s="15" t="n">
        <x:v>0.475</x:v>
      </x:c>
      <x:c r="F27" s="15" t="n">
        <x:v>0.295</x:v>
      </x:c>
      <x:c r="G27" s="16" t="n">
        <x:v>-50</x:v>
      </x:c>
      <x:c r="H27" s="15" t="n">
        <x:v>0.225</x:v>
      </x:c>
      <x:c r="I27" s="16" t="n">
        <x:v>30</x:v>
      </x:c>
      <x:c r="J27" s="17" t="n">
        <x:v>2445</x:v>
      </x:c>
      <x:c r="K27" s="15" t="n">
        <x:v>1.05</x:v>
      </x:c>
      <x:c r="L27" s="15" t="n">
        <x:v>0.06</x:v>
      </x:c>
      <x:c r="M27" s="2"/>
      <x:c r="N27" s="2"/>
      <x:c r="O27" s="2"/>
      <x:c r="P27" s="2"/>
      <x:c r="Q27" s="2"/>
    </x:row>
    <x:row r="28" ht="23" customHeight="1">
      <x:c r="A28" s="2"/>
      <x:c r="B28" s="2"/>
      <x:c r="C28" s="2" t="str">
        <x:v>March · market informed · base</x:v>
      </x:c>
      <x:c r="D28" s="15" t="n">
        <x:v>0.015</x:v>
      </x:c>
      <x:c r="E28" s="15" t="n">
        <x:v>0.5</x:v>
      </x:c>
      <x:c r="F28" s="15" t="n">
        <x:v>0.28</x:v>
      </x:c>
      <x:c r="G28" s="16" t="n">
        <x:v>100</x:v>
      </x:c>
      <x:c r="H28" s="15" t="n">
        <x:v>0.2</x:v>
      </x:c>
      <x:c r="I28" s="16" t="n">
        <x:v>12</x:v>
      </x:c>
      <x:c r="J28" s="17" t="n">
        <x:v>2420</x:v>
      </x:c>
      <x:c r="K28" s="15" t="n">
        <x:v>1.3</x:v>
      </x:c>
      <x:c r="L28" s="15" t="n">
        <x:v>0.05</x:v>
      </x:c>
      <x:c r="M28" s="2"/>
      <x:c r="N28" s="2"/>
      <x:c r="O28" s="2"/>
      <x:c r="P28" s="2"/>
      <x:c r="Q28" s="2"/>
    </x:row>
    <x:row r="29" ht="23" customHeight="1">
      <x:c r="A29" s="2"/>
      <x:c r="B29" s="2"/>
      <x:c r="C29" s="2" t="str">
        <x:v>March · market informed · bull</x:v>
      </x:c>
      <x:c r="D29" s="15" t="n">
        <x:v>0.04</x:v>
      </x:c>
      <x:c r="E29" s="15" t="n">
        <x:v>0.515</x:v>
      </x:c>
      <x:c r="F29" s="15" t="n">
        <x:v>0.265</x:v>
      </x:c>
      <x:c r="G29" s="16" t="n">
        <x:v>200</x:v>
      </x:c>
      <x:c r="H29" s="15" t="n">
        <x:v>0.185</x:v>
      </x:c>
      <x:c r="I29" s="16" t="n">
        <x:v>8</x:v>
      </x:c>
      <x:c r="J29" s="17" t="n">
        <x:v>2395</x:v>
      </x:c>
      <x:c r="K29" s="15" t="n">
        <x:v>1.5</x:v>
      </x:c>
      <x:c r="L29" s="15" t="n">
        <x:v>0.045</x:v>
      </x:c>
      <x:c r="M29" s="2"/>
      <x:c r="N29" s="2"/>
      <x:c r="O29" s="2"/>
      <x:c r="P29" s="2"/>
      <x:c r="Q29" s="2"/>
    </x:row>
    <x:row r="30" ht="23" customHeight="1">
      <x:c r="A30" s="2"/>
      <x:c r="B30" s="2"/>
      <x:c r="C30" s="2" t="str">
        <x:v>May · history only · bear</x:v>
      </x:c>
      <x:c r="D30" s="15" t="n">
        <x:v>0</x:v>
      </x:c>
      <x:c r="E30" s="15" t="n">
        <x:v>0.475</x:v>
      </x:c>
      <x:c r="F30" s="15" t="n">
        <x:v>0.295</x:v>
      </x:c>
      <x:c r="G30" s="16" t="n">
        <x:v>-50</x:v>
      </x:c>
      <x:c r="H30" s="15" t="n">
        <x:v>0.225</x:v>
      </x:c>
      <x:c r="I30" s="16" t="n">
        <x:v>30</x:v>
      </x:c>
      <x:c r="J30" s="17" t="n">
        <x:v>2440</x:v>
      </x:c>
      <x:c r="K30" s="15" t="n">
        <x:v>1.05</x:v>
      </x:c>
      <x:c r="L30" s="15" t="n">
        <x:v>0.06</x:v>
      </x:c>
      <x:c r="M30" s="2"/>
      <x:c r="N30" s="2"/>
      <x:c r="O30" s="2"/>
      <x:c r="P30" s="2"/>
      <x:c r="Q30" s="2"/>
    </x:row>
    <x:row r="31" ht="23" customHeight="1">
      <x:c r="A31" s="2"/>
      <x:c r="B31" s="2"/>
      <x:c r="C31" s="2" t="str">
        <x:v>May · history only · base</x:v>
      </x:c>
      <x:c r="D31" s="15" t="n">
        <x:v>0.04</x:v>
      </x:c>
      <x:c r="E31" s="15" t="n">
        <x:v>0.49</x:v>
      </x:c>
      <x:c r="F31" s="15" t="n">
        <x:v>0.282</x:v>
      </x:c>
      <x:c r="G31" s="16" t="n">
        <x:v>150</x:v>
      </x:c>
      <x:c r="H31" s="15" t="n">
        <x:v>0.205</x:v>
      </x:c>
      <x:c r="I31" s="16" t="n">
        <x:v>18</x:v>
      </x:c>
      <x:c r="J31" s="17" t="n">
        <x:v>2405</x:v>
      </x:c>
      <x:c r="K31" s="15" t="n">
        <x:v>1.3</x:v>
      </x:c>
      <x:c r="L31" s="15" t="n">
        <x:v>0.05</x:v>
      </x:c>
      <x:c r="M31" s="2"/>
      <x:c r="N31" s="2"/>
      <x:c r="O31" s="2"/>
      <x:c r="P31" s="2"/>
      <x:c r="Q31" s="2"/>
    </x:row>
    <x:row r="32" ht="23" customHeight="1">
      <x:c r="A32" s="2"/>
      <x:c r="B32" s="2"/>
      <x:c r="C32" s="2" t="str">
        <x:v>May · history only · bull</x:v>
      </x:c>
      <x:c r="D32" s="15" t="n">
        <x:v>0.07</x:v>
      </x:c>
      <x:c r="E32" s="15" t="n">
        <x:v>0.505</x:v>
      </x:c>
      <x:c r="F32" s="15" t="n">
        <x:v>0.27</x:v>
      </x:c>
      <x:c r="G32" s="16" t="n">
        <x:v>300</x:v>
      </x:c>
      <x:c r="H32" s="15" t="n">
        <x:v>0.19</x:v>
      </x:c>
      <x:c r="I32" s="16" t="n">
        <x:v>10</x:v>
      </x:c>
      <x:c r="J32" s="17" t="n">
        <x:v>2380</x:v>
      </x:c>
      <x:c r="K32" s="15" t="n">
        <x:v>1.5</x:v>
      </x:c>
      <x:c r="L32" s="15" t="n">
        <x:v>0.045</x:v>
      </x:c>
      <x:c r="M32" s="2"/>
      <x:c r="N32" s="2"/>
      <x:c r="O32" s="2"/>
      <x:c r="P32" s="2"/>
      <x:c r="Q32" s="2"/>
    </x:row>
    <x:row r="33" ht="23" customHeight="1">
      <x:c r="A33" s="2"/>
      <x:c r="B33" s="2"/>
      <x:c r="C33" s="2" t="str">
        <x:v>May · market informed · bear</x:v>
      </x:c>
      <x:c r="D33" s="15" t="n">
        <x:v>0</x:v>
      </x:c>
      <x:c r="E33" s="15" t="n">
        <x:v>0.467</x:v>
      </x:c>
      <x:c r="F33" s="15" t="n">
        <x:v>0.295</x:v>
      </x:c>
      <x:c r="G33" s="16" t="n">
        <x:v>-50</x:v>
      </x:c>
      <x:c r="H33" s="15" t="n">
        <x:v>0.225</x:v>
      </x:c>
      <x:c r="I33" s="16" t="n">
        <x:v>30</x:v>
      </x:c>
      <x:c r="J33" s="17" t="n">
        <x:v>2440</x:v>
      </x:c>
      <x:c r="K33" s="15" t="n">
        <x:v>1.05</x:v>
      </x:c>
      <x:c r="L33" s="15" t="n">
        <x:v>0.06</x:v>
      </x:c>
      <x:c r="M33" s="2"/>
      <x:c r="N33" s="2"/>
      <x:c r="O33" s="2"/>
      <x:c r="P33" s="2"/>
      <x:c r="Q33" s="2"/>
    </x:row>
    <x:row r="34" ht="23" customHeight="1">
      <x:c r="A34" s="2"/>
      <x:c r="B34" s="2"/>
      <x:c r="C34" s="2" t="str">
        <x:v>May · market informed · base</x:v>
      </x:c>
      <x:c r="D34" s="15" t="n">
        <x:v>0.04</x:v>
      </x:c>
      <x:c r="E34" s="15" t="n">
        <x:v>0.486</x:v>
      </x:c>
      <x:c r="F34" s="15" t="n">
        <x:v>0.282</x:v>
      </x:c>
      <x:c r="G34" s="16" t="n">
        <x:v>150</x:v>
      </x:c>
      <x:c r="H34" s="15" t="n">
        <x:v>0.205</x:v>
      </x:c>
      <x:c r="I34" s="16" t="n">
        <x:v>18</x:v>
      </x:c>
      <x:c r="J34" s="17" t="n">
        <x:v>2405</x:v>
      </x:c>
      <x:c r="K34" s="15" t="n">
        <x:v>1.3</x:v>
      </x:c>
      <x:c r="L34" s="15" t="n">
        <x:v>0.05</x:v>
      </x:c>
      <x:c r="M34" s="2"/>
      <x:c r="N34" s="2"/>
      <x:c r="O34" s="2"/>
      <x:c r="P34" s="2"/>
      <x:c r="Q34" s="2"/>
    </x:row>
    <x:row r="35" ht="23" customHeight="1">
      <x:c r="A35" s="2"/>
      <x:c r="B35" s="2"/>
      <x:c r="C35" s="2" t="str">
        <x:v>May · market informed · bull</x:v>
      </x:c>
      <x:c r="D35" s="15" t="n">
        <x:v>0.07</x:v>
      </x:c>
      <x:c r="E35" s="15" t="n">
        <x:v>0.503</x:v>
      </x:c>
      <x:c r="F35" s="15" t="n">
        <x:v>0.27</x:v>
      </x:c>
      <x:c r="G35" s="16" t="n">
        <x:v>300</x:v>
      </x:c>
      <x:c r="H35" s="15" t="n">
        <x:v>0.19</x:v>
      </x:c>
      <x:c r="I35" s="16" t="n">
        <x:v>10</x:v>
      </x:c>
      <x:c r="J35" s="17" t="n">
        <x:v>2380</x:v>
      </x:c>
      <x:c r="K35" s="15" t="n">
        <x:v>1.5</x:v>
      </x:c>
      <x:c r="L35" s="15" t="n">
        <x:v>0.045</x:v>
      </x:c>
      <x:c r="M35" s="2"/>
      <x:c r="N35" s="2"/>
      <x:c r="O35" s="2"/>
      <x:c r="P35" s="2"/>
      <x:c r="Q35" s="2"/>
    </x:row>
    <x:row r="36" ht="23" customHeight="1">
      <x:c r="A36" s="2"/>
      <x:c r="B36" s="2"/>
      <x:c r="C36" s="2"/>
      <x:c r="D36" s="2"/>
      <x:c r="E36" s="2"/>
      <x:c r="F36" s="2"/>
      <x:c r="G36" s="2"/>
      <x:c r="H36" s="2"/>
      <x:c r="I36" s="2"/>
      <x:c r="J36" s="2"/>
      <x:c r="K36" s="2"/>
      <x:c r="L36" s="2"/>
      <x:c r="M36" s="2"/>
      <x:c r="N36" s="2"/>
      <x:c r="O36" s="2"/>
      <x:c r="P36" s="2"/>
      <x:c r="Q36" s="2"/>
    </x:row>
    <x:row r="37" ht="23" customHeight="1">
      <x:c r="A37" s="2"/>
      <x:c r="B37" s="2"/>
      <x:c r="C37" s="2"/>
      <x:c r="D37" s="2"/>
      <x:c r="E37" s="2"/>
      <x:c r="F37" s="2"/>
      <x:c r="G37" s="2"/>
      <x:c r="H37" s="2"/>
      <x:c r="I37" s="2"/>
      <x:c r="J37" s="2"/>
      <x:c r="K37" s="2"/>
      <x:c r="L37" s="2"/>
      <x:c r="M37" s="2"/>
      <x:c r="N37" s="2"/>
      <x:c r="O37" s="2"/>
      <x:c r="P37" s="2"/>
      <x:c r="Q37" s="2"/>
    </x:row>
    <x:row r="38" ht="23" customHeight="1">
      <x:c r="A38" s="2"/>
      <x:c r="B38" s="2"/>
      <x:c r="C38" s="2"/>
      <x:c r="D38" s="2"/>
      <x:c r="E38" s="2"/>
      <x:c r="F38" s="2"/>
      <x:c r="G38" s="2"/>
      <x:c r="H38" s="2"/>
      <x:c r="I38" s="2"/>
      <x:c r="J38" s="2"/>
      <x:c r="K38" s="2"/>
      <x:c r="L38" s="2"/>
      <x:c r="M38" s="2"/>
      <x:c r="N38" s="2"/>
      <x:c r="O38" s="2"/>
      <x:c r="P38" s="2"/>
      <x:c r="Q38" s="2"/>
    </x:row>
    <x:row r="39" ht="23" customHeight="1">
      <x:c r="A39" s="2"/>
      <x:c r="B39" s="2"/>
      <x:c r="C39" s="2"/>
      <x:c r="D39" s="2"/>
      <x:c r="E39" s="2"/>
      <x:c r="F39" s="2"/>
      <x:c r="G39" s="2"/>
      <x:c r="H39" s="2"/>
      <x:c r="I39" s="2"/>
      <x:c r="J39" s="2"/>
      <x:c r="K39" s="2"/>
      <x:c r="L39" s="2"/>
      <x:c r="M39" s="2"/>
      <x:c r="N39" s="2"/>
      <x:c r="O39" s="2"/>
      <x:c r="P39" s="2"/>
      <x:c r="Q39" s="2"/>
    </x:row>
    <x:row r="40" ht="23" customHeight="1">
      <x:c r="A40" s="2"/>
      <x:c r="B40" s="2"/>
      <x:c r="C40" s="2"/>
      <x:c r="D40" s="2"/>
      <x:c r="E40" s="2"/>
      <x:c r="F40" s="2"/>
      <x:c r="G40" s="2"/>
      <x:c r="H40" s="2"/>
      <x:c r="I40" s="2"/>
      <x:c r="J40" s="2"/>
      <x:c r="K40" s="2"/>
      <x:c r="L40" s="2"/>
      <x:c r="M40" s="2"/>
      <x:c r="N40" s="2"/>
      <x:c r="O40" s="2"/>
      <x:c r="P40" s="2"/>
      <x:c r="Q40" s="2"/>
    </x:row>
    <x:row r="41" ht="23" customHeight="1">
      <x:c r="A41" s="2"/>
      <x:c r="B41" s="2"/>
      <x:c r="C41" s="2"/>
      <x:c r="D41" s="2"/>
      <x:c r="E41" s="2"/>
      <x:c r="F41" s="2"/>
      <x:c r="G41" s="2"/>
      <x:c r="H41" s="2"/>
      <x:c r="I41" s="2"/>
      <x:c r="J41" s="2"/>
      <x:c r="K41" s="2"/>
      <x:c r="L41" s="2"/>
      <x:c r="M41" s="2"/>
      <x:c r="N41" s="2"/>
      <x:c r="O41" s="2"/>
      <x:c r="P41" s="2"/>
      <x:c r="Q41" s="2"/>
    </x:row>
    <x:row r="42" ht="23" customHeight="1">
      <x:c r="A42" s="2"/>
      <x:c r="B42" s="2"/>
      <x:c r="C42" s="2"/>
      <x:c r="D42" s="2"/>
      <x:c r="E42" s="2"/>
      <x:c r="F42" s="2"/>
      <x:c r="G42" s="2"/>
      <x:c r="H42" s="2"/>
      <x:c r="I42" s="2"/>
      <x:c r="J42" s="2"/>
      <x:c r="K42" s="2"/>
      <x:c r="L42" s="2"/>
      <x:c r="M42" s="2"/>
      <x:c r="N42" s="2"/>
      <x:c r="O42" s="2"/>
      <x:c r="P42" s="2"/>
      <x:c r="Q42" s="2"/>
    </x:row>
    <x:row r="43" ht="23" customHeight="1">
      <x:c r="A43" s="2"/>
      <x:c r="B43" s="2"/>
      <x:c r="C43" s="2"/>
      <x:c r="D43" s="2"/>
      <x:c r="E43" s="2"/>
      <x:c r="F43" s="2"/>
      <x:c r="G43" s="2"/>
      <x:c r="H43" s="2"/>
      <x:c r="I43" s="2"/>
      <x:c r="J43" s="2"/>
      <x:c r="K43" s="2"/>
      <x:c r="L43" s="2"/>
      <x:c r="M43" s="2"/>
      <x:c r="N43" s="2"/>
      <x:c r="O43" s="2"/>
      <x:c r="P43" s="2"/>
      <x:c r="Q43" s="2"/>
    </x:row>
    <x:row r="44" ht="23" customHeight="1">
      <x:c r="A44" s="2"/>
      <x:c r="B44" s="2"/>
      <x:c r="C44" s="2"/>
      <x:c r="D44" s="2"/>
      <x:c r="E44" s="2"/>
      <x:c r="F44" s="2"/>
      <x:c r="G44" s="2"/>
      <x:c r="H44" s="2"/>
      <x:c r="I44" s="2"/>
      <x:c r="J44" s="2"/>
      <x:c r="K44" s="2"/>
      <x:c r="L44" s="2"/>
      <x:c r="M44" s="2"/>
      <x:c r="N44" s="2"/>
      <x:c r="O44" s="2"/>
      <x:c r="P44" s="2"/>
      <x:c r="Q44" s="2"/>
    </x:row>
    <x:row r="45" ht="23" customHeight="1">
      <x:c r="A45" s="2"/>
      <x:c r="B45" s="2"/>
      <x:c r="C45" s="2"/>
      <x:c r="D45" s="2"/>
      <x:c r="E45" s="2"/>
      <x:c r="F45" s="2"/>
      <x:c r="G45" s="2"/>
      <x:c r="H45" s="2"/>
      <x:c r="I45" s="2"/>
      <x:c r="J45" s="2"/>
      <x:c r="K45" s="2"/>
      <x:c r="L45" s="2"/>
      <x:c r="M45" s="2"/>
      <x:c r="N45" s="2"/>
      <x:c r="O45" s="2"/>
      <x:c r="P45" s="2"/>
      <x:c r="Q45" s="2"/>
    </x:row>
    <x:row r="46" ht="23" customHeight="1">
      <x:c r="A46" s="2"/>
      <x:c r="B46" s="2"/>
      <x:c r="C46" s="2"/>
      <x:c r="D46" s="2"/>
      <x:c r="E46" s="2"/>
      <x:c r="F46" s="2"/>
      <x:c r="G46" s="2"/>
      <x:c r="H46" s="2"/>
      <x:c r="I46" s="2"/>
      <x:c r="J46" s="2"/>
      <x:c r="K46" s="2"/>
      <x:c r="L46" s="2"/>
      <x:c r="M46" s="2"/>
      <x:c r="N46" s="2"/>
      <x:c r="O46" s="2"/>
      <x:c r="P46" s="2"/>
      <x:c r="Q46" s="2"/>
    </x:row>
    <x:row r="47" ht="23" customHeight="1">
      <x:c r="A47" s="2"/>
      <x:c r="B47" s="2"/>
      <x:c r="C47" s="2"/>
      <x:c r="D47" s="2"/>
      <x:c r="E47" s="2"/>
      <x:c r="F47" s="2"/>
      <x:c r="G47" s="2"/>
      <x:c r="H47" s="2"/>
      <x:c r="I47" s="2"/>
      <x:c r="J47" s="2"/>
      <x:c r="K47" s="2"/>
      <x:c r="L47" s="2"/>
      <x:c r="M47" s="2"/>
      <x:c r="N47" s="2"/>
      <x:c r="O47" s="2"/>
      <x:c r="P47" s="2"/>
      <x:c r="Q47" s="2"/>
    </x:row>
    <x:row r="48" ht="23" customHeight="1">
      <x:c r="A48" s="2"/>
      <x:c r="B48" s="2"/>
      <x:c r="C48" s="2"/>
      <x:c r="D48" s="2"/>
      <x:c r="E48" s="2"/>
      <x:c r="F48" s="2"/>
      <x:c r="G48" s="2"/>
      <x:c r="H48" s="2"/>
      <x:c r="I48" s="2"/>
      <x:c r="J48" s="2"/>
      <x:c r="K48" s="2"/>
      <x:c r="L48" s="2"/>
      <x:c r="M48" s="2"/>
      <x:c r="N48" s="2"/>
      <x:c r="O48" s="2"/>
      <x:c r="P48" s="2"/>
      <x:c r="Q48" s="2"/>
    </x:row>
    <x:row r="49" ht="23" customHeight="1">
      <x:c r="A49" s="2"/>
      <x:c r="B49" s="2"/>
      <x:c r="C49" s="2"/>
      <x:c r="D49" s="2"/>
      <x:c r="E49" s="2"/>
      <x:c r="F49" s="2"/>
      <x:c r="G49" s="2"/>
      <x:c r="H49" s="2"/>
      <x:c r="I49" s="2"/>
      <x:c r="J49" s="2"/>
      <x:c r="K49" s="2"/>
      <x:c r="L49" s="2"/>
      <x:c r="M49" s="2"/>
      <x:c r="N49" s="2"/>
      <x:c r="O49" s="2"/>
      <x:c r="P49" s="2"/>
      <x:c r="Q49" s="2"/>
    </x:row>
    <x:row r="50" ht="23" customHeight="1">
      <x:c r="A50" s="2"/>
      <x:c r="B50" s="2"/>
      <x:c r="C50" s="2"/>
      <x:c r="D50" s="2"/>
      <x:c r="E50" s="2"/>
      <x:c r="F50" s="2"/>
      <x:c r="G50" s="2"/>
      <x:c r="H50" s="2"/>
      <x:c r="I50" s="2"/>
      <x:c r="J50" s="2"/>
      <x:c r="K50" s="2"/>
      <x:c r="L50" s="2"/>
      <x:c r="M50" s="2"/>
      <x:c r="N50" s="2"/>
      <x:c r="O50" s="2"/>
      <x:c r="P50" s="2"/>
      <x:c r="Q50" s="2"/>
    </x:row>
    <x:row r="51" ht="23" customHeight="1">
      <x:c r="A51" s="2"/>
      <x:c r="B51" s="2"/>
      <x:c r="C51" s="2"/>
      <x:c r="D51" s="2"/>
      <x:c r="E51" s="2"/>
      <x:c r="F51" s="2"/>
      <x:c r="G51" s="2"/>
      <x:c r="H51" s="2"/>
      <x:c r="I51" s="2"/>
      <x:c r="J51" s="2"/>
      <x:c r="K51" s="2"/>
      <x:c r="L51" s="2"/>
      <x:c r="M51" s="2"/>
      <x:c r="N51" s="2"/>
      <x:c r="O51" s="2"/>
      <x:c r="P51" s="2"/>
      <x:c r="Q51" s="2"/>
    </x:row>
    <x:row r="52" ht="23" customHeight="1">
      <x:c r="A52" s="2"/>
      <x:c r="B52" s="2"/>
      <x:c r="C52" s="2"/>
      <x:c r="D52" s="2"/>
      <x:c r="E52" s="2"/>
      <x:c r="F52" s="2"/>
      <x:c r="G52" s="2"/>
      <x:c r="H52" s="2"/>
      <x:c r="I52" s="2"/>
      <x:c r="J52" s="2"/>
      <x:c r="K52" s="2"/>
      <x:c r="L52" s="2"/>
      <x:c r="M52" s="2"/>
      <x:c r="N52" s="2"/>
      <x:c r="O52" s="2"/>
      <x:c r="P52" s="2"/>
      <x:c r="Q52" s="2"/>
    </x:row>
    <x:row r="53" ht="23" customHeight="1">
      <x:c r="A53" s="2"/>
      <x:c r="B53" s="2"/>
      <x:c r="C53" s="2"/>
      <x:c r="D53" s="2"/>
      <x:c r="E53" s="2"/>
      <x:c r="F53" s="2"/>
      <x:c r="G53" s="2"/>
      <x:c r="H53" s="2"/>
      <x:c r="I53" s="2"/>
      <x:c r="J53" s="2"/>
      <x:c r="K53" s="2"/>
      <x:c r="L53" s="2"/>
      <x:c r="M53" s="2"/>
      <x:c r="N53" s="2"/>
      <x:c r="O53" s="2"/>
      <x:c r="P53" s="2"/>
      <x:c r="Q53" s="2"/>
    </x:row>
    <x:row r="54" ht="23" customHeight="1">
      <x:c r="A54" s="2"/>
      <x:c r="B54" s="2"/>
      <x:c r="C54" s="2"/>
      <x:c r="D54" s="2"/>
      <x:c r="E54" s="2"/>
      <x:c r="F54" s="2"/>
      <x:c r="G54" s="2"/>
      <x:c r="H54" s="2"/>
      <x:c r="I54" s="2"/>
      <x:c r="J54" s="2"/>
      <x:c r="K54" s="2"/>
      <x:c r="L54" s="2"/>
      <x:c r="M54" s="2"/>
      <x:c r="N54" s="2"/>
      <x:c r="O54" s="2"/>
      <x:c r="P54" s="2"/>
      <x:c r="Q54" s="2"/>
    </x:row>
    <x:row r="55" ht="23" customHeight="1">
      <x:c r="A55" s="2"/>
      <x:c r="B55" s="2"/>
      <x:c r="C55" s="2"/>
      <x:c r="D55" s="2"/>
      <x:c r="E55" s="2"/>
      <x:c r="F55" s="2"/>
      <x:c r="G55" s="2"/>
      <x:c r="H55" s="2"/>
      <x:c r="I55" s="2"/>
      <x:c r="J55" s="2"/>
      <x:c r="K55" s="2"/>
      <x:c r="L55" s="2"/>
      <x:c r="M55" s="2"/>
      <x:c r="N55" s="2"/>
      <x:c r="O55" s="2"/>
      <x:c r="P55" s="2"/>
      <x:c r="Q55" s="2"/>
    </x:row>
    <x:row r="56" ht="23" customHeight="1">
      <x:c r="A56" s="2"/>
      <x:c r="B56" s="2"/>
      <x:c r="C56" s="2"/>
      <x:c r="D56" s="2"/>
      <x:c r="E56" s="2"/>
      <x:c r="F56" s="2"/>
      <x:c r="G56" s="2"/>
      <x:c r="H56" s="2"/>
      <x:c r="I56" s="2"/>
      <x:c r="J56" s="2"/>
      <x:c r="K56" s="2"/>
      <x:c r="L56" s="2"/>
      <x:c r="M56" s="2"/>
      <x:c r="N56" s="2"/>
      <x:c r="O56" s="2"/>
      <x:c r="P56" s="2"/>
      <x:c r="Q56" s="2"/>
    </x:row>
    <x:row r="57" ht="23" customHeight="1">
      <x:c r="A57" s="2"/>
      <x:c r="B57" s="2"/>
      <x:c r="C57" s="2"/>
      <x:c r="D57" s="2"/>
      <x:c r="E57" s="2"/>
      <x:c r="F57" s="2"/>
      <x:c r="G57" s="2"/>
      <x:c r="H57" s="2"/>
      <x:c r="I57" s="2"/>
      <x:c r="J57" s="2"/>
      <x:c r="K57" s="2"/>
      <x:c r="L57" s="2"/>
      <x:c r="M57" s="2"/>
      <x:c r="N57" s="2"/>
      <x:c r="O57" s="2"/>
      <x:c r="P57" s="2"/>
      <x:c r="Q57" s="2"/>
    </x:row>
    <x:row r="58" ht="23" customHeight="1">
      <x:c r="A58" s="2"/>
      <x:c r="B58" s="2"/>
      <x:c r="C58" s="2"/>
      <x:c r="D58" s="2"/>
      <x:c r="E58" s="2"/>
      <x:c r="F58" s="2"/>
      <x:c r="G58" s="2"/>
      <x:c r="H58" s="2"/>
      <x:c r="I58" s="2"/>
      <x:c r="J58" s="2"/>
      <x:c r="K58" s="2"/>
      <x:c r="L58" s="2"/>
      <x:c r="M58" s="2"/>
      <x:c r="N58" s="2"/>
      <x:c r="O58" s="2"/>
      <x:c r="P58" s="2"/>
      <x:c r="Q58" s="2"/>
    </x:row>
    <x:row r="59" ht="23" customHeight="1">
      <x:c r="A59" s="2"/>
      <x:c r="B59" s="2"/>
      <x:c r="C59" s="2"/>
      <x:c r="D59" s="2"/>
      <x:c r="E59" s="2"/>
      <x:c r="F59" s="2"/>
      <x:c r="G59" s="2"/>
      <x:c r="H59" s="2"/>
      <x:c r="I59" s="2"/>
      <x:c r="J59" s="2"/>
      <x:c r="K59" s="2"/>
      <x:c r="L59" s="2"/>
      <x:c r="M59" s="2"/>
      <x:c r="N59" s="2"/>
      <x:c r="O59" s="2"/>
      <x:c r="P59" s="2"/>
      <x:c r="Q59" s="2"/>
    </x:row>
    <x:row r="60" ht="23" customHeight="1">
      <x:c r="A60" s="2"/>
      <x:c r="B60" s="2"/>
      <x:c r="C60" s="2"/>
      <x:c r="D60" s="2"/>
      <x:c r="E60" s="2"/>
      <x:c r="F60" s="2"/>
      <x:c r="G60" s="2"/>
      <x:c r="H60" s="2"/>
      <x:c r="I60" s="2"/>
      <x:c r="J60" s="2"/>
      <x:c r="K60" s="2"/>
      <x:c r="L60" s="2"/>
      <x:c r="M60" s="2"/>
      <x:c r="N60" s="2"/>
      <x:c r="O60" s="2"/>
      <x:c r="P60" s="2"/>
      <x:c r="Q60" s="2"/>
    </x:row>
    <x:row r="61" ht="23" customHeight="1">
      <x:c r="A61" s="2"/>
      <x:c r="B61" s="2"/>
      <x:c r="C61" s="2"/>
      <x:c r="D61" s="2"/>
      <x:c r="E61" s="2"/>
      <x:c r="F61" s="2"/>
      <x:c r="G61" s="2"/>
      <x:c r="H61" s="2"/>
      <x:c r="I61" s="2"/>
      <x:c r="J61" s="2"/>
      <x:c r="K61" s="2"/>
      <x:c r="L61" s="2"/>
      <x:c r="M61" s="2"/>
      <x:c r="N61" s="2"/>
      <x:c r="O61" s="2"/>
      <x:c r="P61" s="2"/>
      <x:c r="Q61" s="2"/>
    </x:row>
    <x:row r="62" ht="23" customHeight="1">
      <x:c r="A62" s="2"/>
      <x:c r="B62" s="2"/>
      <x:c r="C62" s="2"/>
      <x:c r="D62" s="2"/>
      <x:c r="E62" s="2"/>
      <x:c r="F62" s="2"/>
      <x:c r="G62" s="2"/>
      <x:c r="H62" s="2"/>
      <x:c r="I62" s="2"/>
      <x:c r="J62" s="2"/>
      <x:c r="K62" s="2"/>
      <x:c r="L62" s="2"/>
      <x:c r="M62" s="2"/>
      <x:c r="N62" s="2"/>
      <x:c r="O62" s="2"/>
      <x:c r="P62" s="2"/>
      <x:c r="Q62" s="2"/>
    </x:row>
    <x:row r="63" ht="23" customHeight="1">
      <x:c r="A63" s="2"/>
      <x:c r="B63" s="2"/>
      <x:c r="C63" s="2"/>
      <x:c r="D63" s="2"/>
      <x:c r="E63" s="2"/>
      <x:c r="F63" s="2"/>
      <x:c r="G63" s="2"/>
      <x:c r="H63" s="2"/>
      <x:c r="I63" s="2"/>
      <x:c r="J63" s="2"/>
      <x:c r="K63" s="2"/>
      <x:c r="L63" s="2"/>
      <x:c r="M63" s="2"/>
      <x:c r="N63" s="2"/>
      <x:c r="O63" s="2"/>
      <x:c r="P63" s="2"/>
      <x:c r="Q63" s="2"/>
    </x:row>
    <x:row r="64" ht="23" customHeight="1">
      <x:c r="A64" s="2"/>
      <x:c r="B64" s="2"/>
      <x:c r="C64" s="2"/>
      <x:c r="D64" s="2"/>
      <x:c r="E64" s="2"/>
      <x:c r="F64" s="2"/>
      <x:c r="G64" s="2"/>
      <x:c r="H64" s="2"/>
      <x:c r="I64" s="2"/>
      <x:c r="J64" s="2"/>
      <x:c r="K64" s="2"/>
      <x:c r="L64" s="2"/>
      <x:c r="M64" s="2"/>
      <x:c r="N64" s="2"/>
      <x:c r="O64" s="2"/>
      <x:c r="P64" s="2"/>
      <x:c r="Q64" s="2"/>
    </x:row>
    <x:row r="65" ht="23" customHeight="1">
      <x:c r="A65" s="2"/>
      <x:c r="B65" s="2"/>
      <x:c r="C65" s="2"/>
      <x:c r="D65" s="2"/>
      <x:c r="E65" s="2"/>
      <x:c r="F65" s="2"/>
      <x:c r="G65" s="2"/>
      <x:c r="H65" s="2"/>
      <x:c r="I65" s="2"/>
      <x:c r="J65" s="2"/>
      <x:c r="K65" s="2"/>
      <x:c r="L65" s="2"/>
      <x:c r="M65" s="2"/>
      <x:c r="N65" s="2"/>
      <x:c r="O65" s="2"/>
      <x:c r="P65" s="2"/>
      <x:c r="Q65" s="2"/>
    </x:row>
    <x:row r="66" ht="23" customHeight="1">
      <x:c r="A66" s="2"/>
      <x:c r="B66" s="2"/>
      <x:c r="C66" s="2"/>
      <x:c r="D66" s="2"/>
      <x:c r="E66" s="2"/>
      <x:c r="F66" s="2"/>
      <x:c r="G66" s="2"/>
      <x:c r="H66" s="2"/>
      <x:c r="I66" s="2"/>
      <x:c r="J66" s="2"/>
      <x:c r="K66" s="2"/>
      <x:c r="L66" s="2"/>
      <x:c r="M66" s="2"/>
      <x:c r="N66" s="2"/>
      <x:c r="O66" s="2"/>
      <x:c r="P66" s="2"/>
      <x:c r="Q66" s="2"/>
    </x:row>
    <x:row r="67" ht="23" customHeight="1">
      <x:c r="A67" s="2"/>
      <x:c r="B67" s="2"/>
      <x:c r="C67" s="2"/>
      <x:c r="D67" s="2"/>
      <x:c r="E67" s="2"/>
      <x:c r="F67" s="2"/>
      <x:c r="G67" s="2"/>
      <x:c r="H67" s="2"/>
      <x:c r="I67" s="2"/>
      <x:c r="J67" s="2"/>
      <x:c r="K67" s="2"/>
      <x:c r="L67" s="2"/>
      <x:c r="M67" s="2"/>
      <x:c r="N67" s="2"/>
      <x:c r="O67" s="2"/>
      <x:c r="P67" s="2"/>
      <x:c r="Q67" s="2"/>
    </x:row>
    <x:row r="68" ht="23" customHeight="1">
      <x:c r="A68" s="2"/>
      <x:c r="B68" s="2"/>
      <x:c r="C68" s="2"/>
      <x:c r="D68" s="2"/>
      <x:c r="E68" s="2"/>
      <x:c r="F68" s="2"/>
      <x:c r="G68" s="2"/>
      <x:c r="H68" s="2"/>
      <x:c r="I68" s="2"/>
      <x:c r="J68" s="2"/>
      <x:c r="K68" s="2"/>
      <x:c r="L68" s="2"/>
      <x:c r="M68" s="2"/>
      <x:c r="N68" s="2"/>
      <x:c r="O68" s="2"/>
      <x:c r="P68" s="2"/>
      <x:c r="Q68" s="2"/>
    </x:row>
    <x:row r="69" ht="23" customHeight="1">
      <x:c r="A69" s="2"/>
      <x:c r="B69" s="2"/>
      <x:c r="C69" s="2"/>
      <x:c r="D69" s="2"/>
      <x:c r="E69" s="2"/>
      <x:c r="F69" s="2"/>
      <x:c r="G69" s="2"/>
      <x:c r="H69" s="2"/>
      <x:c r="I69" s="2"/>
      <x:c r="J69" s="2"/>
      <x:c r="K69" s="2"/>
      <x:c r="L69" s="2"/>
      <x:c r="M69" s="2"/>
      <x:c r="N69" s="2"/>
      <x:c r="O69" s="2"/>
      <x:c r="P69" s="2"/>
      <x:c r="Q69" s="2"/>
    </x:row>
    <x:row r="70" ht="23" customHeight="1">
      <x:c r="A70" s="2"/>
      <x:c r="B70" s="2"/>
      <x:c r="C70" s="2"/>
      <x:c r="D70" s="2"/>
      <x:c r="E70" s="2"/>
      <x:c r="F70" s="2"/>
      <x:c r="G70" s="2"/>
      <x:c r="H70" s="2"/>
      <x:c r="I70" s="2"/>
      <x:c r="J70" s="2"/>
      <x:c r="K70" s="2"/>
      <x:c r="L70" s="2"/>
      <x:c r="M70" s="2"/>
      <x:c r="N70" s="2"/>
      <x:c r="O70" s="2"/>
      <x:c r="P70" s="2"/>
      <x:c r="Q70" s="2"/>
    </x:row>
    <x:row r="71" ht="23" customHeight="1">
      <x:c r="A71" s="2"/>
      <x:c r="B71" s="2"/>
      <x:c r="C71" s="2"/>
      <x:c r="D71" s="2"/>
      <x:c r="E71" s="2"/>
      <x:c r="F71" s="2"/>
      <x:c r="G71" s="2"/>
      <x:c r="H71" s="2"/>
      <x:c r="I71" s="2"/>
      <x:c r="J71" s="2"/>
      <x:c r="K71" s="2"/>
      <x:c r="L71" s="2"/>
      <x:c r="M71" s="2"/>
      <x:c r="N71" s="2"/>
      <x:c r="O71" s="2"/>
      <x:c r="P71" s="2"/>
      <x:c r="Q71" s="2"/>
    </x:row>
    <x:row r="72" ht="23" customHeight="1">
      <x:c r="A72" s="2"/>
      <x:c r="B72" s="2"/>
      <x:c r="C72" s="2"/>
      <x:c r="D72" s="2"/>
      <x:c r="E72" s="2"/>
      <x:c r="F72" s="2"/>
      <x:c r="G72" s="2"/>
      <x:c r="H72" s="2"/>
      <x:c r="I72" s="2"/>
      <x:c r="J72" s="2"/>
      <x:c r="K72" s="2"/>
      <x:c r="L72" s="2"/>
      <x:c r="M72" s="2"/>
      <x:c r="N72" s="2"/>
      <x:c r="O72" s="2"/>
      <x:c r="P72" s="2"/>
      <x:c r="Q72" s="2"/>
    </x:row>
    <x:row r="73" ht="23" customHeight="1">
      <x:c r="A73" s="2"/>
      <x:c r="B73" s="2"/>
      <x:c r="C73" s="2"/>
      <x:c r="D73" s="2"/>
      <x:c r="E73" s="2"/>
      <x:c r="F73" s="2"/>
      <x:c r="G73" s="2"/>
      <x:c r="H73" s="2"/>
      <x:c r="I73" s="2"/>
      <x:c r="J73" s="2"/>
      <x:c r="K73" s="2"/>
      <x:c r="L73" s="2"/>
      <x:c r="M73" s="2"/>
      <x:c r="N73" s="2"/>
      <x:c r="O73" s="2"/>
      <x:c r="P73" s="2"/>
      <x:c r="Q73" s="2"/>
    </x:row>
    <x:row r="74" ht="23" customHeight="1">
      <x:c r="A74" s="2"/>
      <x:c r="B74" s="2"/>
      <x:c r="C74" s="2"/>
      <x:c r="D74" s="2"/>
      <x:c r="E74" s="2"/>
      <x:c r="F74" s="2"/>
      <x:c r="G74" s="2"/>
      <x:c r="H74" s="2"/>
      <x:c r="I74" s="2"/>
      <x:c r="J74" s="2"/>
      <x:c r="K74" s="2"/>
      <x:c r="L74" s="2"/>
      <x:c r="M74" s="2"/>
      <x:c r="N74" s="2"/>
      <x:c r="O74" s="2"/>
      <x:c r="P74" s="2"/>
      <x:c r="Q74" s="2"/>
    </x:row>
    <x:row r="75" ht="23" customHeight="1">
      <x:c r="A75" s="2"/>
      <x:c r="B75" s="2"/>
      <x:c r="C75" s="2"/>
      <x:c r="D75" s="2"/>
      <x:c r="E75" s="2"/>
      <x:c r="F75" s="2"/>
      <x:c r="G75" s="2"/>
      <x:c r="H75" s="2"/>
      <x:c r="I75" s="2"/>
      <x:c r="J75" s="2"/>
      <x:c r="K75" s="2"/>
      <x:c r="L75" s="2"/>
      <x:c r="M75" s="2"/>
      <x:c r="N75" s="2"/>
      <x:c r="O75" s="2"/>
      <x:c r="P75" s="2"/>
      <x:c r="Q75" s="2"/>
    </x:row>
    <x:row r="76" ht="23" customHeight="1">
      <x:c r="A76" s="2"/>
      <x:c r="B76" s="2"/>
      <x:c r="C76" s="2"/>
      <x:c r="D76" s="2"/>
      <x:c r="E76" s="2"/>
      <x:c r="F76" s="2"/>
      <x:c r="G76" s="2"/>
      <x:c r="H76" s="2"/>
      <x:c r="I76" s="2"/>
      <x:c r="J76" s="2"/>
      <x:c r="K76" s="2"/>
      <x:c r="L76" s="2"/>
      <x:c r="M76" s="2"/>
      <x:c r="N76" s="2"/>
      <x:c r="O76" s="2"/>
      <x:c r="P76" s="2"/>
      <x:c r="Q76" s="2"/>
    </x:row>
    <x:row r="77" ht="23" customHeight="1">
      <x:c r="A77" s="2"/>
      <x:c r="B77" s="2"/>
      <x:c r="C77" s="2"/>
      <x:c r="D77" s="2"/>
      <x:c r="E77" s="2"/>
      <x:c r="F77" s="2"/>
      <x:c r="G77" s="2"/>
      <x:c r="H77" s="2"/>
      <x:c r="I77" s="2"/>
      <x:c r="J77" s="2"/>
      <x:c r="K77" s="2"/>
      <x:c r="L77" s="2"/>
      <x:c r="M77" s="2"/>
      <x:c r="N77" s="2"/>
      <x:c r="O77" s="2"/>
      <x:c r="P77" s="2"/>
      <x:c r="Q77" s="2"/>
    </x:row>
    <x:row r="78" ht="23" customHeight="1">
      <x:c r="A78" s="2"/>
      <x:c r="B78" s="2"/>
      <x:c r="C78" s="2"/>
      <x:c r="D78" s="2"/>
      <x:c r="E78" s="2"/>
      <x:c r="F78" s="2"/>
      <x:c r="G78" s="2"/>
      <x:c r="H78" s="2"/>
      <x:c r="I78" s="2"/>
      <x:c r="J78" s="2"/>
      <x:c r="K78" s="2"/>
      <x:c r="L78" s="2"/>
      <x:c r="M78" s="2"/>
      <x:c r="N78" s="2"/>
      <x:c r="O78" s="2"/>
      <x:c r="P78" s="2"/>
      <x:c r="Q78" s="2"/>
    </x:row>
    <x:row r="79" ht="23" customHeight="1">
      <x:c r="A79" s="2"/>
      <x:c r="B79" s="2"/>
      <x:c r="C79" s="2"/>
      <x:c r="D79" s="2"/>
      <x:c r="E79" s="2"/>
      <x:c r="F79" s="2"/>
      <x:c r="G79" s="2"/>
      <x:c r="H79" s="2"/>
      <x:c r="I79" s="2"/>
      <x:c r="J79" s="2"/>
      <x:c r="K79" s="2"/>
      <x:c r="L79" s="2"/>
      <x:c r="M79" s="2"/>
      <x:c r="N79" s="2"/>
      <x:c r="O79" s="2"/>
      <x:c r="P79" s="2"/>
      <x:c r="Q79" s="2"/>
    </x:row>
    <x:row r="80" ht="23" customHeight="1">
      <x:c r="A80" s="2"/>
      <x:c r="B80" s="2"/>
      <x:c r="C80" s="2"/>
      <x:c r="D80" s="2"/>
      <x:c r="E80" s="2"/>
      <x:c r="F80" s="2"/>
      <x:c r="G80" s="2"/>
      <x:c r="H80" s="2"/>
      <x:c r="I80" s="2"/>
      <x:c r="J80" s="2"/>
      <x:c r="K80" s="2"/>
      <x:c r="L80" s="2"/>
      <x:c r="M80" s="2"/>
      <x:c r="N80" s="2"/>
      <x:c r="O80" s="2"/>
      <x:c r="P80" s="2"/>
      <x:c r="Q80" s="2"/>
    </x:row>
    <x:row r="81" ht="23" customHeight="1">
      <x:c r="A81" s="2"/>
      <x:c r="B81" s="2"/>
      <x:c r="C81" s="2"/>
      <x:c r="D81" s="2"/>
      <x:c r="E81" s="2"/>
      <x:c r="F81" s="2"/>
      <x:c r="G81" s="2"/>
      <x:c r="H81" s="2"/>
      <x:c r="I81" s="2"/>
      <x:c r="J81" s="2"/>
      <x:c r="K81" s="2"/>
      <x:c r="L81" s="2"/>
      <x:c r="M81" s="2"/>
      <x:c r="N81" s="2"/>
      <x:c r="O81" s="2"/>
      <x:c r="P81" s="2"/>
      <x:c r="Q81" s="2"/>
    </x:row>
    <x:row r="82" ht="23" customHeight="1">
      <x:c r="A82" s="2"/>
      <x:c r="B82" s="2"/>
      <x:c r="C82" s="2"/>
      <x:c r="D82" s="2"/>
      <x:c r="E82" s="2"/>
      <x:c r="F82" s="2"/>
      <x:c r="G82" s="2"/>
      <x:c r="H82" s="2"/>
      <x:c r="I82" s="2"/>
      <x:c r="J82" s="2"/>
      <x:c r="K82" s="2"/>
      <x:c r="L82" s="2"/>
      <x:c r="M82" s="2"/>
      <x:c r="N82" s="2"/>
      <x:c r="O82" s="2"/>
      <x:c r="P82" s="2"/>
      <x:c r="Q82" s="2"/>
    </x:row>
    <x:row r="83" ht="23" customHeight="1">
      <x:c r="A83" s="2"/>
      <x:c r="B83" s="2"/>
      <x:c r="C83" s="2"/>
      <x:c r="D83" s="2"/>
      <x:c r="E83" s="2"/>
      <x:c r="F83" s="2"/>
      <x:c r="G83" s="2"/>
      <x:c r="H83" s="2"/>
      <x:c r="I83" s="2"/>
      <x:c r="J83" s="2"/>
      <x:c r="K83" s="2"/>
      <x:c r="L83" s="2"/>
      <x:c r="M83" s="2"/>
      <x:c r="N83" s="2"/>
      <x:c r="O83" s="2"/>
      <x:c r="P83" s="2"/>
      <x:c r="Q83" s="2"/>
    </x:row>
    <x:row r="84" ht="23" customHeight="1">
      <x:c r="A84" s="2"/>
      <x:c r="B84" s="2"/>
      <x:c r="C84" s="2"/>
      <x:c r="D84" s="2"/>
      <x:c r="E84" s="2"/>
      <x:c r="F84" s="2"/>
      <x:c r="G84" s="2"/>
      <x:c r="H84" s="2"/>
      <x:c r="I84" s="2"/>
      <x:c r="J84" s="2"/>
      <x:c r="K84" s="2"/>
      <x:c r="L84" s="2"/>
      <x:c r="M84" s="2"/>
      <x:c r="N84" s="2"/>
      <x:c r="O84" s="2"/>
      <x:c r="P84" s="2"/>
      <x:c r="Q84" s="2"/>
    </x:row>
    <x:row r="85" ht="23" customHeight="1">
      <x:c r="A85" s="2"/>
      <x:c r="B85" s="2"/>
      <x:c r="C85" s="2"/>
      <x:c r="D85" s="2"/>
      <x:c r="E85" s="2"/>
      <x:c r="F85" s="2"/>
      <x:c r="G85" s="2"/>
      <x:c r="H85" s="2"/>
      <x:c r="I85" s="2"/>
      <x:c r="J85" s="2"/>
      <x:c r="K85" s="2"/>
      <x:c r="L85" s="2"/>
      <x:c r="M85" s="2"/>
      <x:c r="N85" s="2"/>
      <x:c r="O85" s="2"/>
      <x:c r="P85" s="2"/>
      <x:c r="Q85" s="2"/>
    </x:row>
    <x:row r="86" ht="23" customHeight="1">
      <x:c r="A86" s="2"/>
      <x:c r="B86" s="2"/>
      <x:c r="C86" s="2"/>
      <x:c r="D86" s="2"/>
      <x:c r="E86" s="2"/>
      <x:c r="F86" s="2"/>
      <x:c r="G86" s="2"/>
      <x:c r="H86" s="2"/>
      <x:c r="I86" s="2"/>
      <x:c r="J86" s="2"/>
      <x:c r="K86" s="2"/>
      <x:c r="L86" s="2"/>
      <x:c r="M86" s="2"/>
      <x:c r="N86" s="2"/>
      <x:c r="O86" s="2"/>
      <x:c r="P86" s="2"/>
      <x:c r="Q86" s="2"/>
    </x:row>
    <x:row r="87" ht="23" customHeight="1">
      <x:c r="A87" s="2"/>
      <x:c r="B87" s="2"/>
      <x:c r="C87" s="2"/>
      <x:c r="D87" s="2"/>
      <x:c r="E87" s="2"/>
      <x:c r="F87" s="2"/>
      <x:c r="G87" s="2"/>
      <x:c r="H87" s="2"/>
      <x:c r="I87" s="2"/>
      <x:c r="J87" s="2"/>
      <x:c r="K87" s="2"/>
      <x:c r="L87" s="2"/>
      <x:c r="M87" s="2"/>
      <x:c r="N87" s="2"/>
      <x:c r="O87" s="2"/>
      <x:c r="P87" s="2"/>
      <x:c r="Q87" s="2"/>
    </x:row>
    <x:row r="88" ht="23" customHeight="1">
      <x:c r="A88" s="2"/>
      <x:c r="B88" s="2"/>
      <x:c r="C88" s="2"/>
      <x:c r="D88" s="2"/>
      <x:c r="E88" s="2"/>
      <x:c r="F88" s="2"/>
      <x:c r="G88" s="2"/>
      <x:c r="H88" s="2"/>
      <x:c r="I88" s="2"/>
      <x:c r="J88" s="2"/>
      <x:c r="K88" s="2"/>
      <x:c r="L88" s="2"/>
      <x:c r="M88" s="2"/>
      <x:c r="N88" s="2"/>
      <x:c r="O88" s="2"/>
      <x:c r="P88" s="2"/>
      <x:c r="Q88" s="2"/>
    </x:row>
    <x:row r="89" ht="23" customHeight="1">
      <x:c r="A89" s="2"/>
      <x:c r="B89" s="2"/>
      <x:c r="C89" s="2"/>
      <x:c r="D89" s="2"/>
      <x:c r="E89" s="2"/>
      <x:c r="F89" s="2"/>
      <x:c r="G89" s="2"/>
      <x:c r="H89" s="2"/>
      <x:c r="I89" s="2"/>
      <x:c r="J89" s="2"/>
      <x:c r="K89" s="2"/>
      <x:c r="L89" s="2"/>
      <x:c r="M89" s="2"/>
      <x:c r="N89" s="2"/>
      <x:c r="O89" s="2"/>
      <x:c r="P89" s="2"/>
      <x:c r="Q89" s="2"/>
    </x:row>
    <x:row r="90" ht="23" customHeight="1">
      <x:c r="A90" s="2"/>
      <x:c r="B90" s="2"/>
      <x:c r="C90" s="2"/>
      <x:c r="D90" s="2"/>
      <x:c r="E90" s="2"/>
      <x:c r="F90" s="2"/>
      <x:c r="G90" s="2"/>
      <x:c r="H90" s="2"/>
      <x:c r="I90" s="2"/>
      <x:c r="J90" s="2"/>
      <x:c r="K90" s="2"/>
      <x:c r="L90" s="2"/>
      <x:c r="M90" s="2"/>
      <x:c r="N90" s="2"/>
      <x:c r="O90" s="2"/>
      <x:c r="P90" s="2"/>
      <x:c r="Q90" s="2"/>
    </x:row>
  </x:sheetData>
  <x:dataValidations count="1">
    <x:dataValidation type="list" sqref="D4">
      <x:formula1>$C$24:$C$35</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 hidden="0" customWidth="1"/>
    <x:col min="2" max="2" width="3" hidden="0" customWidth="1"/>
    <x:col min="3" max="3" width="35"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s>
  <x:sheetData>
    <x:row r="1" ht="23" customHeight="1">
      <x:c r="A1" s="2"/>
      <x:c r="B1" s="2"/>
      <x:c r="C1" s="2"/>
      <x:c r="D1" s="2"/>
      <x:c r="E1" s="2"/>
      <x:c r="F1" s="2"/>
      <x:c r="G1" s="2"/>
      <x:c r="H1" s="2"/>
      <x:c r="I1" s="2"/>
      <x:c r="J1" s="2"/>
      <x:c r="K1" s="2"/>
      <x:c r="L1" s="2"/>
      <x:c r="M1" s="2"/>
      <x:c r="N1" s="2"/>
      <x:c r="O1" s="2"/>
      <x:c r="P1" s="2"/>
      <x:c r="Q1" s="2"/>
    </x:row>
    <x:row r="2" ht="23" customHeight="1">
      <x:c r="A2" s="2"/>
      <x:c r="B2" s="2"/>
      <x:c r="C2" s="3" t="str">
        <x:v>PG | Frozen forecasts vs actual</x:v>
      </x:c>
      <x:c r="D2" s="2"/>
      <x:c r="E2" s="2"/>
      <x:c r="F2" s="2"/>
      <x:c r="G2" s="2"/>
      <x:c r="H2" s="2"/>
      <x:c r="I2" s="2"/>
      <x:c r="J2" s="2"/>
      <x:c r="K2" s="2"/>
      <x:c r="L2" s="2"/>
      <x:c r="M2" s="2"/>
      <x:c r="N2" s="2"/>
      <x:c r="O2" s="2"/>
      <x:c r="P2" s="2"/>
      <x:c r="Q2" s="2"/>
    </x:row>
    <x:row r="3" ht="23" customHeight="1">
      <x:c r="A3" s="2"/>
      <x:c r="B3" s="2"/>
      <x:c r="C3" s="4"/>
      <x:c r="D3" s="4"/>
      <x:c r="E3" s="4"/>
      <x:c r="F3" s="4"/>
      <x:c r="G3" s="4"/>
      <x:c r="H3" s="4"/>
      <x:c r="I3" s="4"/>
      <x:c r="J3" s="4"/>
      <x:c r="K3" s="2"/>
      <x:c r="L3" s="2"/>
      <x:c r="M3" s="2"/>
      <x:c r="N3" s="2"/>
      <x:c r="O3" s="2"/>
      <x:c r="P3" s="2"/>
      <x:c r="Q3" s="2"/>
    </x:row>
    <x:row r="4" ht="23" customHeight="1">
      <x:c r="A4" s="2"/>
      <x:c r="B4" s="2"/>
      <x:c r="C4" s="2"/>
      <x:c r="D4" s="2"/>
      <x:c r="E4" s="2"/>
      <x:c r="F4" s="2"/>
      <x:c r="G4" s="2"/>
      <x:c r="H4" s="2"/>
      <x:c r="I4" s="2"/>
      <x:c r="J4" s="2"/>
      <x:c r="K4" s="2"/>
      <x:c r="L4" s="2"/>
      <x:c r="M4" s="2"/>
      <x:c r="N4" s="2"/>
      <x:c r="O4" s="2"/>
      <x:c r="P4" s="2"/>
      <x:c r="Q4" s="2"/>
    </x:row>
    <x:row r="5" ht="23" customHeight="1">
      <x:c r="A5" s="2"/>
      <x:c r="B5" s="2"/>
      <x:c r="C5" s="2"/>
      <x:c r="D5" s="2"/>
      <x:c r="E5" s="2"/>
      <x:c r="F5" s="2"/>
      <x:c r="G5" s="2"/>
      <x:c r="H5" s="2"/>
      <x:c r="I5" s="2"/>
      <x:c r="J5" s="2"/>
      <x:c r="K5" s="2"/>
      <x:c r="L5" s="2"/>
      <x:c r="M5" s="2"/>
      <x:c r="N5" s="2"/>
      <x:c r="O5" s="2"/>
      <x:c r="P5" s="2"/>
      <x:c r="Q5" s="2"/>
    </x:row>
    <x:row r="6" ht="40" customHeight="1">
      <x:c r="A6" s="2"/>
      <x:c r="B6" s="2"/>
      <x:c r="C6" s="13" t="str">
        <x:v>Information available</x:v>
      </x:c>
      <x:c r="D6" s="13" t="str">
        <x:v>Case</x:v>
      </x:c>
      <x:c r="E6" s="13" t="str">
        <x:v>Forecast revenue</x:v>
      </x:c>
      <x:c r="F6" s="13" t="str">
        <x:v>Forecast profit</x:v>
      </x:c>
      <x:c r="G6" s="13" t="str">
        <x:v>Actual profit</x:v>
      </x:c>
      <x:c r="H6" s="13" t="str">
        <x:v>Actual less forecast</x:v>
      </x:c>
      <x:c r="I6" s="13" t="str">
        <x:v>Variance % of forecast</x:v>
      </x:c>
      <x:c r="J6" s="2"/>
      <x:c r="K6" s="2"/>
      <x:c r="L6" s="2"/>
      <x:c r="M6" s="2"/>
      <x:c r="N6" s="2"/>
      <x:c r="O6" s="2"/>
      <x:c r="P6" s="2"/>
      <x:c r="Q6" s="2"/>
    </x:row>
    <x:row r="7" ht="23" customHeight="1">
      <x:c r="A7" s="2"/>
      <x:c r="B7" s="2"/>
      <x:c r="C7" s="2" t="str">
        <x:v>March · history only</x:v>
      </x:c>
      <x:c r="D7" s="2" t="str">
        <x:v>Bear</x:v>
      </x:c>
      <x:c r="E7" s="20" t="n">
        <x:v>20471.22</x:v>
      </x:c>
      <x:c r="F7" s="20" t="n">
        <x:v>2866.3111675000005</x:v>
      </x:c>
      <x:c r="G7" s="20" t="n">
        <x:v>3044</x:v>
      </x:c>
      <x:c r="H7" s="9" t="n">
        <x:f>G7-F7</x:f>
        <x:v>177.68883249999953</x:v>
      </x:c>
      <x:c r="I7" s="8" t="n">
        <x:f>H7/ABS(F7)</x:f>
        <x:v>0.06199216418466524</x:v>
      </x:c>
      <x:c r="J7" s="2"/>
      <x:c r="K7" s="2"/>
      <x:c r="L7" s="2"/>
      <x:c r="M7" s="2"/>
      <x:c r="N7" s="2"/>
      <x:c r="O7" s="2"/>
      <x:c r="P7" s="2"/>
      <x:c r="Q7" s="2"/>
    </x:row>
    <x:row r="8" ht="23" customHeight="1">
      <x:c r="A8" s="2"/>
      <x:c r="B8" s="2"/>
      <x:c r="C8" s="2" t="str">
        <x:v>March · history only</x:v>
      </x:c>
      <x:c r="D8" s="2" t="str">
        <x:v>Base</x:v>
      </x:c>
      <x:c r="E8" s="20" t="n">
        <x:v>21202.335</x:v>
      </x:c>
      <x:c r="F8" s="20" t="n">
        <x:v>3799.6109599999995</x:v>
      </x:c>
      <x:c r="G8" s="20" t="n">
        <x:v>3044</x:v>
      </x:c>
      <x:c r="H8" s="9" t="n">
        <x:f>G8-F8</x:f>
        <x:v>-755.6109599999995</x:v>
      </x:c>
      <x:c r="I8" s="8" t="n">
        <x:f>H8/ABS(F8)</x:f>
        <x:v>-0.1988653490987929</x:v>
      </x:c>
      <x:c r="J8" s="2"/>
      <x:c r="K8" s="2"/>
      <x:c r="L8" s="2"/>
      <x:c r="M8" s="2"/>
      <x:c r="N8" s="2"/>
      <x:c r="O8" s="2"/>
      <x:c r="P8" s="2"/>
      <x:c r="Q8" s="2"/>
    </x:row>
    <x:row r="9" ht="23" customHeight="1">
      <x:c r="A9" s="2"/>
      <x:c r="B9" s="2"/>
      <x:c r="C9" s="2" t="str">
        <x:v>March · history only</x:v>
      </x:c>
      <x:c r="D9" s="2" t="str">
        <x:v>Bull</x:v>
      </x:c>
      <x:c r="E9" s="20" t="n">
        <x:v>21724.56</x:v>
      </x:c>
      <x:c r="F9" s="20" t="n">
        <x:v>4581.379100000001</x:v>
      </x:c>
      <x:c r="G9" s="20" t="n">
        <x:v>3044</x:v>
      </x:c>
      <x:c r="H9" s="9" t="n">
        <x:f>G9-F9</x:f>
        <x:v>-1537.379100000001</x:v>
      </x:c>
      <x:c r="I9" s="8" t="n">
        <x:f>H9/ABS(F9)</x:f>
        <x:v>-0.3355712475311202</x:v>
      </x:c>
      <x:c r="J9" s="2"/>
      <x:c r="K9" s="2"/>
      <x:c r="L9" s="2"/>
      <x:c r="M9" s="2"/>
      <x:c r="N9" s="2"/>
      <x:c r="O9" s="2"/>
      <x:c r="P9" s="2"/>
      <x:c r="Q9" s="2"/>
    </x:row>
    <x:row r="10" ht="23" customHeight="1">
      <x:c r="A10" s="2"/>
      <x:c r="B10" s="2"/>
      <x:c r="C10" s="2" t="str">
        <x:v>March · market informed</x:v>
      </x:c>
      <x:c r="D10" s="2" t="str">
        <x:v>Bear</x:v>
      </x:c>
      <x:c r="E10" s="20" t="n">
        <x:v>20366.774999999998</x:v>
      </x:c>
      <x:c r="F10" s="20" t="n">
        <x:v>2772.4151125000003</x:v>
      </x:c>
      <x:c r="G10" s="20" t="n">
        <x:v>3044</x:v>
      </x:c>
      <x:c r="H10" s="9" t="n">
        <x:f>G10-F10</x:f>
        <x:v>271.5848874999997</x:v>
      </x:c>
      <x:c r="I10" s="8" t="n">
        <x:f>H10/ABS(F10)</x:f>
        <x:v>0.0979596764840531</x:v>
      </x:c>
      <x:c r="J10" s="2"/>
      <x:c r="K10" s="2"/>
      <x:c r="L10" s="2"/>
      <x:c r="M10" s="2"/>
      <x:c r="N10" s="2"/>
      <x:c r="O10" s="2"/>
      <x:c r="P10" s="2"/>
      <x:c r="Q10" s="2"/>
    </x:row>
    <x:row r="11" ht="23" customHeight="1">
      <x:c r="A11" s="2"/>
      <x:c r="B11" s="2"/>
      <x:c r="C11" s="2" t="str">
        <x:v>March · market informed</x:v>
      </x:c>
      <x:c r="D11" s="2" t="str">
        <x:v>Base</x:v>
      </x:c>
      <x:c r="E11" s="20" t="n">
        <x:v>21202.335</x:v>
      </x:c>
      <x:c r="F11" s="20" t="n">
        <x:v>3799.6109599999995</x:v>
      </x:c>
      <x:c r="G11" s="20" t="n">
        <x:v>3044</x:v>
      </x:c>
      <x:c r="H11" s="9" t="n">
        <x:f>G11-F11</x:f>
        <x:v>-755.6109599999995</x:v>
      </x:c>
      <x:c r="I11" s="8" t="n">
        <x:f>H11/ABS(F11)</x:f>
        <x:v>-0.1988653490987929</x:v>
      </x:c>
      <x:c r="J11" s="2"/>
      <x:c r="K11" s="2"/>
      <x:c r="L11" s="2"/>
      <x:c r="M11" s="2"/>
      <x:c r="N11" s="2"/>
      <x:c r="O11" s="2"/>
      <x:c r="P11" s="2"/>
      <x:c r="Q11" s="2"/>
    </x:row>
    <x:row r="12" ht="23" customHeight="1">
      <x:c r="A12" s="2"/>
      <x:c r="B12" s="2"/>
      <x:c r="C12" s="2" t="str">
        <x:v>March · market informed</x:v>
      </x:c>
      <x:c r="D12" s="2" t="str">
        <x:v>Bull</x:v>
      </x:c>
      <x:c r="E12" s="20" t="n">
        <x:v>21724.56</x:v>
      </x:c>
      <x:c r="F12" s="20" t="n">
        <x:v>4581.379100000001</x:v>
      </x:c>
      <x:c r="G12" s="20" t="n">
        <x:v>3044</x:v>
      </x:c>
      <x:c r="H12" s="9" t="n">
        <x:f>G12-F12</x:f>
        <x:v>-1537.379100000001</x:v>
      </x:c>
      <x:c r="I12" s="8" t="n">
        <x:f>H12/ABS(F12)</x:f>
        <x:v>-0.3355712475311202</x:v>
      </x:c>
      <x:c r="J12" s="2"/>
      <x:c r="K12" s="2"/>
      <x:c r="L12" s="2"/>
      <x:c r="M12" s="2"/>
      <x:c r="N12" s="2"/>
      <x:c r="O12" s="2"/>
      <x:c r="P12" s="2"/>
      <x:c r="Q12" s="2"/>
    </x:row>
    <x:row r="13" ht="23" customHeight="1">
      <x:c r="A13" s="2"/>
      <x:c r="B13" s="2"/>
      <x:c r="C13" s="2" t="str">
        <x:v>May · history only</x:v>
      </x:c>
      <x:c r="D13" s="2" t="str">
        <x:v>Bear</x:v>
      </x:c>
      <x:c r="E13" s="20" t="n">
        <x:v>20889</x:v>
      </x:c>
      <x:c r="F13" s="20" t="n">
        <x:v>2845.2654999999995</x:v>
      </x:c>
      <x:c r="G13" s="20" t="n">
        <x:v>3044</x:v>
      </x:c>
      <x:c r="H13" s="9" t="n">
        <x:f>G13-F13</x:f>
        <x:v>198.73450000000048</x:v>
      </x:c>
      <x:c r="I13" s="8" t="n">
        <x:f>H13/ABS(F13)</x:f>
        <x:v>0.06984743603013516</x:v>
      </x:c>
      <x:c r="J13" s="2"/>
      <x:c r="K13" s="2"/>
      <x:c r="L13" s="2"/>
      <x:c r="M13" s="2"/>
      <x:c r="N13" s="2"/>
      <x:c r="O13" s="2"/>
      <x:c r="P13" s="2"/>
      <x:c r="Q13" s="2"/>
    </x:row>
    <x:row r="14" ht="23" customHeight="1">
      <x:c r="A14" s="2"/>
      <x:c r="B14" s="2"/>
      <x:c r="C14" s="2" t="str">
        <x:v>May · history only</x:v>
      </x:c>
      <x:c r="D14" s="2" t="str">
        <x:v>Base</x:v>
      </x:c>
      <x:c r="E14" s="20" t="n">
        <x:v>21724.56</x:v>
      </x:c>
      <x:c r="F14" s="20" t="n">
        <x:v>3693.6232416000003</x:v>
      </x:c>
      <x:c r="G14" s="20" t="n">
        <x:v>3044</x:v>
      </x:c>
      <x:c r="H14" s="9" t="n">
        <x:f>G14-F14</x:f>
        <x:v>-649.6232416000003</x:v>
      </x:c>
      <x:c r="I14" s="8" t="n">
        <x:f>H14/ABS(F14)</x:f>
        <x:v>-0.175876963920824</x:v>
      </x:c>
      <x:c r="J14" s="2"/>
      <x:c r="K14" s="2"/>
      <x:c r="L14" s="2"/>
      <x:c r="M14" s="2"/>
      <x:c r="N14" s="2"/>
      <x:c r="O14" s="2"/>
      <x:c r="P14" s="2"/>
      <x:c r="Q14" s="2"/>
    </x:row>
    <x:row r="15" ht="23" customHeight="1">
      <x:c r="A15" s="2"/>
      <x:c r="B15" s="2"/>
      <x:c r="C15" s="2" t="str">
        <x:v>May · history only</x:v>
      </x:c>
      <x:c r="D15" s="2" t="str">
        <x:v>Bull</x:v>
      </x:c>
      <x:c r="E15" s="20" t="n">
        <x:v>22351.23</x:v>
      </x:c>
      <x:c r="F15" s="20" t="n">
        <x:v>4487.556630499999</x:v>
      </x:c>
      <x:c r="G15" s="20" t="n">
        <x:v>3044</x:v>
      </x:c>
      <x:c r="H15" s="9" t="n">
        <x:f>G15-F15</x:f>
        <x:v>-1443.5566304999993</x:v>
      </x:c>
      <x:c r="I15" s="8" t="n">
        <x:f>H15/ABS(F15)</x:f>
        <x:v>-0.3216798693277236</x:v>
      </x:c>
      <x:c r="J15" s="2"/>
      <x:c r="K15" s="2"/>
      <x:c r="L15" s="2"/>
      <x:c r="M15" s="2"/>
      <x:c r="N15" s="2"/>
      <x:c r="O15" s="2"/>
      <x:c r="P15" s="2"/>
      <x:c r="Q15" s="2"/>
    </x:row>
    <x:row r="16" ht="23" customHeight="1">
      <x:c r="A16" s="2"/>
      <x:c r="B16" s="2"/>
      <x:c r="C16" s="2" t="str">
        <x:v>May · market informed</x:v>
      </x:c>
      <x:c r="D16" s="2" t="str">
        <x:v>Bear</x:v>
      </x:c>
      <x:c r="E16" s="20" t="n">
        <x:v>20889</x:v>
      </x:c>
      <x:c r="F16" s="20" t="n">
        <x:v>2715.7537</x:v>
      </x:c>
      <x:c r="G16" s="20" t="n">
        <x:v>3044</x:v>
      </x:c>
      <x:c r="H16" s="9" t="n">
        <x:f>G16-F16</x:f>
        <x:v>328.2462999999998</x:v>
      </x:c>
      <x:c r="I16" s="8" t="n">
        <x:f>H16/ABS(F16)</x:f>
        <x:v>0.12086747778342335</x:v>
      </x:c>
      <x:c r="J16" s="2"/>
      <x:c r="K16" s="2"/>
      <x:c r="L16" s="2"/>
      <x:c r="M16" s="2"/>
      <x:c r="N16" s="2"/>
      <x:c r="O16" s="2"/>
      <x:c r="P16" s="2"/>
      <x:c r="Q16" s="2"/>
    </x:row>
    <x:row r="17" ht="23" customHeight="1">
      <x:c r="A17" s="2"/>
      <x:c r="B17" s="2"/>
      <x:c r="C17" s="2" t="str">
        <x:v>May · market informed</x:v>
      </x:c>
      <x:c r="D17" s="2" t="str">
        <x:v>Base</x:v>
      </x:c>
      <x:c r="E17" s="20" t="n">
        <x:v>21724.56</x:v>
      </x:c>
      <x:c r="F17" s="20" t="n">
        <x:v>3624.5391408</x:v>
      </x:c>
      <x:c r="G17" s="20" t="n">
        <x:v>3044</x:v>
      </x:c>
      <x:c r="H17" s="9" t="n">
        <x:f>G17-F17</x:f>
        <x:v>-580.5391408</x:v>
      </x:c>
      <x:c r="I17" s="8" t="n">
        <x:f>H17/ABS(F17)</x:f>
        <x:v>-0.16016909136532728</x:v>
      </x:c>
      <x:c r="J17" s="2"/>
      <x:c r="K17" s="2"/>
      <x:c r="L17" s="2"/>
      <x:c r="M17" s="2"/>
      <x:c r="N17" s="2"/>
      <x:c r="O17" s="2"/>
      <x:c r="P17" s="2"/>
      <x:c r="Q17" s="2"/>
    </x:row>
    <x:row r="18" ht="23" customHeight="1">
      <x:c r="A18" s="2"/>
      <x:c r="B18" s="2"/>
      <x:c r="C18" s="2" t="str">
        <x:v>May · market informed</x:v>
      </x:c>
      <x:c r="D18" s="2" t="str">
        <x:v>Bull</x:v>
      </x:c>
      <x:c r="E18" s="20" t="n">
        <x:v>22351.23</x:v>
      </x:c>
      <x:c r="F18" s="20" t="n">
        <x:v>4451.3476379</x:v>
      </x:c>
      <x:c r="G18" s="20" t="n">
        <x:v>3044</x:v>
      </x:c>
      <x:c r="H18" s="9" t="n">
        <x:f>G18-F18</x:f>
        <x:v>-1407.3476379000003</x:v>
      </x:c>
      <x:c r="I18" s="8" t="n">
        <x:f>H18/ABS(F18)</x:f>
        <x:v>-0.31616214961901756</x:v>
      </x:c>
      <x:c r="J18" s="2"/>
      <x:c r="K18" s="2"/>
      <x:c r="L18" s="2"/>
      <x:c r="M18" s="2"/>
      <x:c r="N18" s="2"/>
      <x:c r="O18" s="2"/>
      <x:c r="P18" s="2"/>
      <x:c r="Q18" s="2"/>
    </x:row>
    <x:row r="19" ht="23" customHeight="1">
      <x:c r="A19" s="2"/>
      <x:c r="B19" s="2"/>
      <x:c r="C19" s="2"/>
      <x:c r="D19" s="2"/>
      <x:c r="E19" s="2"/>
      <x:c r="F19" s="2"/>
      <x:c r="G19" s="2"/>
      <x:c r="H19" s="2"/>
      <x:c r="I19" s="2"/>
      <x:c r="J19" s="2"/>
      <x:c r="K19" s="2"/>
      <x:c r="L19" s="2"/>
      <x:c r="M19" s="2"/>
      <x:c r="N19" s="2"/>
      <x:c r="O19" s="2"/>
      <x:c r="P19" s="2"/>
      <x:c r="Q19" s="2"/>
    </x:row>
    <x:row r="20" ht="23" customHeight="1">
      <x:c r="A20" s="2"/>
      <x:c r="B20" s="2"/>
      <x:c r="C20" s="2"/>
      <x:c r="D20" s="2"/>
      <x:c r="E20" s="2"/>
      <x:c r="F20" s="2"/>
      <x:c r="G20" s="2"/>
      <x:c r="H20" s="2"/>
      <x:c r="I20" s="2"/>
      <x:c r="J20" s="2"/>
      <x:c r="K20" s="2"/>
      <x:c r="L20" s="2"/>
      <x:c r="M20" s="2"/>
      <x:c r="N20" s="2"/>
      <x:c r="O20" s="2"/>
      <x:c r="P20" s="2"/>
      <x:c r="Q20" s="2"/>
    </x:row>
    <x:row r="21" ht="23" customHeight="1">
      <x:c r="A21" s="2"/>
      <x:c r="B21" s="2"/>
      <x:c r="C21" s="2" t="str">
        <x:v>These forecasts were frozen before actuals entered the model; rerun workflow to create a new vintage.</x:v>
      </x:c>
      <x:c r="D21" s="2"/>
      <x:c r="E21" s="2"/>
      <x:c r="F21" s="2"/>
      <x:c r="G21" s="2"/>
      <x:c r="H21" s="2"/>
      <x:c r="I21" s="2"/>
      <x:c r="J21" s="2"/>
      <x:c r="K21" s="2"/>
      <x:c r="L21" s="2"/>
      <x:c r="M21" s="2"/>
      <x:c r="N21" s="2"/>
      <x:c r="O21" s="2"/>
      <x:c r="P21" s="2"/>
      <x:c r="Q21" s="2"/>
    </x:row>
    <x:row r="22" ht="23" customHeight="1">
      <x:c r="A22" s="2"/>
      <x:c r="B22" s="2"/>
      <x:c r="C22" s="2"/>
      <x:c r="D22" s="2"/>
      <x:c r="E22" s="2"/>
      <x:c r="F22" s="2"/>
      <x:c r="G22" s="2"/>
      <x:c r="H22" s="2"/>
      <x:c r="I22" s="2"/>
      <x:c r="J22" s="2"/>
      <x:c r="K22" s="2"/>
      <x:c r="L22" s="2"/>
      <x:c r="M22" s="2"/>
      <x:c r="N22" s="2"/>
      <x:c r="O22" s="2"/>
      <x:c r="P22" s="2"/>
      <x:c r="Q22" s="2"/>
    </x:row>
    <x:row r="23" ht="23" customHeight="1">
      <x:c r="A23" s="2"/>
      <x:c r="B23" s="2"/>
      <x:c r="C23" s="2"/>
      <x:c r="D23" s="2"/>
      <x:c r="E23" s="2"/>
      <x:c r="F23" s="2"/>
      <x:c r="G23" s="2"/>
      <x:c r="H23" s="2"/>
      <x:c r="I23" s="2"/>
      <x:c r="J23" s="2"/>
      <x:c r="K23" s="2"/>
      <x:c r="L23" s="2"/>
      <x:c r="M23" s="2"/>
      <x:c r="N23" s="2"/>
      <x:c r="O23" s="2"/>
      <x:c r="P23" s="2"/>
      <x:c r="Q23" s="2"/>
    </x:row>
    <x:row r="24" ht="23" customHeight="1">
      <x:c r="A24" s="2"/>
      <x:c r="B24" s="2"/>
      <x:c r="C24" s="2"/>
      <x:c r="D24" s="2"/>
      <x:c r="E24" s="2"/>
      <x:c r="F24" s="2"/>
      <x:c r="G24" s="2"/>
      <x:c r="H24" s="2"/>
      <x:c r="I24" s="2"/>
      <x:c r="J24" s="2"/>
      <x:c r="K24" s="2"/>
      <x:c r="L24" s="2"/>
      <x:c r="M24" s="2"/>
      <x:c r="N24" s="2"/>
      <x:c r="O24" s="2"/>
      <x:c r="P24" s="2"/>
      <x:c r="Q24" s="2"/>
    </x:row>
    <x:row r="25" ht="23" customHeight="1">
      <x:c r="A25" s="2"/>
      <x:c r="B25" s="2"/>
      <x:c r="C25" s="2"/>
      <x:c r="D25" s="2"/>
      <x:c r="E25" s="2"/>
      <x:c r="F25" s="2"/>
      <x:c r="G25" s="2"/>
      <x:c r="H25" s="2"/>
      <x:c r="I25" s="2"/>
      <x:c r="J25" s="2"/>
      <x:c r="K25" s="2"/>
      <x:c r="L25" s="2"/>
      <x:c r="M25" s="2"/>
      <x:c r="N25" s="2"/>
      <x:c r="O25" s="2"/>
      <x:c r="P25" s="2"/>
      <x:c r="Q25" s="2"/>
    </x:row>
    <x:row r="26" ht="23" customHeight="1">
      <x:c r="A26" s="2"/>
      <x:c r="B26" s="2"/>
      <x:c r="C26" s="2"/>
      <x:c r="D26" s="2"/>
      <x:c r="E26" s="2"/>
      <x:c r="F26" s="2"/>
      <x:c r="G26" s="2"/>
      <x:c r="H26" s="2"/>
      <x:c r="I26" s="2"/>
      <x:c r="J26" s="2"/>
      <x:c r="K26" s="2"/>
      <x:c r="L26" s="2"/>
      <x:c r="M26" s="2"/>
      <x:c r="N26" s="2"/>
      <x:c r="O26" s="2"/>
      <x:c r="P26" s="2"/>
      <x:c r="Q26" s="2"/>
    </x:row>
    <x:row r="27" ht="23" customHeight="1">
      <x:c r="A27" s="2"/>
      <x:c r="B27" s="2"/>
      <x:c r="C27" s="2"/>
      <x:c r="D27" s="2"/>
      <x:c r="E27" s="2"/>
      <x:c r="F27" s="2"/>
      <x:c r="G27" s="2"/>
      <x:c r="H27" s="2"/>
      <x:c r="I27" s="2"/>
      <x:c r="J27" s="2"/>
      <x:c r="K27" s="2"/>
      <x:c r="L27" s="2"/>
      <x:c r="M27" s="2"/>
      <x:c r="N27" s="2"/>
      <x:c r="O27" s="2"/>
      <x:c r="P27" s="2"/>
      <x:c r="Q27" s="2"/>
    </x:row>
    <x:row r="28" ht="23" customHeight="1">
      <x:c r="A28" s="2"/>
      <x:c r="B28" s="2"/>
      <x:c r="C28" s="2"/>
      <x:c r="D28" s="2"/>
      <x:c r="E28" s="2"/>
      <x:c r="F28" s="2"/>
      <x:c r="G28" s="2"/>
      <x:c r="H28" s="2"/>
      <x:c r="I28" s="2"/>
      <x:c r="J28" s="2"/>
      <x:c r="K28" s="2"/>
      <x:c r="L28" s="2"/>
      <x:c r="M28" s="2"/>
      <x:c r="N28" s="2"/>
      <x:c r="O28" s="2"/>
      <x:c r="P28" s="2"/>
      <x:c r="Q28" s="2"/>
    </x:row>
    <x:row r="29" ht="23" customHeight="1">
      <x:c r="A29" s="2"/>
      <x:c r="B29" s="2"/>
      <x:c r="C29" s="2"/>
      <x:c r="D29" s="2"/>
      <x:c r="E29" s="2"/>
      <x:c r="F29" s="2"/>
      <x:c r="G29" s="2"/>
      <x:c r="H29" s="2"/>
      <x:c r="I29" s="2"/>
      <x:c r="J29" s="2"/>
      <x:c r="K29" s="2"/>
      <x:c r="L29" s="2"/>
      <x:c r="M29" s="2"/>
      <x:c r="N29" s="2"/>
      <x:c r="O29" s="2"/>
      <x:c r="P29" s="2"/>
      <x:c r="Q29" s="2"/>
    </x:row>
    <x:row r="30" ht="23" customHeight="1">
      <x:c r="A30" s="2"/>
      <x:c r="B30" s="2"/>
      <x:c r="C30" s="2"/>
      <x:c r="D30" s="2"/>
      <x:c r="E30" s="2"/>
      <x:c r="F30" s="2"/>
      <x:c r="G30" s="2"/>
      <x:c r="H30" s="2"/>
      <x:c r="I30" s="2"/>
      <x:c r="J30" s="2"/>
      <x:c r="K30" s="2"/>
      <x:c r="L30" s="2"/>
      <x:c r="M30" s="2"/>
      <x:c r="N30" s="2"/>
      <x:c r="O30" s="2"/>
      <x:c r="P30" s="2"/>
      <x:c r="Q30" s="2"/>
    </x:row>
    <x:row r="31" ht="23" customHeight="1">
      <x:c r="A31" s="2"/>
      <x:c r="B31" s="2"/>
      <x:c r="C31" s="2"/>
      <x:c r="D31" s="2"/>
      <x:c r="E31" s="2"/>
      <x:c r="F31" s="2"/>
      <x:c r="G31" s="2"/>
      <x:c r="H31" s="2"/>
      <x:c r="I31" s="2"/>
      <x:c r="J31" s="2"/>
      <x:c r="K31" s="2"/>
      <x:c r="L31" s="2"/>
      <x:c r="M31" s="2"/>
      <x:c r="N31" s="2"/>
      <x:c r="O31" s="2"/>
      <x:c r="P31" s="2"/>
      <x:c r="Q31" s="2"/>
    </x:row>
    <x:row r="32" ht="23" customHeight="1">
      <x:c r="A32" s="2"/>
      <x:c r="B32" s="2"/>
      <x:c r="C32" s="2"/>
      <x:c r="D32" s="2"/>
      <x:c r="E32" s="2"/>
      <x:c r="F32" s="2"/>
      <x:c r="G32" s="2"/>
      <x:c r="H32" s="2"/>
      <x:c r="I32" s="2"/>
      <x:c r="J32" s="2"/>
      <x:c r="K32" s="2"/>
      <x:c r="L32" s="2"/>
      <x:c r="M32" s="2"/>
      <x:c r="N32" s="2"/>
      <x:c r="O32" s="2"/>
      <x:c r="P32" s="2"/>
      <x:c r="Q32" s="2"/>
    </x:row>
    <x:row r="33" ht="23" customHeight="1">
      <x:c r="A33" s="2"/>
      <x:c r="B33" s="2"/>
      <x:c r="C33" s="2"/>
      <x:c r="D33" s="2"/>
      <x:c r="E33" s="2"/>
      <x:c r="F33" s="2"/>
      <x:c r="G33" s="2"/>
      <x:c r="H33" s="2"/>
      <x:c r="I33" s="2"/>
      <x:c r="J33" s="2"/>
      <x:c r="K33" s="2"/>
      <x:c r="L33" s="2"/>
      <x:c r="M33" s="2"/>
      <x:c r="N33" s="2"/>
      <x:c r="O33" s="2"/>
      <x:c r="P33" s="2"/>
      <x:c r="Q33" s="2"/>
    </x:row>
    <x:row r="34" ht="23" customHeight="1">
      <x:c r="A34" s="2"/>
      <x:c r="B34" s="2"/>
      <x:c r="C34" s="2"/>
      <x:c r="D34" s="2"/>
      <x:c r="E34" s="2"/>
      <x:c r="F34" s="2"/>
      <x:c r="G34" s="2"/>
      <x:c r="H34" s="2"/>
      <x:c r="I34" s="2"/>
      <x:c r="J34" s="2"/>
      <x:c r="K34" s="2"/>
      <x:c r="L34" s="2"/>
      <x:c r="M34" s="2"/>
      <x:c r="N34" s="2"/>
      <x:c r="O34" s="2"/>
      <x:c r="P34" s="2"/>
      <x:c r="Q34" s="2"/>
    </x:row>
    <x:row r="35" ht="23" customHeight="1">
      <x:c r="A35" s="2"/>
      <x:c r="B35" s="2"/>
      <x:c r="C35" s="2"/>
      <x:c r="D35" s="2"/>
      <x:c r="E35" s="2"/>
      <x:c r="F35" s="2"/>
      <x:c r="G35" s="2"/>
      <x:c r="H35" s="2"/>
      <x:c r="I35" s="2"/>
      <x:c r="J35" s="2"/>
      <x:c r="K35" s="2"/>
      <x:c r="L35" s="2"/>
      <x:c r="M35" s="2"/>
      <x:c r="N35" s="2"/>
      <x:c r="O35" s="2"/>
      <x:c r="P35" s="2"/>
      <x:c r="Q35" s="2"/>
    </x:row>
    <x:row r="36" ht="23" customHeight="1">
      <x:c r="A36" s="2"/>
      <x:c r="B36" s="2"/>
      <x:c r="C36" s="2"/>
      <x:c r="D36" s="2"/>
      <x:c r="E36" s="2"/>
      <x:c r="F36" s="2"/>
      <x:c r="G36" s="2"/>
      <x:c r="H36" s="2"/>
      <x:c r="I36" s="2"/>
      <x:c r="J36" s="2"/>
      <x:c r="K36" s="2"/>
      <x:c r="L36" s="2"/>
      <x:c r="M36" s="2"/>
      <x:c r="N36" s="2"/>
      <x:c r="O36" s="2"/>
      <x:c r="P36" s="2"/>
      <x:c r="Q36" s="2"/>
    </x:row>
    <x:row r="37" ht="23" customHeight="1">
      <x:c r="A37" s="2"/>
      <x:c r="B37" s="2"/>
      <x:c r="C37" s="2"/>
      <x:c r="D37" s="2"/>
      <x:c r="E37" s="2"/>
      <x:c r="F37" s="2"/>
      <x:c r="G37" s="2"/>
      <x:c r="H37" s="2"/>
      <x:c r="I37" s="2"/>
      <x:c r="J37" s="2"/>
      <x:c r="K37" s="2"/>
      <x:c r="L37" s="2"/>
      <x:c r="M37" s="2"/>
      <x:c r="N37" s="2"/>
      <x:c r="O37" s="2"/>
      <x:c r="P37" s="2"/>
      <x:c r="Q37" s="2"/>
    </x:row>
    <x:row r="38" ht="23" customHeight="1">
      <x:c r="A38" s="2"/>
      <x:c r="B38" s="2"/>
      <x:c r="C38" s="2"/>
      <x:c r="D38" s="2"/>
      <x:c r="E38" s="2"/>
      <x:c r="F38" s="2"/>
      <x:c r="G38" s="2"/>
      <x:c r="H38" s="2"/>
      <x:c r="I38" s="2"/>
      <x:c r="J38" s="2"/>
      <x:c r="K38" s="2"/>
      <x:c r="L38" s="2"/>
      <x:c r="M38" s="2"/>
      <x:c r="N38" s="2"/>
      <x:c r="O38" s="2"/>
      <x:c r="P38" s="2"/>
      <x:c r="Q38" s="2"/>
    </x:row>
    <x:row r="39" ht="23" customHeight="1">
      <x:c r="A39" s="2"/>
      <x:c r="B39" s="2"/>
      <x:c r="C39" s="2"/>
      <x:c r="D39" s="2"/>
      <x:c r="E39" s="2"/>
      <x:c r="F39" s="2"/>
      <x:c r="G39" s="2"/>
      <x:c r="H39" s="2"/>
      <x:c r="I39" s="2"/>
      <x:c r="J39" s="2"/>
      <x:c r="K39" s="2"/>
      <x:c r="L39" s="2"/>
      <x:c r="M39" s="2"/>
      <x:c r="N39" s="2"/>
      <x:c r="O39" s="2"/>
      <x:c r="P39" s="2"/>
      <x:c r="Q39" s="2"/>
    </x:row>
    <x:row r="40" ht="23" customHeight="1">
      <x:c r="A40" s="2"/>
      <x:c r="B40" s="2"/>
      <x:c r="C40" s="2"/>
      <x:c r="D40" s="2"/>
      <x:c r="E40" s="2"/>
      <x:c r="F40" s="2"/>
      <x:c r="G40" s="2"/>
      <x:c r="H40" s="2"/>
      <x:c r="I40" s="2"/>
      <x:c r="J40" s="2"/>
      <x:c r="K40" s="2"/>
      <x:c r="L40" s="2"/>
      <x:c r="M40" s="2"/>
      <x:c r="N40" s="2"/>
      <x:c r="O40" s="2"/>
      <x:c r="P40" s="2"/>
      <x:c r="Q40" s="2"/>
    </x:row>
    <x:row r="41" ht="23" customHeight="1">
      <x:c r="A41" s="2"/>
      <x:c r="B41" s="2"/>
      <x:c r="C41" s="2"/>
      <x:c r="D41" s="2"/>
      <x:c r="E41" s="2"/>
      <x:c r="F41" s="2"/>
      <x:c r="G41" s="2"/>
      <x:c r="H41" s="2"/>
      <x:c r="I41" s="2"/>
      <x:c r="J41" s="2"/>
      <x:c r="K41" s="2"/>
      <x:c r="L41" s="2"/>
      <x:c r="M41" s="2"/>
      <x:c r="N41" s="2"/>
      <x:c r="O41" s="2"/>
      <x:c r="P41" s="2"/>
      <x:c r="Q41" s="2"/>
    </x:row>
    <x:row r="42" ht="23" customHeight="1">
      <x:c r="A42" s="2"/>
      <x:c r="B42" s="2"/>
      <x:c r="C42" s="2"/>
      <x:c r="D42" s="2"/>
      <x:c r="E42" s="2"/>
      <x:c r="F42" s="2"/>
      <x:c r="G42" s="2"/>
      <x:c r="H42" s="2"/>
      <x:c r="I42" s="2"/>
      <x:c r="J42" s="2"/>
      <x:c r="K42" s="2"/>
      <x:c r="L42" s="2"/>
      <x:c r="M42" s="2"/>
      <x:c r="N42" s="2"/>
      <x:c r="O42" s="2"/>
      <x:c r="P42" s="2"/>
      <x:c r="Q42" s="2"/>
    </x:row>
    <x:row r="43" ht="23" customHeight="1">
      <x:c r="A43" s="2"/>
      <x:c r="B43" s="2"/>
      <x:c r="C43" s="2"/>
      <x:c r="D43" s="2"/>
      <x:c r="E43" s="2"/>
      <x:c r="F43" s="2"/>
      <x:c r="G43" s="2"/>
      <x:c r="H43" s="2"/>
      <x:c r="I43" s="2"/>
      <x:c r="J43" s="2"/>
      <x:c r="K43" s="2"/>
      <x:c r="L43" s="2"/>
      <x:c r="M43" s="2"/>
      <x:c r="N43" s="2"/>
      <x:c r="O43" s="2"/>
      <x:c r="P43" s="2"/>
      <x:c r="Q43" s="2"/>
    </x:row>
    <x:row r="44" ht="23" customHeight="1">
      <x:c r="A44" s="2"/>
      <x:c r="B44" s="2"/>
      <x:c r="C44" s="2"/>
      <x:c r="D44" s="2"/>
      <x:c r="E44" s="2"/>
      <x:c r="F44" s="2"/>
      <x:c r="G44" s="2"/>
      <x:c r="H44" s="2"/>
      <x:c r="I44" s="2"/>
      <x:c r="J44" s="2"/>
      <x:c r="K44" s="2"/>
      <x:c r="L44" s="2"/>
      <x:c r="M44" s="2"/>
      <x:c r="N44" s="2"/>
      <x:c r="O44" s="2"/>
      <x:c r="P44" s="2"/>
      <x:c r="Q44" s="2"/>
    </x:row>
    <x:row r="45" ht="23" customHeight="1">
      <x:c r="A45" s="2"/>
      <x:c r="B45" s="2"/>
      <x:c r="C45" s="2"/>
      <x:c r="D45" s="2"/>
      <x:c r="E45" s="2"/>
      <x:c r="F45" s="2"/>
      <x:c r="G45" s="2"/>
      <x:c r="H45" s="2"/>
      <x:c r="I45" s="2"/>
      <x:c r="J45" s="2"/>
      <x:c r="K45" s="2"/>
      <x:c r="L45" s="2"/>
      <x:c r="M45" s="2"/>
      <x:c r="N45" s="2"/>
      <x:c r="O45" s="2"/>
      <x:c r="P45" s="2"/>
      <x:c r="Q45" s="2"/>
    </x:row>
    <x:row r="46" ht="23" customHeight="1">
      <x:c r="A46" s="2"/>
      <x:c r="B46" s="2"/>
      <x:c r="C46" s="2"/>
      <x:c r="D46" s="2"/>
      <x:c r="E46" s="2"/>
      <x:c r="F46" s="2"/>
      <x:c r="G46" s="2"/>
      <x:c r="H46" s="2"/>
      <x:c r="I46" s="2"/>
      <x:c r="J46" s="2"/>
      <x:c r="K46" s="2"/>
      <x:c r="L46" s="2"/>
      <x:c r="M46" s="2"/>
      <x:c r="N46" s="2"/>
      <x:c r="O46" s="2"/>
      <x:c r="P46" s="2"/>
      <x:c r="Q46" s="2"/>
    </x:row>
    <x:row r="47" ht="23" customHeight="1">
      <x:c r="A47" s="2"/>
      <x:c r="B47" s="2"/>
      <x:c r="C47" s="2"/>
      <x:c r="D47" s="2"/>
      <x:c r="E47" s="2"/>
      <x:c r="F47" s="2"/>
      <x:c r="G47" s="2"/>
      <x:c r="H47" s="2"/>
      <x:c r="I47" s="2"/>
      <x:c r="J47" s="2"/>
      <x:c r="K47" s="2"/>
      <x:c r="L47" s="2"/>
      <x:c r="M47" s="2"/>
      <x:c r="N47" s="2"/>
      <x:c r="O47" s="2"/>
      <x:c r="P47" s="2"/>
      <x:c r="Q47" s="2"/>
    </x:row>
    <x:row r="48" ht="23" customHeight="1">
      <x:c r="A48" s="2"/>
      <x:c r="B48" s="2"/>
      <x:c r="C48" s="2"/>
      <x:c r="D48" s="2"/>
      <x:c r="E48" s="2"/>
      <x:c r="F48" s="2"/>
      <x:c r="G48" s="2"/>
      <x:c r="H48" s="2"/>
      <x:c r="I48" s="2"/>
      <x:c r="J48" s="2"/>
      <x:c r="K48" s="2"/>
      <x:c r="L48" s="2"/>
      <x:c r="M48" s="2"/>
      <x:c r="N48" s="2"/>
      <x:c r="O48" s="2"/>
      <x:c r="P48" s="2"/>
      <x:c r="Q48" s="2"/>
    </x:row>
    <x:row r="49" ht="23" customHeight="1">
      <x:c r="A49" s="2"/>
      <x:c r="B49" s="2"/>
      <x:c r="C49" s="2"/>
      <x:c r="D49" s="2"/>
      <x:c r="E49" s="2"/>
      <x:c r="F49" s="2"/>
      <x:c r="G49" s="2"/>
      <x:c r="H49" s="2"/>
      <x:c r="I49" s="2"/>
      <x:c r="J49" s="2"/>
      <x:c r="K49" s="2"/>
      <x:c r="L49" s="2"/>
      <x:c r="M49" s="2"/>
      <x:c r="N49" s="2"/>
      <x:c r="O49" s="2"/>
      <x:c r="P49" s="2"/>
      <x:c r="Q49" s="2"/>
    </x:row>
    <x:row r="50" ht="23" customHeight="1">
      <x:c r="A50" s="2"/>
      <x:c r="B50" s="2"/>
      <x:c r="C50" s="2"/>
      <x:c r="D50" s="2"/>
      <x:c r="E50" s="2"/>
      <x:c r="F50" s="2"/>
      <x:c r="G50" s="2"/>
      <x:c r="H50" s="2"/>
      <x:c r="I50" s="2"/>
      <x:c r="J50" s="2"/>
      <x:c r="K50" s="2"/>
      <x:c r="L50" s="2"/>
      <x:c r="M50" s="2"/>
      <x:c r="N50" s="2"/>
      <x:c r="O50" s="2"/>
      <x:c r="P50" s="2"/>
      <x:c r="Q50" s="2"/>
    </x:row>
    <x:row r="51" ht="23" customHeight="1">
      <x:c r="A51" s="2"/>
      <x:c r="B51" s="2"/>
      <x:c r="C51" s="2"/>
      <x:c r="D51" s="2"/>
      <x:c r="E51" s="2"/>
      <x:c r="F51" s="2"/>
      <x:c r="G51" s="2"/>
      <x:c r="H51" s="2"/>
      <x:c r="I51" s="2"/>
      <x:c r="J51" s="2"/>
      <x:c r="K51" s="2"/>
      <x:c r="L51" s="2"/>
      <x:c r="M51" s="2"/>
      <x:c r="N51" s="2"/>
      <x:c r="O51" s="2"/>
      <x:c r="P51" s="2"/>
      <x:c r="Q51" s="2"/>
    </x:row>
    <x:row r="52" ht="23" customHeight="1">
      <x:c r="A52" s="2"/>
      <x:c r="B52" s="2"/>
      <x:c r="C52" s="2"/>
      <x:c r="D52" s="2"/>
      <x:c r="E52" s="2"/>
      <x:c r="F52" s="2"/>
      <x:c r="G52" s="2"/>
      <x:c r="H52" s="2"/>
      <x:c r="I52" s="2"/>
      <x:c r="J52" s="2"/>
      <x:c r="K52" s="2"/>
      <x:c r="L52" s="2"/>
      <x:c r="M52" s="2"/>
      <x:c r="N52" s="2"/>
      <x:c r="O52" s="2"/>
      <x:c r="P52" s="2"/>
      <x:c r="Q52" s="2"/>
    </x:row>
    <x:row r="53" ht="23" customHeight="1">
      <x:c r="A53" s="2"/>
      <x:c r="B53" s="2"/>
      <x:c r="C53" s="2"/>
      <x:c r="D53" s="2"/>
      <x:c r="E53" s="2"/>
      <x:c r="F53" s="2"/>
      <x:c r="G53" s="2"/>
      <x:c r="H53" s="2"/>
      <x:c r="I53" s="2"/>
      <x:c r="J53" s="2"/>
      <x:c r="K53" s="2"/>
      <x:c r="L53" s="2"/>
      <x:c r="M53" s="2"/>
      <x:c r="N53" s="2"/>
      <x:c r="O53" s="2"/>
      <x:c r="P53" s="2"/>
      <x:c r="Q53" s="2"/>
    </x:row>
    <x:row r="54" ht="23" customHeight="1">
      <x:c r="A54" s="2"/>
      <x:c r="B54" s="2"/>
      <x:c r="C54" s="2"/>
      <x:c r="D54" s="2"/>
      <x:c r="E54" s="2"/>
      <x:c r="F54" s="2"/>
      <x:c r="G54" s="2"/>
      <x:c r="H54" s="2"/>
      <x:c r="I54" s="2"/>
      <x:c r="J54" s="2"/>
      <x:c r="K54" s="2"/>
      <x:c r="L54" s="2"/>
      <x:c r="M54" s="2"/>
      <x:c r="N54" s="2"/>
      <x:c r="O54" s="2"/>
      <x:c r="P54" s="2"/>
      <x:c r="Q54" s="2"/>
    </x:row>
    <x:row r="55" ht="23" customHeight="1">
      <x:c r="A55" s="2"/>
      <x:c r="B55" s="2"/>
      <x:c r="C55" s="2"/>
      <x:c r="D55" s="2"/>
      <x:c r="E55" s="2"/>
      <x:c r="F55" s="2"/>
      <x:c r="G55" s="2"/>
      <x:c r="H55" s="2"/>
      <x:c r="I55" s="2"/>
      <x:c r="J55" s="2"/>
      <x:c r="K55" s="2"/>
      <x:c r="L55" s="2"/>
      <x:c r="M55" s="2"/>
      <x:c r="N55" s="2"/>
      <x:c r="O55" s="2"/>
      <x:c r="P55" s="2"/>
      <x:c r="Q55" s="2"/>
    </x:row>
    <x:row r="56" ht="23" customHeight="1">
      <x:c r="A56" s="2"/>
      <x:c r="B56" s="2"/>
      <x:c r="C56" s="2"/>
      <x:c r="D56" s="2"/>
      <x:c r="E56" s="2"/>
      <x:c r="F56" s="2"/>
      <x:c r="G56" s="2"/>
      <x:c r="H56" s="2"/>
      <x:c r="I56" s="2"/>
      <x:c r="J56" s="2"/>
      <x:c r="K56" s="2"/>
      <x:c r="L56" s="2"/>
      <x:c r="M56" s="2"/>
      <x:c r="N56" s="2"/>
      <x:c r="O56" s="2"/>
      <x:c r="P56" s="2"/>
      <x:c r="Q56" s="2"/>
    </x:row>
    <x:row r="57" ht="23" customHeight="1">
      <x:c r="A57" s="2"/>
      <x:c r="B57" s="2"/>
      <x:c r="C57" s="2"/>
      <x:c r="D57" s="2"/>
      <x:c r="E57" s="2"/>
      <x:c r="F57" s="2"/>
      <x:c r="G57" s="2"/>
      <x:c r="H57" s="2"/>
      <x:c r="I57" s="2"/>
      <x:c r="J57" s="2"/>
      <x:c r="K57" s="2"/>
      <x:c r="L57" s="2"/>
      <x:c r="M57" s="2"/>
      <x:c r="N57" s="2"/>
      <x:c r="O57" s="2"/>
      <x:c r="P57" s="2"/>
      <x:c r="Q57" s="2"/>
    </x:row>
    <x:row r="58" ht="23" customHeight="1">
      <x:c r="A58" s="2"/>
      <x:c r="B58" s="2"/>
      <x:c r="C58" s="2"/>
      <x:c r="D58" s="2"/>
      <x:c r="E58" s="2"/>
      <x:c r="F58" s="2"/>
      <x:c r="G58" s="2"/>
      <x:c r="H58" s="2"/>
      <x:c r="I58" s="2"/>
      <x:c r="J58" s="2"/>
      <x:c r="K58" s="2"/>
      <x:c r="L58" s="2"/>
      <x:c r="M58" s="2"/>
      <x:c r="N58" s="2"/>
      <x:c r="O58" s="2"/>
      <x:c r="P58" s="2"/>
      <x:c r="Q58" s="2"/>
    </x:row>
    <x:row r="59" ht="23" customHeight="1">
      <x:c r="A59" s="2"/>
      <x:c r="B59" s="2"/>
      <x:c r="C59" s="2"/>
      <x:c r="D59" s="2"/>
      <x:c r="E59" s="2"/>
      <x:c r="F59" s="2"/>
      <x:c r="G59" s="2"/>
      <x:c r="H59" s="2"/>
      <x:c r="I59" s="2"/>
      <x:c r="J59" s="2"/>
      <x:c r="K59" s="2"/>
      <x:c r="L59" s="2"/>
      <x:c r="M59" s="2"/>
      <x:c r="N59" s="2"/>
      <x:c r="O59" s="2"/>
      <x:c r="P59" s="2"/>
      <x:c r="Q59" s="2"/>
    </x:row>
    <x:row r="60" ht="23" customHeight="1">
      <x:c r="A60" s="2"/>
      <x:c r="B60" s="2"/>
      <x:c r="C60" s="2"/>
      <x:c r="D60" s="2"/>
      <x:c r="E60" s="2"/>
      <x:c r="F60" s="2"/>
      <x:c r="G60" s="2"/>
      <x:c r="H60" s="2"/>
      <x:c r="I60" s="2"/>
      <x:c r="J60" s="2"/>
      <x:c r="K60" s="2"/>
      <x:c r="L60" s="2"/>
      <x:c r="M60" s="2"/>
      <x:c r="N60" s="2"/>
      <x:c r="O60" s="2"/>
      <x:c r="P60" s="2"/>
      <x:c r="Q60" s="2"/>
    </x:row>
    <x:row r="61" ht="23" customHeight="1">
      <x:c r="A61" s="2"/>
      <x:c r="B61" s="2"/>
      <x:c r="C61" s="2"/>
      <x:c r="D61" s="2"/>
      <x:c r="E61" s="2"/>
      <x:c r="F61" s="2"/>
      <x:c r="G61" s="2"/>
      <x:c r="H61" s="2"/>
      <x:c r="I61" s="2"/>
      <x:c r="J61" s="2"/>
      <x:c r="K61" s="2"/>
      <x:c r="L61" s="2"/>
      <x:c r="M61" s="2"/>
      <x:c r="N61" s="2"/>
      <x:c r="O61" s="2"/>
      <x:c r="P61" s="2"/>
      <x:c r="Q61" s="2"/>
    </x:row>
    <x:row r="62" ht="23" customHeight="1">
      <x:c r="A62" s="2"/>
      <x:c r="B62" s="2"/>
      <x:c r="C62" s="2"/>
      <x:c r="D62" s="2"/>
      <x:c r="E62" s="2"/>
      <x:c r="F62" s="2"/>
      <x:c r="G62" s="2"/>
      <x:c r="H62" s="2"/>
      <x:c r="I62" s="2"/>
      <x:c r="J62" s="2"/>
      <x:c r="K62" s="2"/>
      <x:c r="L62" s="2"/>
      <x:c r="M62" s="2"/>
      <x:c r="N62" s="2"/>
      <x:c r="O62" s="2"/>
      <x:c r="P62" s="2"/>
      <x:c r="Q62" s="2"/>
    </x:row>
    <x:row r="63" ht="23" customHeight="1">
      <x:c r="A63" s="2"/>
      <x:c r="B63" s="2"/>
      <x:c r="C63" s="2"/>
      <x:c r="D63" s="2"/>
      <x:c r="E63" s="2"/>
      <x:c r="F63" s="2"/>
      <x:c r="G63" s="2"/>
      <x:c r="H63" s="2"/>
      <x:c r="I63" s="2"/>
      <x:c r="J63" s="2"/>
      <x:c r="K63" s="2"/>
      <x:c r="L63" s="2"/>
      <x:c r="M63" s="2"/>
      <x:c r="N63" s="2"/>
      <x:c r="O63" s="2"/>
      <x:c r="P63" s="2"/>
      <x:c r="Q63" s="2"/>
    </x:row>
    <x:row r="64" ht="23" customHeight="1">
      <x:c r="A64" s="2"/>
      <x:c r="B64" s="2"/>
      <x:c r="C64" s="2"/>
      <x:c r="D64" s="2"/>
      <x:c r="E64" s="2"/>
      <x:c r="F64" s="2"/>
      <x:c r="G64" s="2"/>
      <x:c r="H64" s="2"/>
      <x:c r="I64" s="2"/>
      <x:c r="J64" s="2"/>
      <x:c r="K64" s="2"/>
      <x:c r="L64" s="2"/>
      <x:c r="M64" s="2"/>
      <x:c r="N64" s="2"/>
      <x:c r="O64" s="2"/>
      <x:c r="P64" s="2"/>
      <x:c r="Q64" s="2"/>
    </x:row>
    <x:row r="65" ht="23" customHeight="1">
      <x:c r="A65" s="2"/>
      <x:c r="B65" s="2"/>
      <x:c r="C65" s="2"/>
      <x:c r="D65" s="2"/>
      <x:c r="E65" s="2"/>
      <x:c r="F65" s="2"/>
      <x:c r="G65" s="2"/>
      <x:c r="H65" s="2"/>
      <x:c r="I65" s="2"/>
      <x:c r="J65" s="2"/>
      <x:c r="K65" s="2"/>
      <x:c r="L65" s="2"/>
      <x:c r="M65" s="2"/>
      <x:c r="N65" s="2"/>
      <x:c r="O65" s="2"/>
      <x:c r="P65" s="2"/>
      <x:c r="Q65" s="2"/>
    </x:row>
    <x:row r="66" ht="23" customHeight="1">
      <x:c r="A66" s="2"/>
      <x:c r="B66" s="2"/>
      <x:c r="C66" s="2"/>
      <x:c r="D66" s="2"/>
      <x:c r="E66" s="2"/>
      <x:c r="F66" s="2"/>
      <x:c r="G66" s="2"/>
      <x:c r="H66" s="2"/>
      <x:c r="I66" s="2"/>
      <x:c r="J66" s="2"/>
      <x:c r="K66" s="2"/>
      <x:c r="L66" s="2"/>
      <x:c r="M66" s="2"/>
      <x:c r="N66" s="2"/>
      <x:c r="O66" s="2"/>
      <x:c r="P66" s="2"/>
      <x:c r="Q66" s="2"/>
    </x:row>
    <x:row r="67" ht="23" customHeight="1">
      <x:c r="A67" s="2"/>
      <x:c r="B67" s="2"/>
      <x:c r="C67" s="2"/>
      <x:c r="D67" s="2"/>
      <x:c r="E67" s="2"/>
      <x:c r="F67" s="2"/>
      <x:c r="G67" s="2"/>
      <x:c r="H67" s="2"/>
      <x:c r="I67" s="2"/>
      <x:c r="J67" s="2"/>
      <x:c r="K67" s="2"/>
      <x:c r="L67" s="2"/>
      <x:c r="M67" s="2"/>
      <x:c r="N67" s="2"/>
      <x:c r="O67" s="2"/>
      <x:c r="P67" s="2"/>
      <x:c r="Q67" s="2"/>
    </x:row>
    <x:row r="68" ht="23" customHeight="1">
      <x:c r="A68" s="2"/>
      <x:c r="B68" s="2"/>
      <x:c r="C68" s="2"/>
      <x:c r="D68" s="2"/>
      <x:c r="E68" s="2"/>
      <x:c r="F68" s="2"/>
      <x:c r="G68" s="2"/>
      <x:c r="H68" s="2"/>
      <x:c r="I68" s="2"/>
      <x:c r="J68" s="2"/>
      <x:c r="K68" s="2"/>
      <x:c r="L68" s="2"/>
      <x:c r="M68" s="2"/>
      <x:c r="N68" s="2"/>
      <x:c r="O68" s="2"/>
      <x:c r="P68" s="2"/>
      <x:c r="Q68" s="2"/>
    </x:row>
    <x:row r="69" ht="23" customHeight="1">
      <x:c r="A69" s="2"/>
      <x:c r="B69" s="2"/>
      <x:c r="C69" s="2"/>
      <x:c r="D69" s="2"/>
      <x:c r="E69" s="2"/>
      <x:c r="F69" s="2"/>
      <x:c r="G69" s="2"/>
      <x:c r="H69" s="2"/>
      <x:c r="I69" s="2"/>
      <x:c r="J69" s="2"/>
      <x:c r="K69" s="2"/>
      <x:c r="L69" s="2"/>
      <x:c r="M69" s="2"/>
      <x:c r="N69" s="2"/>
      <x:c r="O69" s="2"/>
      <x:c r="P69" s="2"/>
      <x:c r="Q69" s="2"/>
    </x:row>
    <x:row r="70" ht="23" customHeight="1">
      <x:c r="A70" s="2"/>
      <x:c r="B70" s="2"/>
      <x:c r="C70" s="2"/>
      <x:c r="D70" s="2"/>
      <x:c r="E70" s="2"/>
      <x:c r="F70" s="2"/>
      <x:c r="G70" s="2"/>
      <x:c r="H70" s="2"/>
      <x:c r="I70" s="2"/>
      <x:c r="J70" s="2"/>
      <x:c r="K70" s="2"/>
      <x:c r="L70" s="2"/>
      <x:c r="M70" s="2"/>
      <x:c r="N70" s="2"/>
      <x:c r="O70" s="2"/>
      <x:c r="P70" s="2"/>
      <x:c r="Q70" s="2"/>
    </x:row>
    <x:row r="71" ht="23" customHeight="1">
      <x:c r="A71" s="2"/>
      <x:c r="B71" s="2"/>
      <x:c r="C71" s="2"/>
      <x:c r="D71" s="2"/>
      <x:c r="E71" s="2"/>
      <x:c r="F71" s="2"/>
      <x:c r="G71" s="2"/>
      <x:c r="H71" s="2"/>
      <x:c r="I71" s="2"/>
      <x:c r="J71" s="2"/>
      <x:c r="K71" s="2"/>
      <x:c r="L71" s="2"/>
      <x:c r="M71" s="2"/>
      <x:c r="N71" s="2"/>
      <x:c r="O71" s="2"/>
      <x:c r="P71" s="2"/>
      <x:c r="Q71" s="2"/>
    </x:row>
    <x:row r="72" ht="23" customHeight="1">
      <x:c r="A72" s="2"/>
      <x:c r="B72" s="2"/>
      <x:c r="C72" s="2"/>
      <x:c r="D72" s="2"/>
      <x:c r="E72" s="2"/>
      <x:c r="F72" s="2"/>
      <x:c r="G72" s="2"/>
      <x:c r="H72" s="2"/>
      <x:c r="I72" s="2"/>
      <x:c r="J72" s="2"/>
      <x:c r="K72" s="2"/>
      <x:c r="L72" s="2"/>
      <x:c r="M72" s="2"/>
      <x:c r="N72" s="2"/>
      <x:c r="O72" s="2"/>
      <x:c r="P72" s="2"/>
      <x:c r="Q72" s="2"/>
    </x:row>
    <x:row r="73" ht="23" customHeight="1">
      <x:c r="A73" s="2"/>
      <x:c r="B73" s="2"/>
      <x:c r="C73" s="2"/>
      <x:c r="D73" s="2"/>
      <x:c r="E73" s="2"/>
      <x:c r="F73" s="2"/>
      <x:c r="G73" s="2"/>
      <x:c r="H73" s="2"/>
      <x:c r="I73" s="2"/>
      <x:c r="J73" s="2"/>
      <x:c r="K73" s="2"/>
      <x:c r="L73" s="2"/>
      <x:c r="M73" s="2"/>
      <x:c r="N73" s="2"/>
      <x:c r="O73" s="2"/>
      <x:c r="P73" s="2"/>
      <x:c r="Q73" s="2"/>
    </x:row>
    <x:row r="74" ht="23" customHeight="1">
      <x:c r="A74" s="2"/>
      <x:c r="B74" s="2"/>
      <x:c r="C74" s="2"/>
      <x:c r="D74" s="2"/>
      <x:c r="E74" s="2"/>
      <x:c r="F74" s="2"/>
      <x:c r="G74" s="2"/>
      <x:c r="H74" s="2"/>
      <x:c r="I74" s="2"/>
      <x:c r="J74" s="2"/>
      <x:c r="K74" s="2"/>
      <x:c r="L74" s="2"/>
      <x:c r="M74" s="2"/>
      <x:c r="N74" s="2"/>
      <x:c r="O74" s="2"/>
      <x:c r="P74" s="2"/>
      <x:c r="Q74" s="2"/>
    </x:row>
    <x:row r="75" ht="23" customHeight="1">
      <x:c r="A75" s="2"/>
      <x:c r="B75" s="2"/>
      <x:c r="C75" s="2"/>
      <x:c r="D75" s="2"/>
      <x:c r="E75" s="2"/>
      <x:c r="F75" s="2"/>
      <x:c r="G75" s="2"/>
      <x:c r="H75" s="2"/>
      <x:c r="I75" s="2"/>
      <x:c r="J75" s="2"/>
      <x:c r="K75" s="2"/>
      <x:c r="L75" s="2"/>
      <x:c r="M75" s="2"/>
      <x:c r="N75" s="2"/>
      <x:c r="O75" s="2"/>
      <x:c r="P75" s="2"/>
      <x:c r="Q75" s="2"/>
    </x:row>
    <x:row r="76" ht="23" customHeight="1">
      <x:c r="A76" s="2"/>
      <x:c r="B76" s="2"/>
      <x:c r="C76" s="2"/>
      <x:c r="D76" s="2"/>
      <x:c r="E76" s="2"/>
      <x:c r="F76" s="2"/>
      <x:c r="G76" s="2"/>
      <x:c r="H76" s="2"/>
      <x:c r="I76" s="2"/>
      <x:c r="J76" s="2"/>
      <x:c r="K76" s="2"/>
      <x:c r="L76" s="2"/>
      <x:c r="M76" s="2"/>
      <x:c r="N76" s="2"/>
      <x:c r="O76" s="2"/>
      <x:c r="P76" s="2"/>
      <x:c r="Q76" s="2"/>
    </x:row>
    <x:row r="77" ht="23" customHeight="1">
      <x:c r="A77" s="2"/>
      <x:c r="B77" s="2"/>
      <x:c r="C77" s="2"/>
      <x:c r="D77" s="2"/>
      <x:c r="E77" s="2"/>
      <x:c r="F77" s="2"/>
      <x:c r="G77" s="2"/>
      <x:c r="H77" s="2"/>
      <x:c r="I77" s="2"/>
      <x:c r="J77" s="2"/>
      <x:c r="K77" s="2"/>
      <x:c r="L77" s="2"/>
      <x:c r="M77" s="2"/>
      <x:c r="N77" s="2"/>
      <x:c r="O77" s="2"/>
      <x:c r="P77" s="2"/>
      <x:c r="Q77" s="2"/>
    </x:row>
    <x:row r="78" ht="23" customHeight="1">
      <x:c r="A78" s="2"/>
      <x:c r="B78" s="2"/>
      <x:c r="C78" s="2"/>
      <x:c r="D78" s="2"/>
      <x:c r="E78" s="2"/>
      <x:c r="F78" s="2"/>
      <x:c r="G78" s="2"/>
      <x:c r="H78" s="2"/>
      <x:c r="I78" s="2"/>
      <x:c r="J78" s="2"/>
      <x:c r="K78" s="2"/>
      <x:c r="L78" s="2"/>
      <x:c r="M78" s="2"/>
      <x:c r="N78" s="2"/>
      <x:c r="O78" s="2"/>
      <x:c r="P78" s="2"/>
      <x:c r="Q78" s="2"/>
    </x:row>
    <x:row r="79" ht="23" customHeight="1">
      <x:c r="A79" s="2"/>
      <x:c r="B79" s="2"/>
      <x:c r="C79" s="2"/>
      <x:c r="D79" s="2"/>
      <x:c r="E79" s="2"/>
      <x:c r="F79" s="2"/>
      <x:c r="G79" s="2"/>
      <x:c r="H79" s="2"/>
      <x:c r="I79" s="2"/>
      <x:c r="J79" s="2"/>
      <x:c r="K79" s="2"/>
      <x:c r="L79" s="2"/>
      <x:c r="M79" s="2"/>
      <x:c r="N79" s="2"/>
      <x:c r="O79" s="2"/>
      <x:c r="P79" s="2"/>
      <x:c r="Q79" s="2"/>
    </x:row>
    <x:row r="80" ht="23" customHeight="1">
      <x:c r="A80" s="2"/>
      <x:c r="B80" s="2"/>
      <x:c r="C80" s="2"/>
      <x:c r="D80" s="2"/>
      <x:c r="E80" s="2"/>
      <x:c r="F80" s="2"/>
      <x:c r="G80" s="2"/>
      <x:c r="H80" s="2"/>
      <x:c r="I80" s="2"/>
      <x:c r="J80" s="2"/>
      <x:c r="K80" s="2"/>
      <x:c r="L80" s="2"/>
      <x:c r="M80" s="2"/>
      <x:c r="N80" s="2"/>
      <x:c r="O80" s="2"/>
      <x:c r="P80" s="2"/>
      <x:c r="Q80" s="2"/>
    </x:row>
    <x:row r="81" ht="23" customHeight="1">
      <x:c r="A81" s="2"/>
      <x:c r="B81" s="2"/>
      <x:c r="C81" s="2"/>
      <x:c r="D81" s="2"/>
      <x:c r="E81" s="2"/>
      <x:c r="F81" s="2"/>
      <x:c r="G81" s="2"/>
      <x:c r="H81" s="2"/>
      <x:c r="I81" s="2"/>
      <x:c r="J81" s="2"/>
      <x:c r="K81" s="2"/>
      <x:c r="L81" s="2"/>
      <x:c r="M81" s="2"/>
      <x:c r="N81" s="2"/>
      <x:c r="O81" s="2"/>
      <x:c r="P81" s="2"/>
      <x:c r="Q81" s="2"/>
    </x:row>
    <x:row r="82" ht="23" customHeight="1">
      <x:c r="A82" s="2"/>
      <x:c r="B82" s="2"/>
      <x:c r="C82" s="2"/>
      <x:c r="D82" s="2"/>
      <x:c r="E82" s="2"/>
      <x:c r="F82" s="2"/>
      <x:c r="G82" s="2"/>
      <x:c r="H82" s="2"/>
      <x:c r="I82" s="2"/>
      <x:c r="J82" s="2"/>
      <x:c r="K82" s="2"/>
      <x:c r="L82" s="2"/>
      <x:c r="M82" s="2"/>
      <x:c r="N82" s="2"/>
      <x:c r="O82" s="2"/>
      <x:c r="P82" s="2"/>
      <x:c r="Q82" s="2"/>
    </x:row>
    <x:row r="83" ht="23" customHeight="1">
      <x:c r="A83" s="2"/>
      <x:c r="B83" s="2"/>
      <x:c r="C83" s="2"/>
      <x:c r="D83" s="2"/>
      <x:c r="E83" s="2"/>
      <x:c r="F83" s="2"/>
      <x:c r="G83" s="2"/>
      <x:c r="H83" s="2"/>
      <x:c r="I83" s="2"/>
      <x:c r="J83" s="2"/>
      <x:c r="K83" s="2"/>
      <x:c r="L83" s="2"/>
      <x:c r="M83" s="2"/>
      <x:c r="N83" s="2"/>
      <x:c r="O83" s="2"/>
      <x:c r="P83" s="2"/>
      <x:c r="Q83" s="2"/>
    </x:row>
    <x:row r="84" ht="23" customHeight="1">
      <x:c r="A84" s="2"/>
      <x:c r="B84" s="2"/>
      <x:c r="C84" s="2"/>
      <x:c r="D84" s="2"/>
      <x:c r="E84" s="2"/>
      <x:c r="F84" s="2"/>
      <x:c r="G84" s="2"/>
      <x:c r="H84" s="2"/>
      <x:c r="I84" s="2"/>
      <x:c r="J84" s="2"/>
      <x:c r="K84" s="2"/>
      <x:c r="L84" s="2"/>
      <x:c r="M84" s="2"/>
      <x:c r="N84" s="2"/>
      <x:c r="O84" s="2"/>
      <x:c r="P84" s="2"/>
      <x:c r="Q84" s="2"/>
    </x:row>
    <x:row r="85" ht="23" customHeight="1">
      <x:c r="A85" s="2"/>
      <x:c r="B85" s="2"/>
      <x:c r="C85" s="2"/>
      <x:c r="D85" s="2"/>
      <x:c r="E85" s="2"/>
      <x:c r="F85" s="2"/>
      <x:c r="G85" s="2"/>
      <x:c r="H85" s="2"/>
      <x:c r="I85" s="2"/>
      <x:c r="J85" s="2"/>
      <x:c r="K85" s="2"/>
      <x:c r="L85" s="2"/>
      <x:c r="M85" s="2"/>
      <x:c r="N85" s="2"/>
      <x:c r="O85" s="2"/>
      <x:c r="P85" s="2"/>
      <x:c r="Q85" s="2"/>
    </x:row>
    <x:row r="86" ht="23" customHeight="1">
      <x:c r="A86" s="2"/>
      <x:c r="B86" s="2"/>
      <x:c r="C86" s="2"/>
      <x:c r="D86" s="2"/>
      <x:c r="E86" s="2"/>
      <x:c r="F86" s="2"/>
      <x:c r="G86" s="2"/>
      <x:c r="H86" s="2"/>
      <x:c r="I86" s="2"/>
      <x:c r="J86" s="2"/>
      <x:c r="K86" s="2"/>
      <x:c r="L86" s="2"/>
      <x:c r="M86" s="2"/>
      <x:c r="N86" s="2"/>
      <x:c r="O86" s="2"/>
      <x:c r="P86" s="2"/>
      <x:c r="Q86" s="2"/>
    </x:row>
    <x:row r="87" ht="23" customHeight="1">
      <x:c r="A87" s="2"/>
      <x:c r="B87" s="2"/>
      <x:c r="C87" s="2"/>
      <x:c r="D87" s="2"/>
      <x:c r="E87" s="2"/>
      <x:c r="F87" s="2"/>
      <x:c r="G87" s="2"/>
      <x:c r="H87" s="2"/>
      <x:c r="I87" s="2"/>
      <x:c r="J87" s="2"/>
      <x:c r="K87" s="2"/>
      <x:c r="L87" s="2"/>
      <x:c r="M87" s="2"/>
      <x:c r="N87" s="2"/>
      <x:c r="O87" s="2"/>
      <x:c r="P87" s="2"/>
      <x:c r="Q87" s="2"/>
    </x:row>
    <x:row r="88" ht="23" customHeight="1">
      <x:c r="A88" s="2"/>
      <x:c r="B88" s="2"/>
      <x:c r="C88" s="2"/>
      <x:c r="D88" s="2"/>
      <x:c r="E88" s="2"/>
      <x:c r="F88" s="2"/>
      <x:c r="G88" s="2"/>
      <x:c r="H88" s="2"/>
      <x:c r="I88" s="2"/>
      <x:c r="J88" s="2"/>
      <x:c r="K88" s="2"/>
      <x:c r="L88" s="2"/>
      <x:c r="M88" s="2"/>
      <x:c r="N88" s="2"/>
      <x:c r="O88" s="2"/>
      <x:c r="P88" s="2"/>
      <x:c r="Q88" s="2"/>
    </x:row>
    <x:row r="89" ht="23" customHeight="1">
      <x:c r="A89" s="2"/>
      <x:c r="B89" s="2"/>
      <x:c r="C89" s="2"/>
      <x:c r="D89" s="2"/>
      <x:c r="E89" s="2"/>
      <x:c r="F89" s="2"/>
      <x:c r="G89" s="2"/>
      <x:c r="H89" s="2"/>
      <x:c r="I89" s="2"/>
      <x:c r="J89" s="2"/>
      <x:c r="K89" s="2"/>
      <x:c r="L89" s="2"/>
      <x:c r="M89" s="2"/>
      <x:c r="N89" s="2"/>
      <x:c r="O89" s="2"/>
      <x:c r="P89" s="2"/>
      <x:c r="Q89" s="2"/>
    </x:row>
    <x:row r="90" ht="23" customHeight="1">
      <x:c r="A90" s="2"/>
      <x:c r="B90" s="2"/>
      <x:c r="C90" s="2"/>
      <x:c r="D90" s="2"/>
      <x:c r="E90" s="2"/>
      <x:c r="F90" s="2"/>
      <x:c r="G90" s="2"/>
      <x:c r="H90" s="2"/>
      <x:c r="I90" s="2"/>
      <x:c r="J90" s="2"/>
      <x:c r="K90" s="2"/>
      <x:c r="L90" s="2"/>
      <x:c r="M90" s="2"/>
      <x:c r="N90" s="2"/>
      <x:c r="O90" s="2"/>
      <x:c r="P90" s="2"/>
      <x:c r="Q90" s="2"/>
    </x:row>
  </x:sheetData>
  <x:conditionalFormatting sqref="H7:H18">
    <x:cfRule type="cellIs" dxfId="0" priority="1" operator="lessThan">
      <x:formula>0</x:formula>
    </x:cfRule>
    <x:cfRule type="cellIs" dxfId="1" priority="2" operator="greaterThan">
      <x:formula>0</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 hidden="0" customWidth="1"/>
    <x:col min="2" max="2" width="3" hidden="0" customWidth="1"/>
    <x:col min="3" max="3" width="36"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s>
  <x:sheetData>
    <x:row r="1" ht="23" customHeight="1">
      <x:c r="A1" s="2"/>
      <x:c r="B1" s="2"/>
      <x:c r="C1" s="2"/>
      <x:c r="D1" s="2"/>
      <x:c r="E1" s="2"/>
      <x:c r="F1" s="2"/>
      <x:c r="G1" s="2"/>
      <x:c r="H1" s="2"/>
      <x:c r="I1" s="2"/>
      <x:c r="J1" s="2"/>
      <x:c r="K1" s="2"/>
      <x:c r="L1" s="2"/>
      <x:c r="M1" s="2"/>
      <x:c r="N1" s="2"/>
      <x:c r="O1" s="2"/>
      <x:c r="P1" s="2"/>
      <x:c r="Q1" s="2"/>
    </x:row>
    <x:row r="2" ht="23" customHeight="1">
      <x:c r="A2" s="2"/>
      <x:c r="B2" s="2"/>
      <x:c r="C2" s="3" t="str">
        <x:v>PG | Why actual profit differed</x:v>
      </x:c>
      <x:c r="D2" s="2"/>
      <x:c r="E2" s="2"/>
      <x:c r="F2" s="2"/>
      <x:c r="G2" s="2"/>
      <x:c r="H2" s="2"/>
      <x:c r="I2" s="2"/>
      <x:c r="J2" s="2"/>
      <x:c r="K2" s="2"/>
      <x:c r="L2" s="2"/>
      <x:c r="M2" s="2"/>
      <x:c r="N2" s="2"/>
      <x:c r="O2" s="2"/>
      <x:c r="P2" s="2"/>
      <x:c r="Q2" s="2"/>
    </x:row>
    <x:row r="3" ht="23" customHeight="1">
      <x:c r="A3" s="2"/>
      <x:c r="B3" s="2"/>
      <x:c r="C3" s="4"/>
      <x:c r="D3" s="4"/>
      <x:c r="E3" s="4"/>
      <x:c r="F3" s="4"/>
      <x:c r="G3" s="4"/>
      <x:c r="H3" s="4"/>
      <x:c r="I3" s="4"/>
      <x:c r="J3" s="4"/>
      <x:c r="K3" s="2"/>
      <x:c r="L3" s="2"/>
      <x:c r="M3" s="2"/>
      <x:c r="N3" s="2"/>
      <x:c r="O3" s="2"/>
      <x:c r="P3" s="2"/>
      <x:c r="Q3" s="2"/>
    </x:row>
    <x:row r="4" ht="23" customHeight="1">
      <x:c r="A4" s="2"/>
      <x:c r="B4" s="2"/>
      <x:c r="C4" s="2"/>
      <x:c r="D4" s="2"/>
      <x:c r="E4" s="2"/>
      <x:c r="F4" s="2"/>
      <x:c r="G4" s="2"/>
      <x:c r="H4" s="2"/>
      <x:c r="I4" s="2"/>
      <x:c r="J4" s="2"/>
      <x:c r="K4" s="2"/>
      <x:c r="L4" s="2"/>
      <x:c r="M4" s="2"/>
      <x:c r="N4" s="2"/>
      <x:c r="O4" s="2"/>
      <x:c r="P4" s="2"/>
      <x:c r="Q4" s="2"/>
    </x:row>
    <x:row r="5" ht="40" customHeight="1">
      <x:c r="A5" s="2"/>
      <x:c r="B5" s="2"/>
      <x:c r="C5" s="13" t="str">
        <x:v>Driver</x:v>
      </x:c>
      <x:c r="D5" s="13" t="str">
        <x:v>May base assumption</x:v>
      </x:c>
      <x:c r="E5" s="13" t="str">
        <x:v>Observed driver</x:v>
      </x:c>
      <x:c r="F5" s="13" t="str">
        <x:v>Profit contribution</x:v>
      </x:c>
      <x:c r="G5" s="2"/>
      <x:c r="H5" s="2"/>
      <x:c r="I5" s="2"/>
      <x:c r="J5" s="2"/>
      <x:c r="K5" s="2"/>
      <x:c r="L5" s="2"/>
      <x:c r="M5" s="2"/>
      <x:c r="N5" s="2"/>
      <x:c r="O5" s="2"/>
      <x:c r="P5" s="2"/>
      <x:c r="Q5" s="2"/>
    </x:row>
    <x:row r="6" ht="23" customHeight="1">
      <x:c r="A6" s="2"/>
      <x:c r="B6" s="2"/>
      <x:c r="C6" s="2" t="str">
        <x:v>Sales Growth</x:v>
      </x:c>
      <x:c r="D6" s="26" t="n">
        <x:v>0.04</x:v>
      </x:c>
      <x:c r="E6" s="26" t="n">
        <x:v>0.015031834937048183</x:v>
      </x:c>
      <x:c r="F6" s="20" t="n">
        <x:v>-84.58660079999981</x:v>
      </x:c>
      <x:c r="G6" s="2"/>
      <x:c r="H6" s="2"/>
      <x:c r="I6" s="2"/>
      <x:c r="J6" s="2"/>
      <x:c r="K6" s="2"/>
      <x:c r="L6" s="2"/>
      <x:c r="M6" s="2"/>
      <x:c r="N6" s="2"/>
      <x:c r="O6" s="2"/>
      <x:c r="P6" s="2"/>
      <x:c r="Q6" s="2"/>
    </x:row>
    <x:row r="7" ht="23" customHeight="1">
      <x:c r="A7" s="2"/>
      <x:c r="B7" s="2"/>
      <x:c r="C7" s="2" t="str">
        <x:v>Gross Margin</x:v>
      </x:c>
      <x:c r="D7" s="26" t="n">
        <x:v>0.486</x:v>
      </x:c>
      <x:c r="E7" s="26" t="n">
        <x:v>0.48497854077253216</x:v>
      </x:c>
      <x:c r="F7" s="20" t="n">
        <x:v>-17.218109999999797</x:v>
      </x:c>
      <x:c r="G7" s="2"/>
      <x:c r="H7" s="2"/>
      <x:c r="I7" s="2"/>
      <x:c r="J7" s="2"/>
      <x:c r="K7" s="2"/>
      <x:c r="L7" s="2"/>
      <x:c r="M7" s="2"/>
      <x:c r="N7" s="2"/>
      <x:c r="O7" s="2"/>
      <x:c r="P7" s="2"/>
      <x:c r="Q7" s="2"/>
    </x:row>
    <x:row r="8" ht="23" customHeight="1">
      <x:c r="A8" s="2"/>
      <x:c r="B8" s="2"/>
      <x:c r="C8" s="2" t="str">
        <x:v>Sga Ratio</x:v>
      </x:c>
      <x:c r="D8" s="26" t="n">
        <x:v>0.282</x:v>
      </x:c>
      <x:c r="E8" s="26" t="n">
        <x:v>0.29873131160684807</x:v>
      </x:c>
      <x:c r="F8" s="20" t="n">
        <x:v>-282.0294300000005</x:v>
      </x:c>
      <x:c r="G8" s="2"/>
      <x:c r="H8" s="2"/>
      <x:c r="I8" s="2"/>
      <x:c r="J8" s="2"/>
      <x:c r="K8" s="2"/>
      <x:c r="L8" s="2"/>
      <x:c r="M8" s="2"/>
      <x:c r="N8" s="2"/>
      <x:c r="O8" s="2"/>
      <x:c r="P8" s="2"/>
      <x:c r="Q8" s="2"/>
    </x:row>
    <x:row r="9" ht="23" customHeight="1">
      <x:c r="A9" s="2"/>
      <x:c r="B9" s="2"/>
      <x:c r="C9" s="2" t="str">
        <x:v>Net Nonoperating Income</x:v>
      </x:c>
      <x:c r="D9" s="20" t="n">
        <x:v>150</x:v>
      </x:c>
      <x:c r="E9" s="20" t="n">
        <x:v>-17</x:v>
      </x:c>
      <x:c r="F9" s="20" t="n">
        <x:v>-132.76499999999987</x:v>
      </x:c>
      <x:c r="G9" s="2"/>
      <x:c r="H9" s="2"/>
      <x:c r="I9" s="2"/>
      <x:c r="J9" s="2"/>
      <x:c r="K9" s="2"/>
      <x:c r="L9" s="2"/>
      <x:c r="M9" s="2"/>
      <x:c r="N9" s="2"/>
      <x:c r="O9" s="2"/>
      <x:c r="P9" s="2"/>
      <x:c r="Q9" s="2"/>
    </x:row>
    <x:row r="10" ht="23" customHeight="1">
      <x:c r="A10" s="2"/>
      <x:c r="B10" s="2"/>
      <x:c r="C10" s="2" t="str">
        <x:v>Effective Tax Rate</x:v>
      </x:c>
      <x:c r="D10" s="26" t="n">
        <x:v>0.205</x:v>
      </x:c>
      <x:c r="E10" s="26" t="n">
        <x:v>0.21662852784134248</x:v>
      </x:c>
      <x:c r="F10" s="20" t="n">
        <x:v>-45.72337147215876</x:v>
      </x:c>
      <x:c r="G10" s="2"/>
      <x:c r="H10" s="2"/>
      <x:c r="I10" s="2"/>
      <x:c r="J10" s="2"/>
      <x:c r="K10" s="2"/>
      <x:c r="L10" s="2"/>
      <x:c r="M10" s="2"/>
      <x:c r="N10" s="2"/>
      <x:c r="O10" s="2"/>
      <x:c r="P10" s="2"/>
      <x:c r="Q10" s="2"/>
    </x:row>
    <x:row r="11" ht="23" customHeight="1">
      <x:c r="A11" s="2"/>
      <x:c r="B11" s="2"/>
      <x:c r="C11" s="2" t="str">
        <x:v>Noncontrolling Income</x:v>
      </x:c>
      <x:c r="D11" s="20" t="n">
        <x:v>18</x:v>
      </x:c>
      <x:c r="E11" s="20" t="n">
        <x:v>37</x:v>
      </x:c>
      <x:c r="F11" s="20" t="n">
        <x:v>-19</x:v>
      </x:c>
      <x:c r="G11" s="2"/>
      <x:c r="H11" s="2"/>
      <x:c r="I11" s="2"/>
      <x:c r="J11" s="2"/>
      <x:c r="K11" s="2"/>
      <x:c r="L11" s="2"/>
      <x:c r="M11" s="2"/>
      <x:c r="N11" s="2"/>
      <x:c r="O11" s="2"/>
      <x:c r="P11" s="2"/>
      <x:c r="Q11" s="2"/>
    </x:row>
    <x:row r="12" ht="23" customHeight="1">
      <x:c r="A12" s="2"/>
      <x:c r="B12" s="2"/>
      <x:c r="C12" s="2" t="str">
        <x:v>Diluted Shares</x:v>
      </x:c>
      <x:c r="D12" s="22" t="n">
        <x:v>2405</x:v>
      </x:c>
      <x:c r="E12" s="22" t="n">
        <x:v>2412.7</x:v>
      </x:c>
      <x:c r="F12" s="20" t="n">
        <x:v>0</x:v>
      </x:c>
      <x:c r="G12" s="2"/>
      <x:c r="H12" s="2"/>
      <x:c r="I12" s="2"/>
      <x:c r="J12" s="2"/>
      <x:c r="K12" s="2"/>
      <x:c r="L12" s="2"/>
      <x:c r="M12" s="2"/>
      <x:c r="N12" s="2"/>
      <x:c r="O12" s="2"/>
      <x:c r="P12" s="2"/>
      <x:c r="Q12" s="2"/>
    </x:row>
    <x:row r="13" ht="23" customHeight="1">
      <x:c r="A13" s="2"/>
      <x:c r="B13" s="2"/>
      <x:c r="C13" s="2" t="str">
        <x:v>Ocf To Net Income</x:v>
      </x:c>
      <x:c r="D13" s="26" t="n">
        <x:v>1.3</x:v>
      </x:c>
      <x:c r="E13" s="26" t="n">
        <x:v>1.6653683868873743</x:v>
      </x:c>
      <x:c r="F13" s="20" t="n">
        <x:v>0</x:v>
      </x:c>
      <x:c r="G13" s="2"/>
      <x:c r="H13" s="2"/>
      <x:c r="I13" s="2"/>
      <x:c r="J13" s="2"/>
      <x:c r="K13" s="2"/>
      <x:c r="L13" s="2"/>
      <x:c r="M13" s="2"/>
      <x:c r="N13" s="2"/>
      <x:c r="O13" s="2"/>
      <x:c r="P13" s="2"/>
      <x:c r="Q13" s="2"/>
    </x:row>
    <x:row r="14" ht="23" customHeight="1">
      <x:c r="A14" s="2"/>
      <x:c r="B14" s="2"/>
      <x:c r="C14" s="2" t="str">
        <x:v>Capex Ratio</x:v>
      </x:c>
      <x:c r="D14" s="26" t="n">
        <x:v>0.05</x:v>
      </x:c>
      <x:c r="E14" s="26" t="n">
        <x:v>0.04824788944960619</x:v>
      </x:c>
      <x:c r="F14" s="20" t="n">
        <x:v>0</x:v>
      </x:c>
      <x:c r="G14" s="2"/>
      <x:c r="H14" s="2"/>
      <x:c r="I14" s="2"/>
      <x:c r="J14" s="2"/>
      <x:c r="K14" s="2"/>
      <x:c r="L14" s="2"/>
      <x:c r="M14" s="2"/>
      <x:c r="N14" s="2"/>
      <x:c r="O14" s="2"/>
      <x:c r="P14" s="2"/>
      <x:c r="Q14" s="2"/>
    </x:row>
    <x:row r="15" ht="23" customHeight="1">
      <x:c r="A15" s="2"/>
      <x:c r="B15" s="2"/>
      <x:c r="C15" s="2" t="str">
        <x:v>Reported Rounding And Basis Residual</x:v>
      </x:c>
      <x:c r="D15" s="2"/>
      <x:c r="E15" s="2"/>
      <x:c r="F15" s="20" t="n">
        <x:v>0.7833714721587057</x:v>
      </x:c>
      <x:c r="G15" s="2"/>
      <x:c r="H15" s="2"/>
      <x:c r="I15" s="2"/>
      <x:c r="J15" s="2"/>
      <x:c r="K15" s="2"/>
      <x:c r="L15" s="2"/>
      <x:c r="M15" s="2"/>
      <x:c r="N15" s="2"/>
      <x:c r="O15" s="2"/>
      <x:c r="P15" s="2"/>
      <x:c r="Q15" s="2"/>
    </x:row>
    <x:row r="16" ht="23" customHeight="1">
      <x:c r="A16" s="2"/>
      <x:c r="B16" s="2"/>
      <x:c r="C16" s="2"/>
      <x:c r="D16" s="2"/>
      <x:c r="E16" s="2"/>
      <x:c r="F16" s="2"/>
      <x:c r="G16" s="2"/>
      <x:c r="H16" s="2"/>
      <x:c r="I16" s="2"/>
      <x:c r="J16" s="2"/>
      <x:c r="K16" s="2"/>
      <x:c r="L16" s="2"/>
      <x:c r="M16" s="2"/>
      <x:c r="N16" s="2"/>
      <x:c r="O16" s="2"/>
      <x:c r="P16" s="2"/>
      <x:c r="Q16" s="2"/>
    </x:row>
    <x:row r="17" ht="23" customHeight="1">
      <x:c r="A17" s="2"/>
      <x:c r="B17" s="2"/>
      <x:c r="C17" s="2" t="str">
        <x:v>Total actual less May base profit</x:v>
      </x:c>
      <x:c r="D17" s="2"/>
      <x:c r="E17" s="2"/>
      <x:c r="F17" s="9" t="n">
        <x:f>SUM(F6:F15)</x:f>
        <x:v>-580.5391408</x:v>
      </x:c>
      <x:c r="G17" s="2"/>
      <x:c r="H17" s="2"/>
      <x:c r="I17" s="2"/>
      <x:c r="J17" s="2"/>
      <x:c r="K17" s="2"/>
      <x:c r="L17" s="2"/>
      <x:c r="M17" s="2"/>
      <x:c r="N17" s="2"/>
      <x:c r="O17" s="2"/>
      <x:c r="P17" s="2"/>
      <x:c r="Q17" s="2"/>
    </x:row>
    <x:row r="18" ht="23" customHeight="1">
      <x:c r="A18" s="2"/>
      <x:c r="B18" s="2"/>
      <x:c r="C18" s="2"/>
      <x:c r="D18" s="2"/>
      <x:c r="E18" s="2"/>
      <x:c r="F18" s="2"/>
      <x:c r="G18" s="2"/>
      <x:c r="H18" s="2"/>
      <x:c r="I18" s="2"/>
      <x:c r="J18" s="2"/>
      <x:c r="K18" s="2"/>
      <x:c r="L18" s="2"/>
      <x:c r="M18" s="2"/>
      <x:c r="N18" s="2"/>
      <x:c r="O18" s="2"/>
      <x:c r="P18" s="2"/>
      <x:c r="Q18" s="2"/>
    </x:row>
    <x:row r="19" ht="23" customHeight="1">
      <x:c r="A19" s="2"/>
      <x:c r="B19" s="2"/>
      <x:c r="C19" s="2" t="str">
        <x:v>Sequential substitution in the displayed order; interactions are allocated to the later driver.</x:v>
      </x:c>
      <x:c r="D19" s="2"/>
      <x:c r="E19" s="2"/>
      <x:c r="F19" s="2"/>
      <x:c r="G19" s="2"/>
      <x:c r="H19" s="2"/>
      <x:c r="I19" s="2"/>
      <x:c r="J19" s="2"/>
      <x:c r="K19" s="2"/>
      <x:c r="L19" s="2"/>
      <x:c r="M19" s="2"/>
      <x:c r="N19" s="2"/>
      <x:c r="O19" s="2"/>
      <x:c r="P19" s="2"/>
      <x:c r="Q19" s="2"/>
    </x:row>
    <x:row r="20" ht="23" customHeight="1">
      <x:c r="A20" s="2"/>
      <x:c r="B20" s="2"/>
      <x:c r="C20" s="2"/>
      <x:c r="D20" s="2"/>
      <x:c r="E20" s="2"/>
      <x:c r="F20" s="2"/>
      <x:c r="G20" s="2"/>
      <x:c r="H20" s="2"/>
      <x:c r="I20" s="2"/>
      <x:c r="J20" s="2"/>
      <x:c r="K20" s="2"/>
      <x:c r="L20" s="2"/>
      <x:c r="M20" s="2"/>
      <x:c r="N20" s="2"/>
      <x:c r="O20" s="2"/>
      <x:c r="P20" s="2"/>
      <x:c r="Q20" s="2"/>
    </x:row>
    <x:row r="21" ht="23" customHeight="1">
      <x:c r="A21" s="2"/>
      <x:c r="B21" s="2"/>
      <x:c r="C21" s="2"/>
      <x:c r="D21" s="2"/>
      <x:c r="E21" s="2"/>
      <x:c r="F21" s="2"/>
      <x:c r="G21" s="2"/>
      <x:c r="H21" s="2"/>
      <x:c r="I21" s="2"/>
      <x:c r="J21" s="2"/>
      <x:c r="K21" s="2"/>
      <x:c r="L21" s="2"/>
      <x:c r="M21" s="2"/>
      <x:c r="N21" s="2"/>
      <x:c r="O21" s="2"/>
      <x:c r="P21" s="2"/>
      <x:c r="Q21" s="2"/>
    </x:row>
    <x:row r="22" ht="23" customHeight="1">
      <x:c r="A22" s="2"/>
      <x:c r="B22" s="2"/>
      <x:c r="C22" s="2"/>
      <x:c r="D22" s="2"/>
      <x:c r="E22" s="2"/>
      <x:c r="F22" s="2"/>
      <x:c r="G22" s="2"/>
      <x:c r="H22" s="2"/>
      <x:c r="I22" s="2"/>
      <x:c r="J22" s="2"/>
      <x:c r="K22" s="2"/>
      <x:c r="L22" s="2"/>
      <x:c r="M22" s="2"/>
      <x:c r="N22" s="2"/>
      <x:c r="O22" s="2"/>
      <x:c r="P22" s="2"/>
      <x:c r="Q22" s="2"/>
    </x:row>
    <x:row r="23" ht="23" customHeight="1">
      <x:c r="A23" s="2"/>
      <x:c r="B23" s="2"/>
      <x:c r="C23" s="2"/>
      <x:c r="D23" s="2"/>
      <x:c r="E23" s="2"/>
      <x:c r="F23" s="2"/>
      <x:c r="G23" s="2"/>
      <x:c r="H23" s="2"/>
      <x:c r="I23" s="2"/>
      <x:c r="J23" s="2"/>
      <x:c r="K23" s="2"/>
      <x:c r="L23" s="2"/>
      <x:c r="M23" s="2"/>
      <x:c r="N23" s="2"/>
      <x:c r="O23" s="2"/>
      <x:c r="P23" s="2"/>
      <x:c r="Q23" s="2"/>
    </x:row>
    <x:row r="24" ht="23" customHeight="1">
      <x:c r="A24" s="2"/>
      <x:c r="B24" s="2"/>
      <x:c r="C24" s="2"/>
      <x:c r="D24" s="2"/>
      <x:c r="E24" s="2"/>
      <x:c r="F24" s="2"/>
      <x:c r="G24" s="2"/>
      <x:c r="H24" s="2"/>
      <x:c r="I24" s="2"/>
      <x:c r="J24" s="2"/>
      <x:c r="K24" s="2"/>
      <x:c r="L24" s="2"/>
      <x:c r="M24" s="2"/>
      <x:c r="N24" s="2"/>
      <x:c r="O24" s="2"/>
      <x:c r="P24" s="2"/>
      <x:c r="Q24" s="2"/>
    </x:row>
    <x:row r="25" ht="23" customHeight="1">
      <x:c r="A25" s="2"/>
      <x:c r="B25" s="2"/>
      <x:c r="C25" s="2"/>
      <x:c r="D25" s="2"/>
      <x:c r="E25" s="2"/>
      <x:c r="F25" s="2"/>
      <x:c r="G25" s="2"/>
      <x:c r="H25" s="2"/>
      <x:c r="I25" s="2"/>
      <x:c r="J25" s="2"/>
      <x:c r="K25" s="2"/>
      <x:c r="L25" s="2"/>
      <x:c r="M25" s="2"/>
      <x:c r="N25" s="2"/>
      <x:c r="O25" s="2"/>
      <x:c r="P25" s="2"/>
      <x:c r="Q25" s="2"/>
    </x:row>
    <x:row r="26" ht="23" customHeight="1">
      <x:c r="A26" s="2"/>
      <x:c r="B26" s="2"/>
      <x:c r="C26" s="2"/>
      <x:c r="D26" s="2"/>
      <x:c r="E26" s="2"/>
      <x:c r="F26" s="2"/>
      <x:c r="G26" s="2"/>
      <x:c r="H26" s="2"/>
      <x:c r="I26" s="2"/>
      <x:c r="J26" s="2"/>
      <x:c r="K26" s="2"/>
      <x:c r="L26" s="2"/>
      <x:c r="M26" s="2"/>
      <x:c r="N26" s="2"/>
      <x:c r="O26" s="2"/>
      <x:c r="P26" s="2"/>
      <x:c r="Q26" s="2"/>
    </x:row>
    <x:row r="27" ht="23" customHeight="1">
      <x:c r="A27" s="2"/>
      <x:c r="B27" s="2"/>
      <x:c r="C27" s="2"/>
      <x:c r="D27" s="2"/>
      <x:c r="E27" s="2"/>
      <x:c r="F27" s="2"/>
      <x:c r="G27" s="2"/>
      <x:c r="H27" s="2"/>
      <x:c r="I27" s="2"/>
      <x:c r="J27" s="2"/>
      <x:c r="K27" s="2"/>
      <x:c r="L27" s="2"/>
      <x:c r="M27" s="2"/>
      <x:c r="N27" s="2"/>
      <x:c r="O27" s="2"/>
      <x:c r="P27" s="2"/>
      <x:c r="Q27" s="2"/>
    </x:row>
    <x:row r="28" ht="23" customHeight="1">
      <x:c r="A28" s="2"/>
      <x:c r="B28" s="2"/>
      <x:c r="C28" s="2"/>
      <x:c r="D28" s="2"/>
      <x:c r="E28" s="2"/>
      <x:c r="F28" s="2"/>
      <x:c r="G28" s="2"/>
      <x:c r="H28" s="2"/>
      <x:c r="I28" s="2"/>
      <x:c r="J28" s="2"/>
      <x:c r="K28" s="2"/>
      <x:c r="L28" s="2"/>
      <x:c r="M28" s="2"/>
      <x:c r="N28" s="2"/>
      <x:c r="O28" s="2"/>
      <x:c r="P28" s="2"/>
      <x:c r="Q28" s="2"/>
    </x:row>
    <x:row r="29" ht="23" customHeight="1">
      <x:c r="A29" s="2"/>
      <x:c r="B29" s="2"/>
      <x:c r="C29" s="2"/>
      <x:c r="D29" s="2"/>
      <x:c r="E29" s="2"/>
      <x:c r="F29" s="2"/>
      <x:c r="G29" s="2"/>
      <x:c r="H29" s="2"/>
      <x:c r="I29" s="2"/>
      <x:c r="J29" s="2"/>
      <x:c r="K29" s="2"/>
      <x:c r="L29" s="2"/>
      <x:c r="M29" s="2"/>
      <x:c r="N29" s="2"/>
      <x:c r="O29" s="2"/>
      <x:c r="P29" s="2"/>
      <x:c r="Q29" s="2"/>
    </x:row>
    <x:row r="30" ht="23" customHeight="1">
      <x:c r="A30" s="2"/>
      <x:c r="B30" s="2"/>
      <x:c r="C30" s="2"/>
      <x:c r="D30" s="2"/>
      <x:c r="E30" s="2"/>
      <x:c r="F30" s="2"/>
      <x:c r="G30" s="2"/>
      <x:c r="H30" s="2"/>
      <x:c r="I30" s="2"/>
      <x:c r="J30" s="2"/>
      <x:c r="K30" s="2"/>
      <x:c r="L30" s="2"/>
      <x:c r="M30" s="2"/>
      <x:c r="N30" s="2"/>
      <x:c r="O30" s="2"/>
      <x:c r="P30" s="2"/>
      <x:c r="Q30" s="2"/>
    </x:row>
    <x:row r="31" ht="23" customHeight="1">
      <x:c r="A31" s="2"/>
      <x:c r="B31" s="2"/>
      <x:c r="C31" s="2"/>
      <x:c r="D31" s="2"/>
      <x:c r="E31" s="2"/>
      <x:c r="F31" s="2"/>
      <x:c r="G31" s="2"/>
      <x:c r="H31" s="2"/>
      <x:c r="I31" s="2"/>
      <x:c r="J31" s="2"/>
      <x:c r="K31" s="2"/>
      <x:c r="L31" s="2"/>
      <x:c r="M31" s="2"/>
      <x:c r="N31" s="2"/>
      <x:c r="O31" s="2"/>
      <x:c r="P31" s="2"/>
      <x:c r="Q31" s="2"/>
    </x:row>
    <x:row r="32" ht="23" customHeight="1">
      <x:c r="A32" s="2"/>
      <x:c r="B32" s="2"/>
      <x:c r="C32" s="2"/>
      <x:c r="D32" s="2"/>
      <x:c r="E32" s="2"/>
      <x:c r="F32" s="2"/>
      <x:c r="G32" s="2"/>
      <x:c r="H32" s="2"/>
      <x:c r="I32" s="2"/>
      <x:c r="J32" s="2"/>
      <x:c r="K32" s="2"/>
      <x:c r="L32" s="2"/>
      <x:c r="M32" s="2"/>
      <x:c r="N32" s="2"/>
      <x:c r="O32" s="2"/>
      <x:c r="P32" s="2"/>
      <x:c r="Q32" s="2"/>
    </x:row>
    <x:row r="33" ht="23" customHeight="1">
      <x:c r="A33" s="2"/>
      <x:c r="B33" s="2"/>
      <x:c r="C33" s="2"/>
      <x:c r="D33" s="2"/>
      <x:c r="E33" s="2"/>
      <x:c r="F33" s="2"/>
      <x:c r="G33" s="2"/>
      <x:c r="H33" s="2"/>
      <x:c r="I33" s="2"/>
      <x:c r="J33" s="2"/>
      <x:c r="K33" s="2"/>
      <x:c r="L33" s="2"/>
      <x:c r="M33" s="2"/>
      <x:c r="N33" s="2"/>
      <x:c r="O33" s="2"/>
      <x:c r="P33" s="2"/>
      <x:c r="Q33" s="2"/>
    </x:row>
    <x:row r="34" ht="23" customHeight="1">
      <x:c r="A34" s="2"/>
      <x:c r="B34" s="2"/>
      <x:c r="C34" s="2"/>
      <x:c r="D34" s="2"/>
      <x:c r="E34" s="2"/>
      <x:c r="F34" s="2"/>
      <x:c r="G34" s="2"/>
      <x:c r="H34" s="2"/>
      <x:c r="I34" s="2"/>
      <x:c r="J34" s="2"/>
      <x:c r="K34" s="2"/>
      <x:c r="L34" s="2"/>
      <x:c r="M34" s="2"/>
      <x:c r="N34" s="2"/>
      <x:c r="O34" s="2"/>
      <x:c r="P34" s="2"/>
      <x:c r="Q34" s="2"/>
    </x:row>
    <x:row r="35" ht="23" customHeight="1">
      <x:c r="A35" s="2"/>
      <x:c r="B35" s="2"/>
      <x:c r="C35" s="2"/>
      <x:c r="D35" s="2"/>
      <x:c r="E35" s="2"/>
      <x:c r="F35" s="2"/>
      <x:c r="G35" s="2"/>
      <x:c r="H35" s="2"/>
      <x:c r="I35" s="2"/>
      <x:c r="J35" s="2"/>
      <x:c r="K35" s="2"/>
      <x:c r="L35" s="2"/>
      <x:c r="M35" s="2"/>
      <x:c r="N35" s="2"/>
      <x:c r="O35" s="2"/>
      <x:c r="P35" s="2"/>
      <x:c r="Q35" s="2"/>
    </x:row>
    <x:row r="36" ht="23" customHeight="1">
      <x:c r="A36" s="2"/>
      <x:c r="B36" s="2"/>
      <x:c r="C36" s="2"/>
      <x:c r="D36" s="2"/>
      <x:c r="E36" s="2"/>
      <x:c r="F36" s="2"/>
      <x:c r="G36" s="2"/>
      <x:c r="H36" s="2"/>
      <x:c r="I36" s="2"/>
      <x:c r="J36" s="2"/>
      <x:c r="K36" s="2"/>
      <x:c r="L36" s="2"/>
      <x:c r="M36" s="2"/>
      <x:c r="N36" s="2"/>
      <x:c r="O36" s="2"/>
      <x:c r="P36" s="2"/>
      <x:c r="Q36" s="2"/>
    </x:row>
    <x:row r="37" ht="23" customHeight="1">
      <x:c r="A37" s="2"/>
      <x:c r="B37" s="2"/>
      <x:c r="C37" s="2"/>
      <x:c r="D37" s="2"/>
      <x:c r="E37" s="2"/>
      <x:c r="F37" s="2"/>
      <x:c r="G37" s="2"/>
      <x:c r="H37" s="2"/>
      <x:c r="I37" s="2"/>
      <x:c r="J37" s="2"/>
      <x:c r="K37" s="2"/>
      <x:c r="L37" s="2"/>
      <x:c r="M37" s="2"/>
      <x:c r="N37" s="2"/>
      <x:c r="O37" s="2"/>
      <x:c r="P37" s="2"/>
      <x:c r="Q37" s="2"/>
    </x:row>
    <x:row r="38" ht="23" customHeight="1">
      <x:c r="A38" s="2"/>
      <x:c r="B38" s="2"/>
      <x:c r="C38" s="2"/>
      <x:c r="D38" s="2"/>
      <x:c r="E38" s="2"/>
      <x:c r="F38" s="2"/>
      <x:c r="G38" s="2"/>
      <x:c r="H38" s="2"/>
      <x:c r="I38" s="2"/>
      <x:c r="J38" s="2"/>
      <x:c r="K38" s="2"/>
      <x:c r="L38" s="2"/>
      <x:c r="M38" s="2"/>
      <x:c r="N38" s="2"/>
      <x:c r="O38" s="2"/>
      <x:c r="P38" s="2"/>
      <x:c r="Q38" s="2"/>
    </x:row>
    <x:row r="39" ht="23" customHeight="1">
      <x:c r="A39" s="2"/>
      <x:c r="B39" s="2"/>
      <x:c r="C39" s="2"/>
      <x:c r="D39" s="2"/>
      <x:c r="E39" s="2"/>
      <x:c r="F39" s="2"/>
      <x:c r="G39" s="2"/>
      <x:c r="H39" s="2"/>
      <x:c r="I39" s="2"/>
      <x:c r="J39" s="2"/>
      <x:c r="K39" s="2"/>
      <x:c r="L39" s="2"/>
      <x:c r="M39" s="2"/>
      <x:c r="N39" s="2"/>
      <x:c r="O39" s="2"/>
      <x:c r="P39" s="2"/>
      <x:c r="Q39" s="2"/>
    </x:row>
    <x:row r="40" ht="23" customHeight="1">
      <x:c r="A40" s="2"/>
      <x:c r="B40" s="2"/>
      <x:c r="C40" s="2"/>
      <x:c r="D40" s="2"/>
      <x:c r="E40" s="2"/>
      <x:c r="F40" s="2"/>
      <x:c r="G40" s="2"/>
      <x:c r="H40" s="2"/>
      <x:c r="I40" s="2"/>
      <x:c r="J40" s="2"/>
      <x:c r="K40" s="2"/>
      <x:c r="L40" s="2"/>
      <x:c r="M40" s="2"/>
      <x:c r="N40" s="2"/>
      <x:c r="O40" s="2"/>
      <x:c r="P40" s="2"/>
      <x:c r="Q40" s="2"/>
    </x:row>
    <x:row r="41" ht="23" customHeight="1">
      <x:c r="A41" s="2"/>
      <x:c r="B41" s="2"/>
      <x:c r="C41" s="2"/>
      <x:c r="D41" s="2"/>
      <x:c r="E41" s="2"/>
      <x:c r="F41" s="2"/>
      <x:c r="G41" s="2"/>
      <x:c r="H41" s="2"/>
      <x:c r="I41" s="2"/>
      <x:c r="J41" s="2"/>
      <x:c r="K41" s="2"/>
      <x:c r="L41" s="2"/>
      <x:c r="M41" s="2"/>
      <x:c r="N41" s="2"/>
      <x:c r="O41" s="2"/>
      <x:c r="P41" s="2"/>
      <x:c r="Q41" s="2"/>
    </x:row>
    <x:row r="42" ht="23" customHeight="1">
      <x:c r="A42" s="2"/>
      <x:c r="B42" s="2"/>
      <x:c r="C42" s="2"/>
      <x:c r="D42" s="2"/>
      <x:c r="E42" s="2"/>
      <x:c r="F42" s="2"/>
      <x:c r="G42" s="2"/>
      <x:c r="H42" s="2"/>
      <x:c r="I42" s="2"/>
      <x:c r="J42" s="2"/>
      <x:c r="K42" s="2"/>
      <x:c r="L42" s="2"/>
      <x:c r="M42" s="2"/>
      <x:c r="N42" s="2"/>
      <x:c r="O42" s="2"/>
      <x:c r="P42" s="2"/>
      <x:c r="Q42" s="2"/>
    </x:row>
    <x:row r="43" ht="23" customHeight="1">
      <x:c r="A43" s="2"/>
      <x:c r="B43" s="2"/>
      <x:c r="C43" s="2"/>
      <x:c r="D43" s="2"/>
      <x:c r="E43" s="2"/>
      <x:c r="F43" s="2"/>
      <x:c r="G43" s="2"/>
      <x:c r="H43" s="2"/>
      <x:c r="I43" s="2"/>
      <x:c r="J43" s="2"/>
      <x:c r="K43" s="2"/>
      <x:c r="L43" s="2"/>
      <x:c r="M43" s="2"/>
      <x:c r="N43" s="2"/>
      <x:c r="O43" s="2"/>
      <x:c r="P43" s="2"/>
      <x:c r="Q43" s="2"/>
    </x:row>
    <x:row r="44" ht="23" customHeight="1">
      <x:c r="A44" s="2"/>
      <x:c r="B44" s="2"/>
      <x:c r="C44" s="2"/>
      <x:c r="D44" s="2"/>
      <x:c r="E44" s="2"/>
      <x:c r="F44" s="2"/>
      <x:c r="G44" s="2"/>
      <x:c r="H44" s="2"/>
      <x:c r="I44" s="2"/>
      <x:c r="J44" s="2"/>
      <x:c r="K44" s="2"/>
      <x:c r="L44" s="2"/>
      <x:c r="M44" s="2"/>
      <x:c r="N44" s="2"/>
      <x:c r="O44" s="2"/>
      <x:c r="P44" s="2"/>
      <x:c r="Q44" s="2"/>
    </x:row>
    <x:row r="45" ht="23" customHeight="1">
      <x:c r="A45" s="2"/>
      <x:c r="B45" s="2"/>
      <x:c r="C45" s="2"/>
      <x:c r="D45" s="2"/>
      <x:c r="E45" s="2"/>
      <x:c r="F45" s="2"/>
      <x:c r="G45" s="2"/>
      <x:c r="H45" s="2"/>
      <x:c r="I45" s="2"/>
      <x:c r="J45" s="2"/>
      <x:c r="K45" s="2"/>
      <x:c r="L45" s="2"/>
      <x:c r="M45" s="2"/>
      <x:c r="N45" s="2"/>
      <x:c r="O45" s="2"/>
      <x:c r="P45" s="2"/>
      <x:c r="Q45" s="2"/>
    </x:row>
    <x:row r="46" ht="23" customHeight="1">
      <x:c r="A46" s="2"/>
      <x:c r="B46" s="2"/>
      <x:c r="C46" s="2"/>
      <x:c r="D46" s="2"/>
      <x:c r="E46" s="2"/>
      <x:c r="F46" s="2"/>
      <x:c r="G46" s="2"/>
      <x:c r="H46" s="2"/>
      <x:c r="I46" s="2"/>
      <x:c r="J46" s="2"/>
      <x:c r="K46" s="2"/>
      <x:c r="L46" s="2"/>
      <x:c r="M46" s="2"/>
      <x:c r="N46" s="2"/>
      <x:c r="O46" s="2"/>
      <x:c r="P46" s="2"/>
      <x:c r="Q46" s="2"/>
    </x:row>
    <x:row r="47" ht="23" customHeight="1">
      <x:c r="A47" s="2"/>
      <x:c r="B47" s="2"/>
      <x:c r="C47" s="2"/>
      <x:c r="D47" s="2"/>
      <x:c r="E47" s="2"/>
      <x:c r="F47" s="2"/>
      <x:c r="G47" s="2"/>
      <x:c r="H47" s="2"/>
      <x:c r="I47" s="2"/>
      <x:c r="J47" s="2"/>
      <x:c r="K47" s="2"/>
      <x:c r="L47" s="2"/>
      <x:c r="M47" s="2"/>
      <x:c r="N47" s="2"/>
      <x:c r="O47" s="2"/>
      <x:c r="P47" s="2"/>
      <x:c r="Q47" s="2"/>
    </x:row>
    <x:row r="48" ht="23" customHeight="1">
      <x:c r="A48" s="2"/>
      <x:c r="B48" s="2"/>
      <x:c r="C48" s="2"/>
      <x:c r="D48" s="2"/>
      <x:c r="E48" s="2"/>
      <x:c r="F48" s="2"/>
      <x:c r="G48" s="2"/>
      <x:c r="H48" s="2"/>
      <x:c r="I48" s="2"/>
      <x:c r="J48" s="2"/>
      <x:c r="K48" s="2"/>
      <x:c r="L48" s="2"/>
      <x:c r="M48" s="2"/>
      <x:c r="N48" s="2"/>
      <x:c r="O48" s="2"/>
      <x:c r="P48" s="2"/>
      <x:c r="Q48" s="2"/>
    </x:row>
    <x:row r="49" ht="23" customHeight="1">
      <x:c r="A49" s="2"/>
      <x:c r="B49" s="2"/>
      <x:c r="C49" s="2"/>
      <x:c r="D49" s="2"/>
      <x:c r="E49" s="2"/>
      <x:c r="F49" s="2"/>
      <x:c r="G49" s="2"/>
      <x:c r="H49" s="2"/>
      <x:c r="I49" s="2"/>
      <x:c r="J49" s="2"/>
      <x:c r="K49" s="2"/>
      <x:c r="L49" s="2"/>
      <x:c r="M49" s="2"/>
      <x:c r="N49" s="2"/>
      <x:c r="O49" s="2"/>
      <x:c r="P49" s="2"/>
      <x:c r="Q49" s="2"/>
    </x:row>
    <x:row r="50" ht="23" customHeight="1">
      <x:c r="A50" s="2"/>
      <x:c r="B50" s="2"/>
      <x:c r="C50" s="2"/>
      <x:c r="D50" s="2"/>
      <x:c r="E50" s="2"/>
      <x:c r="F50" s="2"/>
      <x:c r="G50" s="2"/>
      <x:c r="H50" s="2"/>
      <x:c r="I50" s="2"/>
      <x:c r="J50" s="2"/>
      <x:c r="K50" s="2"/>
      <x:c r="L50" s="2"/>
      <x:c r="M50" s="2"/>
      <x:c r="N50" s="2"/>
      <x:c r="O50" s="2"/>
      <x:c r="P50" s="2"/>
      <x:c r="Q50" s="2"/>
    </x:row>
    <x:row r="51" ht="23" customHeight="1">
      <x:c r="A51" s="2"/>
      <x:c r="B51" s="2"/>
      <x:c r="C51" s="2"/>
      <x:c r="D51" s="2"/>
      <x:c r="E51" s="2"/>
      <x:c r="F51" s="2"/>
      <x:c r="G51" s="2"/>
      <x:c r="H51" s="2"/>
      <x:c r="I51" s="2"/>
      <x:c r="J51" s="2"/>
      <x:c r="K51" s="2"/>
      <x:c r="L51" s="2"/>
      <x:c r="M51" s="2"/>
      <x:c r="N51" s="2"/>
      <x:c r="O51" s="2"/>
      <x:c r="P51" s="2"/>
      <x:c r="Q51" s="2"/>
    </x:row>
    <x:row r="52" ht="23" customHeight="1">
      <x:c r="A52" s="2"/>
      <x:c r="B52" s="2"/>
      <x:c r="C52" s="2"/>
      <x:c r="D52" s="2"/>
      <x:c r="E52" s="2"/>
      <x:c r="F52" s="2"/>
      <x:c r="G52" s="2"/>
      <x:c r="H52" s="2"/>
      <x:c r="I52" s="2"/>
      <x:c r="J52" s="2"/>
      <x:c r="K52" s="2"/>
      <x:c r="L52" s="2"/>
      <x:c r="M52" s="2"/>
      <x:c r="N52" s="2"/>
      <x:c r="O52" s="2"/>
      <x:c r="P52" s="2"/>
      <x:c r="Q52" s="2"/>
    </x:row>
    <x:row r="53" ht="23" customHeight="1">
      <x:c r="A53" s="2"/>
      <x:c r="B53" s="2"/>
      <x:c r="C53" s="2"/>
      <x:c r="D53" s="2"/>
      <x:c r="E53" s="2"/>
      <x:c r="F53" s="2"/>
      <x:c r="G53" s="2"/>
      <x:c r="H53" s="2"/>
      <x:c r="I53" s="2"/>
      <x:c r="J53" s="2"/>
      <x:c r="K53" s="2"/>
      <x:c r="L53" s="2"/>
      <x:c r="M53" s="2"/>
      <x:c r="N53" s="2"/>
      <x:c r="O53" s="2"/>
      <x:c r="P53" s="2"/>
      <x:c r="Q53" s="2"/>
    </x:row>
    <x:row r="54" ht="23" customHeight="1">
      <x:c r="A54" s="2"/>
      <x:c r="B54" s="2"/>
      <x:c r="C54" s="2"/>
      <x:c r="D54" s="2"/>
      <x:c r="E54" s="2"/>
      <x:c r="F54" s="2"/>
      <x:c r="G54" s="2"/>
      <x:c r="H54" s="2"/>
      <x:c r="I54" s="2"/>
      <x:c r="J54" s="2"/>
      <x:c r="K54" s="2"/>
      <x:c r="L54" s="2"/>
      <x:c r="M54" s="2"/>
      <x:c r="N54" s="2"/>
      <x:c r="O54" s="2"/>
      <x:c r="P54" s="2"/>
      <x:c r="Q54" s="2"/>
    </x:row>
    <x:row r="55" ht="23" customHeight="1">
      <x:c r="A55" s="2"/>
      <x:c r="B55" s="2"/>
      <x:c r="C55" s="2"/>
      <x:c r="D55" s="2"/>
      <x:c r="E55" s="2"/>
      <x:c r="F55" s="2"/>
      <x:c r="G55" s="2"/>
      <x:c r="H55" s="2"/>
      <x:c r="I55" s="2"/>
      <x:c r="J55" s="2"/>
      <x:c r="K55" s="2"/>
      <x:c r="L55" s="2"/>
      <x:c r="M55" s="2"/>
      <x:c r="N55" s="2"/>
      <x:c r="O55" s="2"/>
      <x:c r="P55" s="2"/>
      <x:c r="Q55" s="2"/>
    </x:row>
    <x:row r="56" ht="23" customHeight="1">
      <x:c r="A56" s="2"/>
      <x:c r="B56" s="2"/>
      <x:c r="C56" s="2"/>
      <x:c r="D56" s="2"/>
      <x:c r="E56" s="2"/>
      <x:c r="F56" s="2"/>
      <x:c r="G56" s="2"/>
      <x:c r="H56" s="2"/>
      <x:c r="I56" s="2"/>
      <x:c r="J56" s="2"/>
      <x:c r="K56" s="2"/>
      <x:c r="L56" s="2"/>
      <x:c r="M56" s="2"/>
      <x:c r="N56" s="2"/>
      <x:c r="O56" s="2"/>
      <x:c r="P56" s="2"/>
      <x:c r="Q56" s="2"/>
    </x:row>
    <x:row r="57" ht="23" customHeight="1">
      <x:c r="A57" s="2"/>
      <x:c r="B57" s="2"/>
      <x:c r="C57" s="2"/>
      <x:c r="D57" s="2"/>
      <x:c r="E57" s="2"/>
      <x:c r="F57" s="2"/>
      <x:c r="G57" s="2"/>
      <x:c r="H57" s="2"/>
      <x:c r="I57" s="2"/>
      <x:c r="J57" s="2"/>
      <x:c r="K57" s="2"/>
      <x:c r="L57" s="2"/>
      <x:c r="M57" s="2"/>
      <x:c r="N57" s="2"/>
      <x:c r="O57" s="2"/>
      <x:c r="P57" s="2"/>
      <x:c r="Q57" s="2"/>
    </x:row>
    <x:row r="58" ht="23" customHeight="1">
      <x:c r="A58" s="2"/>
      <x:c r="B58" s="2"/>
      <x:c r="C58" s="2"/>
      <x:c r="D58" s="2"/>
      <x:c r="E58" s="2"/>
      <x:c r="F58" s="2"/>
      <x:c r="G58" s="2"/>
      <x:c r="H58" s="2"/>
      <x:c r="I58" s="2"/>
      <x:c r="J58" s="2"/>
      <x:c r="K58" s="2"/>
      <x:c r="L58" s="2"/>
      <x:c r="M58" s="2"/>
      <x:c r="N58" s="2"/>
      <x:c r="O58" s="2"/>
      <x:c r="P58" s="2"/>
      <x:c r="Q58" s="2"/>
    </x:row>
    <x:row r="59" ht="23" customHeight="1">
      <x:c r="A59" s="2"/>
      <x:c r="B59" s="2"/>
      <x:c r="C59" s="2"/>
      <x:c r="D59" s="2"/>
      <x:c r="E59" s="2"/>
      <x:c r="F59" s="2"/>
      <x:c r="G59" s="2"/>
      <x:c r="H59" s="2"/>
      <x:c r="I59" s="2"/>
      <x:c r="J59" s="2"/>
      <x:c r="K59" s="2"/>
      <x:c r="L59" s="2"/>
      <x:c r="M59" s="2"/>
      <x:c r="N59" s="2"/>
      <x:c r="O59" s="2"/>
      <x:c r="P59" s="2"/>
      <x:c r="Q59" s="2"/>
    </x:row>
    <x:row r="60" ht="23" customHeight="1">
      <x:c r="A60" s="2"/>
      <x:c r="B60" s="2"/>
      <x:c r="C60" s="2"/>
      <x:c r="D60" s="2"/>
      <x:c r="E60" s="2"/>
      <x:c r="F60" s="2"/>
      <x:c r="G60" s="2"/>
      <x:c r="H60" s="2"/>
      <x:c r="I60" s="2"/>
      <x:c r="J60" s="2"/>
      <x:c r="K60" s="2"/>
      <x:c r="L60" s="2"/>
      <x:c r="M60" s="2"/>
      <x:c r="N60" s="2"/>
      <x:c r="O60" s="2"/>
      <x:c r="P60" s="2"/>
      <x:c r="Q60" s="2"/>
    </x:row>
    <x:row r="61" ht="23" customHeight="1">
      <x:c r="A61" s="2"/>
      <x:c r="B61" s="2"/>
      <x:c r="C61" s="2"/>
      <x:c r="D61" s="2"/>
      <x:c r="E61" s="2"/>
      <x:c r="F61" s="2"/>
      <x:c r="G61" s="2"/>
      <x:c r="H61" s="2"/>
      <x:c r="I61" s="2"/>
      <x:c r="J61" s="2"/>
      <x:c r="K61" s="2"/>
      <x:c r="L61" s="2"/>
      <x:c r="M61" s="2"/>
      <x:c r="N61" s="2"/>
      <x:c r="O61" s="2"/>
      <x:c r="P61" s="2"/>
      <x:c r="Q61" s="2"/>
    </x:row>
    <x:row r="62" ht="23" customHeight="1">
      <x:c r="A62" s="2"/>
      <x:c r="B62" s="2"/>
      <x:c r="C62" s="2"/>
      <x:c r="D62" s="2"/>
      <x:c r="E62" s="2"/>
      <x:c r="F62" s="2"/>
      <x:c r="G62" s="2"/>
      <x:c r="H62" s="2"/>
      <x:c r="I62" s="2"/>
      <x:c r="J62" s="2"/>
      <x:c r="K62" s="2"/>
      <x:c r="L62" s="2"/>
      <x:c r="M62" s="2"/>
      <x:c r="N62" s="2"/>
      <x:c r="O62" s="2"/>
      <x:c r="P62" s="2"/>
      <x:c r="Q62" s="2"/>
    </x:row>
    <x:row r="63" ht="23" customHeight="1">
      <x:c r="A63" s="2"/>
      <x:c r="B63" s="2"/>
      <x:c r="C63" s="2"/>
      <x:c r="D63" s="2"/>
      <x:c r="E63" s="2"/>
      <x:c r="F63" s="2"/>
      <x:c r="G63" s="2"/>
      <x:c r="H63" s="2"/>
      <x:c r="I63" s="2"/>
      <x:c r="J63" s="2"/>
      <x:c r="K63" s="2"/>
      <x:c r="L63" s="2"/>
      <x:c r="M63" s="2"/>
      <x:c r="N63" s="2"/>
      <x:c r="O63" s="2"/>
      <x:c r="P63" s="2"/>
      <x:c r="Q63" s="2"/>
    </x:row>
    <x:row r="64" ht="23" customHeight="1">
      <x:c r="A64" s="2"/>
      <x:c r="B64" s="2"/>
      <x:c r="C64" s="2"/>
      <x:c r="D64" s="2"/>
      <x:c r="E64" s="2"/>
      <x:c r="F64" s="2"/>
      <x:c r="G64" s="2"/>
      <x:c r="H64" s="2"/>
      <x:c r="I64" s="2"/>
      <x:c r="J64" s="2"/>
      <x:c r="K64" s="2"/>
      <x:c r="L64" s="2"/>
      <x:c r="M64" s="2"/>
      <x:c r="N64" s="2"/>
      <x:c r="O64" s="2"/>
      <x:c r="P64" s="2"/>
      <x:c r="Q64" s="2"/>
    </x:row>
    <x:row r="65" ht="23" customHeight="1">
      <x:c r="A65" s="2"/>
      <x:c r="B65" s="2"/>
      <x:c r="C65" s="2"/>
      <x:c r="D65" s="2"/>
      <x:c r="E65" s="2"/>
      <x:c r="F65" s="2"/>
      <x:c r="G65" s="2"/>
      <x:c r="H65" s="2"/>
      <x:c r="I65" s="2"/>
      <x:c r="J65" s="2"/>
      <x:c r="K65" s="2"/>
      <x:c r="L65" s="2"/>
      <x:c r="M65" s="2"/>
      <x:c r="N65" s="2"/>
      <x:c r="O65" s="2"/>
      <x:c r="P65" s="2"/>
      <x:c r="Q65" s="2"/>
    </x:row>
    <x:row r="66" ht="23" customHeight="1">
      <x:c r="A66" s="2"/>
      <x:c r="B66" s="2"/>
      <x:c r="C66" s="2"/>
      <x:c r="D66" s="2"/>
      <x:c r="E66" s="2"/>
      <x:c r="F66" s="2"/>
      <x:c r="G66" s="2"/>
      <x:c r="H66" s="2"/>
      <x:c r="I66" s="2"/>
      <x:c r="J66" s="2"/>
      <x:c r="K66" s="2"/>
      <x:c r="L66" s="2"/>
      <x:c r="M66" s="2"/>
      <x:c r="N66" s="2"/>
      <x:c r="O66" s="2"/>
      <x:c r="P66" s="2"/>
      <x:c r="Q66" s="2"/>
    </x:row>
    <x:row r="67" ht="23" customHeight="1">
      <x:c r="A67" s="2"/>
      <x:c r="B67" s="2"/>
      <x:c r="C67" s="2"/>
      <x:c r="D67" s="2"/>
      <x:c r="E67" s="2"/>
      <x:c r="F67" s="2"/>
      <x:c r="G67" s="2"/>
      <x:c r="H67" s="2"/>
      <x:c r="I67" s="2"/>
      <x:c r="J67" s="2"/>
      <x:c r="K67" s="2"/>
      <x:c r="L67" s="2"/>
      <x:c r="M67" s="2"/>
      <x:c r="N67" s="2"/>
      <x:c r="O67" s="2"/>
      <x:c r="P67" s="2"/>
      <x:c r="Q67" s="2"/>
    </x:row>
    <x:row r="68" ht="23" customHeight="1">
      <x:c r="A68" s="2"/>
      <x:c r="B68" s="2"/>
      <x:c r="C68" s="2"/>
      <x:c r="D68" s="2"/>
      <x:c r="E68" s="2"/>
      <x:c r="F68" s="2"/>
      <x:c r="G68" s="2"/>
      <x:c r="H68" s="2"/>
      <x:c r="I68" s="2"/>
      <x:c r="J68" s="2"/>
      <x:c r="K68" s="2"/>
      <x:c r="L68" s="2"/>
      <x:c r="M68" s="2"/>
      <x:c r="N68" s="2"/>
      <x:c r="O68" s="2"/>
      <x:c r="P68" s="2"/>
      <x:c r="Q68" s="2"/>
    </x:row>
    <x:row r="69" ht="23" customHeight="1">
      <x:c r="A69" s="2"/>
      <x:c r="B69" s="2"/>
      <x:c r="C69" s="2"/>
      <x:c r="D69" s="2"/>
      <x:c r="E69" s="2"/>
      <x:c r="F69" s="2"/>
      <x:c r="G69" s="2"/>
      <x:c r="H69" s="2"/>
      <x:c r="I69" s="2"/>
      <x:c r="J69" s="2"/>
      <x:c r="K69" s="2"/>
      <x:c r="L69" s="2"/>
      <x:c r="M69" s="2"/>
      <x:c r="N69" s="2"/>
      <x:c r="O69" s="2"/>
      <x:c r="P69" s="2"/>
      <x:c r="Q69" s="2"/>
    </x:row>
    <x:row r="70" ht="23" customHeight="1">
      <x:c r="A70" s="2"/>
      <x:c r="B70" s="2"/>
      <x:c r="C70" s="2"/>
      <x:c r="D70" s="2"/>
      <x:c r="E70" s="2"/>
      <x:c r="F70" s="2"/>
      <x:c r="G70" s="2"/>
      <x:c r="H70" s="2"/>
      <x:c r="I70" s="2"/>
      <x:c r="J70" s="2"/>
      <x:c r="K70" s="2"/>
      <x:c r="L70" s="2"/>
      <x:c r="M70" s="2"/>
      <x:c r="N70" s="2"/>
      <x:c r="O70" s="2"/>
      <x:c r="P70" s="2"/>
      <x:c r="Q70" s="2"/>
    </x:row>
    <x:row r="71" ht="23" customHeight="1">
      <x:c r="A71" s="2"/>
      <x:c r="B71" s="2"/>
      <x:c r="C71" s="2"/>
      <x:c r="D71" s="2"/>
      <x:c r="E71" s="2"/>
      <x:c r="F71" s="2"/>
      <x:c r="G71" s="2"/>
      <x:c r="H71" s="2"/>
      <x:c r="I71" s="2"/>
      <x:c r="J71" s="2"/>
      <x:c r="K71" s="2"/>
      <x:c r="L71" s="2"/>
      <x:c r="M71" s="2"/>
      <x:c r="N71" s="2"/>
      <x:c r="O71" s="2"/>
      <x:c r="P71" s="2"/>
      <x:c r="Q71" s="2"/>
    </x:row>
    <x:row r="72" ht="23" customHeight="1">
      <x:c r="A72" s="2"/>
      <x:c r="B72" s="2"/>
      <x:c r="C72" s="2"/>
      <x:c r="D72" s="2"/>
      <x:c r="E72" s="2"/>
      <x:c r="F72" s="2"/>
      <x:c r="G72" s="2"/>
      <x:c r="H72" s="2"/>
      <x:c r="I72" s="2"/>
      <x:c r="J72" s="2"/>
      <x:c r="K72" s="2"/>
      <x:c r="L72" s="2"/>
      <x:c r="M72" s="2"/>
      <x:c r="N72" s="2"/>
      <x:c r="O72" s="2"/>
      <x:c r="P72" s="2"/>
      <x:c r="Q72" s="2"/>
    </x:row>
    <x:row r="73" ht="23" customHeight="1">
      <x:c r="A73" s="2"/>
      <x:c r="B73" s="2"/>
      <x:c r="C73" s="2"/>
      <x:c r="D73" s="2"/>
      <x:c r="E73" s="2"/>
      <x:c r="F73" s="2"/>
      <x:c r="G73" s="2"/>
      <x:c r="H73" s="2"/>
      <x:c r="I73" s="2"/>
      <x:c r="J73" s="2"/>
      <x:c r="K73" s="2"/>
      <x:c r="L73" s="2"/>
      <x:c r="M73" s="2"/>
      <x:c r="N73" s="2"/>
      <x:c r="O73" s="2"/>
      <x:c r="P73" s="2"/>
      <x:c r="Q73" s="2"/>
    </x:row>
    <x:row r="74" ht="23" customHeight="1">
      <x:c r="A74" s="2"/>
      <x:c r="B74" s="2"/>
      <x:c r="C74" s="2"/>
      <x:c r="D74" s="2"/>
      <x:c r="E74" s="2"/>
      <x:c r="F74" s="2"/>
      <x:c r="G74" s="2"/>
      <x:c r="H74" s="2"/>
      <x:c r="I74" s="2"/>
      <x:c r="J74" s="2"/>
      <x:c r="K74" s="2"/>
      <x:c r="L74" s="2"/>
      <x:c r="M74" s="2"/>
      <x:c r="N74" s="2"/>
      <x:c r="O74" s="2"/>
      <x:c r="P74" s="2"/>
      <x:c r="Q74" s="2"/>
    </x:row>
    <x:row r="75" ht="23" customHeight="1">
      <x:c r="A75" s="2"/>
      <x:c r="B75" s="2"/>
      <x:c r="C75" s="2"/>
      <x:c r="D75" s="2"/>
      <x:c r="E75" s="2"/>
      <x:c r="F75" s="2"/>
      <x:c r="G75" s="2"/>
      <x:c r="H75" s="2"/>
      <x:c r="I75" s="2"/>
      <x:c r="J75" s="2"/>
      <x:c r="K75" s="2"/>
      <x:c r="L75" s="2"/>
      <x:c r="M75" s="2"/>
      <x:c r="N75" s="2"/>
      <x:c r="O75" s="2"/>
      <x:c r="P75" s="2"/>
      <x:c r="Q75" s="2"/>
    </x:row>
    <x:row r="76" ht="23" customHeight="1">
      <x:c r="A76" s="2"/>
      <x:c r="B76" s="2"/>
      <x:c r="C76" s="2"/>
      <x:c r="D76" s="2"/>
      <x:c r="E76" s="2"/>
      <x:c r="F76" s="2"/>
      <x:c r="G76" s="2"/>
      <x:c r="H76" s="2"/>
      <x:c r="I76" s="2"/>
      <x:c r="J76" s="2"/>
      <x:c r="K76" s="2"/>
      <x:c r="L76" s="2"/>
      <x:c r="M76" s="2"/>
      <x:c r="N76" s="2"/>
      <x:c r="O76" s="2"/>
      <x:c r="P76" s="2"/>
      <x:c r="Q76" s="2"/>
    </x:row>
    <x:row r="77" ht="23" customHeight="1">
      <x:c r="A77" s="2"/>
      <x:c r="B77" s="2"/>
      <x:c r="C77" s="2"/>
      <x:c r="D77" s="2"/>
      <x:c r="E77" s="2"/>
      <x:c r="F77" s="2"/>
      <x:c r="G77" s="2"/>
      <x:c r="H77" s="2"/>
      <x:c r="I77" s="2"/>
      <x:c r="J77" s="2"/>
      <x:c r="K77" s="2"/>
      <x:c r="L77" s="2"/>
      <x:c r="M77" s="2"/>
      <x:c r="N77" s="2"/>
      <x:c r="O77" s="2"/>
      <x:c r="P77" s="2"/>
      <x:c r="Q77" s="2"/>
    </x:row>
    <x:row r="78" ht="23" customHeight="1">
      <x:c r="A78" s="2"/>
      <x:c r="B78" s="2"/>
      <x:c r="C78" s="2"/>
      <x:c r="D78" s="2"/>
      <x:c r="E78" s="2"/>
      <x:c r="F78" s="2"/>
      <x:c r="G78" s="2"/>
      <x:c r="H78" s="2"/>
      <x:c r="I78" s="2"/>
      <x:c r="J78" s="2"/>
      <x:c r="K78" s="2"/>
      <x:c r="L78" s="2"/>
      <x:c r="M78" s="2"/>
      <x:c r="N78" s="2"/>
      <x:c r="O78" s="2"/>
      <x:c r="P78" s="2"/>
      <x:c r="Q78" s="2"/>
    </x:row>
    <x:row r="79" ht="23" customHeight="1">
      <x:c r="A79" s="2"/>
      <x:c r="B79" s="2"/>
      <x:c r="C79" s="2"/>
      <x:c r="D79" s="2"/>
      <x:c r="E79" s="2"/>
      <x:c r="F79" s="2"/>
      <x:c r="G79" s="2"/>
      <x:c r="H79" s="2"/>
      <x:c r="I79" s="2"/>
      <x:c r="J79" s="2"/>
      <x:c r="K79" s="2"/>
      <x:c r="L79" s="2"/>
      <x:c r="M79" s="2"/>
      <x:c r="N79" s="2"/>
      <x:c r="O79" s="2"/>
      <x:c r="P79" s="2"/>
      <x:c r="Q79" s="2"/>
    </x:row>
    <x:row r="80" ht="23" customHeight="1">
      <x:c r="A80" s="2"/>
      <x:c r="B80" s="2"/>
      <x:c r="C80" s="2"/>
      <x:c r="D80" s="2"/>
      <x:c r="E80" s="2"/>
      <x:c r="F80" s="2"/>
      <x:c r="G80" s="2"/>
      <x:c r="H80" s="2"/>
      <x:c r="I80" s="2"/>
      <x:c r="J80" s="2"/>
      <x:c r="K80" s="2"/>
      <x:c r="L80" s="2"/>
      <x:c r="M80" s="2"/>
      <x:c r="N80" s="2"/>
      <x:c r="O80" s="2"/>
      <x:c r="P80" s="2"/>
      <x:c r="Q80" s="2"/>
    </x:row>
    <x:row r="81" ht="23" customHeight="1">
      <x:c r="A81" s="2"/>
      <x:c r="B81" s="2"/>
      <x:c r="C81" s="2"/>
      <x:c r="D81" s="2"/>
      <x:c r="E81" s="2"/>
      <x:c r="F81" s="2"/>
      <x:c r="G81" s="2"/>
      <x:c r="H81" s="2"/>
      <x:c r="I81" s="2"/>
      <x:c r="J81" s="2"/>
      <x:c r="K81" s="2"/>
      <x:c r="L81" s="2"/>
      <x:c r="M81" s="2"/>
      <x:c r="N81" s="2"/>
      <x:c r="O81" s="2"/>
      <x:c r="P81" s="2"/>
      <x:c r="Q81" s="2"/>
    </x:row>
    <x:row r="82" ht="23" customHeight="1">
      <x:c r="A82" s="2"/>
      <x:c r="B82" s="2"/>
      <x:c r="C82" s="2"/>
      <x:c r="D82" s="2"/>
      <x:c r="E82" s="2"/>
      <x:c r="F82" s="2"/>
      <x:c r="G82" s="2"/>
      <x:c r="H82" s="2"/>
      <x:c r="I82" s="2"/>
      <x:c r="J82" s="2"/>
      <x:c r="K82" s="2"/>
      <x:c r="L82" s="2"/>
      <x:c r="M82" s="2"/>
      <x:c r="N82" s="2"/>
      <x:c r="O82" s="2"/>
      <x:c r="P82" s="2"/>
      <x:c r="Q82" s="2"/>
    </x:row>
    <x:row r="83" ht="23" customHeight="1">
      <x:c r="A83" s="2"/>
      <x:c r="B83" s="2"/>
      <x:c r="C83" s="2"/>
      <x:c r="D83" s="2"/>
      <x:c r="E83" s="2"/>
      <x:c r="F83" s="2"/>
      <x:c r="G83" s="2"/>
      <x:c r="H83" s="2"/>
      <x:c r="I83" s="2"/>
      <x:c r="J83" s="2"/>
      <x:c r="K83" s="2"/>
      <x:c r="L83" s="2"/>
      <x:c r="M83" s="2"/>
      <x:c r="N83" s="2"/>
      <x:c r="O83" s="2"/>
      <x:c r="P83" s="2"/>
      <x:c r="Q83" s="2"/>
    </x:row>
    <x:row r="84" ht="23" customHeight="1">
      <x:c r="A84" s="2"/>
      <x:c r="B84" s="2"/>
      <x:c r="C84" s="2"/>
      <x:c r="D84" s="2"/>
      <x:c r="E84" s="2"/>
      <x:c r="F84" s="2"/>
      <x:c r="G84" s="2"/>
      <x:c r="H84" s="2"/>
      <x:c r="I84" s="2"/>
      <x:c r="J84" s="2"/>
      <x:c r="K84" s="2"/>
      <x:c r="L84" s="2"/>
      <x:c r="M84" s="2"/>
      <x:c r="N84" s="2"/>
      <x:c r="O84" s="2"/>
      <x:c r="P84" s="2"/>
      <x:c r="Q84" s="2"/>
    </x:row>
    <x:row r="85" ht="23" customHeight="1">
      <x:c r="A85" s="2"/>
      <x:c r="B85" s="2"/>
      <x:c r="C85" s="2"/>
      <x:c r="D85" s="2"/>
      <x:c r="E85" s="2"/>
      <x:c r="F85" s="2"/>
      <x:c r="G85" s="2"/>
      <x:c r="H85" s="2"/>
      <x:c r="I85" s="2"/>
      <x:c r="J85" s="2"/>
      <x:c r="K85" s="2"/>
      <x:c r="L85" s="2"/>
      <x:c r="M85" s="2"/>
      <x:c r="N85" s="2"/>
      <x:c r="O85" s="2"/>
      <x:c r="P85" s="2"/>
      <x:c r="Q85" s="2"/>
    </x:row>
    <x:row r="86" ht="23" customHeight="1">
      <x:c r="A86" s="2"/>
      <x:c r="B86" s="2"/>
      <x:c r="C86" s="2"/>
      <x:c r="D86" s="2"/>
      <x:c r="E86" s="2"/>
      <x:c r="F86" s="2"/>
      <x:c r="G86" s="2"/>
      <x:c r="H86" s="2"/>
      <x:c r="I86" s="2"/>
      <x:c r="J86" s="2"/>
      <x:c r="K86" s="2"/>
      <x:c r="L86" s="2"/>
      <x:c r="M86" s="2"/>
      <x:c r="N86" s="2"/>
      <x:c r="O86" s="2"/>
      <x:c r="P86" s="2"/>
      <x:c r="Q86" s="2"/>
    </x:row>
    <x:row r="87" ht="23" customHeight="1">
      <x:c r="A87" s="2"/>
      <x:c r="B87" s="2"/>
      <x:c r="C87" s="2"/>
      <x:c r="D87" s="2"/>
      <x:c r="E87" s="2"/>
      <x:c r="F87" s="2"/>
      <x:c r="G87" s="2"/>
      <x:c r="H87" s="2"/>
      <x:c r="I87" s="2"/>
      <x:c r="J87" s="2"/>
      <x:c r="K87" s="2"/>
      <x:c r="L87" s="2"/>
      <x:c r="M87" s="2"/>
      <x:c r="N87" s="2"/>
      <x:c r="O87" s="2"/>
      <x:c r="P87" s="2"/>
      <x:c r="Q87" s="2"/>
    </x:row>
    <x:row r="88" ht="23" customHeight="1">
      <x:c r="A88" s="2"/>
      <x:c r="B88" s="2"/>
      <x:c r="C88" s="2"/>
      <x:c r="D88" s="2"/>
      <x:c r="E88" s="2"/>
      <x:c r="F88" s="2"/>
      <x:c r="G88" s="2"/>
      <x:c r="H88" s="2"/>
      <x:c r="I88" s="2"/>
      <x:c r="J88" s="2"/>
      <x:c r="K88" s="2"/>
      <x:c r="L88" s="2"/>
      <x:c r="M88" s="2"/>
      <x:c r="N88" s="2"/>
      <x:c r="O88" s="2"/>
      <x:c r="P88" s="2"/>
      <x:c r="Q88" s="2"/>
    </x:row>
    <x:row r="89" ht="23" customHeight="1">
      <x:c r="A89" s="2"/>
      <x:c r="B89" s="2"/>
      <x:c r="C89" s="2"/>
      <x:c r="D89" s="2"/>
      <x:c r="E89" s="2"/>
      <x:c r="F89" s="2"/>
      <x:c r="G89" s="2"/>
      <x:c r="H89" s="2"/>
      <x:c r="I89" s="2"/>
      <x:c r="J89" s="2"/>
      <x:c r="K89" s="2"/>
      <x:c r="L89" s="2"/>
      <x:c r="M89" s="2"/>
      <x:c r="N89" s="2"/>
      <x:c r="O89" s="2"/>
      <x:c r="P89" s="2"/>
      <x:c r="Q89" s="2"/>
    </x:row>
    <x:row r="90" ht="23" customHeight="1">
      <x:c r="A90" s="2"/>
      <x:c r="B90" s="2"/>
      <x:c r="C90" s="2"/>
      <x:c r="D90" s="2"/>
      <x:c r="E90" s="2"/>
      <x:c r="F90" s="2"/>
      <x:c r="G90" s="2"/>
      <x:c r="H90" s="2"/>
      <x:c r="I90" s="2"/>
      <x:c r="J90" s="2"/>
      <x:c r="K90" s="2"/>
      <x:c r="L90" s="2"/>
      <x:c r="M90" s="2"/>
      <x:c r="N90" s="2"/>
      <x:c r="O90" s="2"/>
      <x:c r="P90" s="2"/>
      <x:c r="Q90" s="2"/>
    </x:row>
  </x:sheetData>
  <x:conditionalFormatting sqref="F6:F15">
    <x:cfRule type="cellIs" dxfId="4" priority="1" operator="lessThan">
      <x:formula>0</x:formula>
    </x:cfRule>
    <x:cfRule type="cellIs" dxfId="5" priority="2" operator="greaterThan">
      <x:formula>0</x:formula>
    </x:cfRule>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3" hidden="0" customWidth="1"/>
    <x:col min="3" max="3" width="31" hidden="0" customWidth="1"/>
    <x:col min="4" max="4" width="31" hidden="0" customWidth="1"/>
    <x:col min="5" max="5" width="18" hidden="0" customWidth="1"/>
    <x:col min="6" max="6" width="18" hidden="0" customWidth="1"/>
    <x:col min="7" max="7" width="18" hidden="0" customWidth="1"/>
    <x:col min="8" max="8" width="95"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s>
  <x:sheetData>
    <x:row r="1" ht="23" customHeight="1">
      <x:c r="A1" s="2"/>
      <x:c r="B1" s="2"/>
      <x:c r="C1" s="2"/>
      <x:c r="D1" s="2"/>
      <x:c r="E1" s="2"/>
      <x:c r="F1" s="2"/>
      <x:c r="G1" s="2"/>
      <x:c r="H1" s="2"/>
      <x:c r="I1" s="2"/>
      <x:c r="J1" s="2"/>
      <x:c r="K1" s="2"/>
      <x:c r="L1" s="2"/>
      <x:c r="M1" s="2"/>
      <x:c r="N1" s="2"/>
      <x:c r="O1" s="2"/>
      <x:c r="P1" s="2"/>
      <x:c r="Q1" s="2"/>
    </x:row>
    <x:row r="2" ht="23" customHeight="1">
      <x:c r="A2" s="2"/>
      <x:c r="B2" s="2"/>
      <x:c r="C2" s="3" t="str">
        <x:v>PG | What research changed</x:v>
      </x:c>
      <x:c r="D2" s="2"/>
      <x:c r="E2" s="2"/>
      <x:c r="F2" s="2"/>
      <x:c r="G2" s="2"/>
      <x:c r="H2" s="2"/>
      <x:c r="I2" s="2"/>
      <x:c r="J2" s="2"/>
      <x:c r="K2" s="2"/>
      <x:c r="L2" s="2"/>
      <x:c r="M2" s="2"/>
      <x:c r="N2" s="2"/>
      <x:c r="O2" s="2"/>
      <x:c r="P2" s="2"/>
      <x:c r="Q2" s="2"/>
    </x:row>
    <x:row r="3" ht="23" customHeight="1">
      <x:c r="A3" s="2"/>
      <x:c r="B3" s="2"/>
      <x:c r="C3" s="4"/>
      <x:c r="D3" s="4"/>
      <x:c r="E3" s="4"/>
      <x:c r="F3" s="4"/>
      <x:c r="G3" s="4"/>
      <x:c r="H3" s="4"/>
      <x:c r="I3" s="4"/>
      <x:c r="J3" s="4"/>
      <x:c r="K3" s="2"/>
      <x:c r="L3" s="2"/>
      <x:c r="M3" s="2"/>
      <x:c r="N3" s="2"/>
      <x:c r="O3" s="2"/>
      <x:c r="P3" s="2"/>
      <x:c r="Q3" s="2"/>
    </x:row>
    <x:row r="4" ht="23" customHeight="1">
      <x:c r="A4" s="2"/>
      <x:c r="B4" s="2"/>
      <x:c r="C4" s="2"/>
      <x:c r="D4" s="2"/>
      <x:c r="E4" s="2"/>
      <x:c r="F4" s="2"/>
      <x:c r="G4" s="2"/>
      <x:c r="H4" s="2"/>
      <x:c r="I4" s="2"/>
      <x:c r="J4" s="2"/>
      <x:c r="K4" s="2"/>
      <x:c r="L4" s="2"/>
      <x:c r="M4" s="2"/>
      <x:c r="N4" s="2"/>
      <x:c r="O4" s="2"/>
      <x:c r="P4" s="2"/>
      <x:c r="Q4" s="2"/>
    </x:row>
    <x:row r="5" ht="40" customHeight="1">
      <x:c r="A5" s="2"/>
      <x:c r="B5" s="2"/>
      <x:c r="C5" s="13" t="str">
        <x:v>Window / case</x:v>
      </x:c>
      <x:c r="D5" s="13" t="str">
        <x:v>Driver</x:v>
      </x:c>
      <x:c r="E5" s="13" t="str">
        <x:v>History assumption</x:v>
      </x:c>
      <x:c r="F5" s="13" t="str">
        <x:v>Research assumption</x:v>
      </x:c>
      <x:c r="G5" s="13" t="str">
        <x:v>Change</x:v>
      </x:c>
      <x:c r="H5" s="13" t="str">
        <x:v>Reason from Scenario agent</x:v>
      </x:c>
      <x:c r="I5" s="2"/>
      <x:c r="J5" s="2"/>
      <x:c r="K5" s="2"/>
      <x:c r="L5" s="2"/>
      <x:c r="M5" s="2"/>
      <x:c r="N5" s="2"/>
      <x:c r="O5" s="2"/>
      <x:c r="P5" s="2"/>
      <x:c r="Q5" s="2"/>
    </x:row>
    <x:row r="6" ht="170" customHeight="1">
      <x:c r="A6" s="2"/>
      <x:c r="B6" s="2"/>
      <x:c r="C6" s="2" t="str">
        <x:v>March / bear</x:v>
      </x:c>
      <x:c r="D6" s="2" t="str">
        <x:v>Sales Growth</x:v>
      </x:c>
      <x:c r="E6" s="26" t="n">
        <x:v>-0.02</x:v>
      </x:c>
      <x:c r="F6" s="26" t="n">
        <x:v>-0.025</x:v>
      </x:c>
      <x:c r="G6" s="27" t="n">
        <x:f>(F6-E6)*100</x:f>
        <x:v>-0.5000000000000001</x:v>
      </x:c>
      <x:c r="H6" s="18" t="str">
        <x:v>Preserve the frozen base and bull: prior-year Q4 reported growth was approximately 2%, recent Q1 3% and Q2 1%, with Q2 organic growth flat. Lower the control bear of -2% by one combined 0.5 percentage-point demand sensitivity for PG02 affordability pressure and PG04 weak spending. This is an illustrative reported-sales effect, not measured company volume elasticity; the two signals are not added separately. PG01 annual organic guidance provides context only, without imposing its range on quarterly reported growth or adding historical FX again.</x:v>
      </x:c>
      <x:c r="I6" s="2"/>
      <x:c r="J6" s="2"/>
      <x:c r="K6" s="2"/>
      <x:c r="L6" s="2"/>
      <x:c r="M6" s="2"/>
      <x:c r="N6" s="2"/>
      <x:c r="O6" s="2"/>
      <x:c r="P6" s="2"/>
      <x:c r="Q6" s="2"/>
    </x:row>
    <x:row r="7" ht="170" customHeight="1">
      <x:c r="A7" s="2"/>
      <x:c r="B7" s="2"/>
      <x:c r="C7" s="2" t="str">
        <x:v>March / bear</x:v>
      </x:c>
      <x:c r="D7" s="2" t="str">
        <x:v>Gross Margin</x:v>
      </x:c>
      <x:c r="E7" s="26" t="n">
        <x:v>0.48</x:v>
      </x:c>
      <x:c r="F7" s="26" t="n">
        <x:v>0.475</x:v>
      </x:c>
      <x:c r="G7" s="27" t="n">
        <x:f>(F7-E7)*100</x:f>
        <x:v>-0.5000000000000004</x:v>
      </x:c>
      <x:c r="H7" s="18" t="str">
        <x:v>Preserve the control base and bull, anchored by approximately 49.11% prior-year Q4 margin and 51.37%/51.22% recent Q1/Q2 margins. Lower the control bear of 48% by a single combined 50 basis-point residual cost sensitivity reflecting PG01 tariff uncertainty and PG03 upstream inflation. PPI stress is contained within this budget, not stacked separately. Commodity neutrality and annual FX guidance temper the interpretation and support no base change. This additional adverse stress is a judgment about possible deterioration beyond historical margins, not an allocation of annual after-tax guidance; procurement timing is unknown.</x:v>
      </x:c>
      <x:c r="I7" s="2"/>
      <x:c r="J7" s="2"/>
      <x:c r="K7" s="2"/>
      <x:c r="L7" s="2"/>
      <x:c r="M7" s="2"/>
      <x:c r="N7" s="2"/>
      <x:c r="O7" s="2"/>
      <x:c r="P7" s="2"/>
      <x:c r="Q7" s="2"/>
    </x:row>
    <x:row r="8" ht="92" customHeight="1">
      <x:c r="A8" s="2"/>
      <x:c r="B8" s="2"/>
      <x:c r="C8" s="2" t="str">
        <x:v>March / base</x:v>
      </x:c>
      <x:c r="D8" s="2" t="str">
        <x:v>Sga Ratio</x:v>
      </x:c>
      <x:c r="E8" s="26" t="n">
        <x:v>0.28</x:v>
      </x:c>
      <x:c r="F8" s="26" t="n">
        <x:v>0.28</x:v>
      </x:c>
      <x:c r="G8" s="27" t="n">
        <x:f>(F8-E8)*100</x:f>
        <x:v>0</x:v>
      </x:c>
      <x:c r="H8" s="18" t="str">
        <x:v>Unchanged from control: approximately 28.26% prior-year Q4, 25.21% recent Q1 and 27.05% Q2 support a seasonal base near 28%. Bear assumes weaker expense absorption; bull assumes improved efficiency.</x:v>
      </x:c>
      <x:c r="I8" s="2"/>
      <x:c r="J8" s="2"/>
      <x:c r="K8" s="2"/>
      <x:c r="L8" s="2"/>
      <x:c r="M8" s="2"/>
      <x:c r="N8" s="2"/>
      <x:c r="O8" s="2"/>
      <x:c r="P8" s="2"/>
      <x:c r="Q8" s="2"/>
    </x:row>
    <x:row r="9" ht="92" customHeight="1">
      <x:c r="A9" s="2"/>
      <x:c r="B9" s="2"/>
      <x:c r="C9" s="2" t="str">
        <x:v>March / base</x:v>
      </x:c>
      <x:c r="D9" s="2" t="str">
        <x:v>Net Nonoperating Income</x:v>
      </x:c>
      <x:c r="E9" s="20" t="n">
        <x:v>100</x:v>
      </x:c>
      <x:c r="F9" s="20" t="n">
        <x:v>100</x:v>
      </x:c>
      <x:c r="G9" s="9" t="n">
        <x:f>F9-E9</x:f>
        <x:v>0</x:v>
      </x:c>
      <x:c r="H9" s="18" t="str">
        <x:v>Unchanged from control: contract component totals of 166 in prior-year Q4, 179 in Q1 and 55 in Q2 support a cautious positive base. Bear allows net expense; bull stronger income.</x:v>
      </x:c>
      <x:c r="I9" s="2"/>
      <x:c r="J9" s="2"/>
      <x:c r="K9" s="2"/>
      <x:c r="L9" s="2"/>
      <x:c r="M9" s="2"/>
      <x:c r="N9" s="2"/>
      <x:c r="O9" s="2"/>
      <x:c r="P9" s="2"/>
      <x:c r="Q9" s="2"/>
    </x:row>
    <x:row r="10" ht="92" customHeight="1">
      <x:c r="A10" s="2"/>
      <x:c r="B10" s="2"/>
      <x:c r="C10" s="2" t="str">
        <x:v>March / base</x:v>
      </x:c>
      <x:c r="D10" s="2" t="str">
        <x:v>Effective Tax Rate</x:v>
      </x:c>
      <x:c r="E10" s="26" t="n">
        <x:v>0.2</x:v>
      </x:c>
      <x:c r="F10" s="26" t="n">
        <x:v>0.2</x:v>
      </x:c>
      <x:c r="G10" s="27" t="n">
        <x:f>(F10-E10)*100</x:f>
        <x:v>0</x:v>
      </x:c>
      <x:c r="H10" s="18" t="str">
        <x:v>Unchanged from control: reported rates of 19.8% in prior-year Q4, 20.8% in Q1 and 20.1% in Q2 support a 20% base. Bear increases the tax burden; bull is near the historical 18.6% Q3 rate.</x:v>
      </x:c>
      <x:c r="I10" s="2"/>
      <x:c r="J10" s="2"/>
      <x:c r="K10" s="2"/>
      <x:c r="L10" s="2"/>
      <x:c r="M10" s="2"/>
      <x:c r="N10" s="2"/>
      <x:c r="O10" s="2"/>
      <x:c r="P10" s="2"/>
      <x:c r="Q10" s="2"/>
    </x:row>
    <x:row r="11" ht="92" customHeight="1">
      <x:c r="A11" s="2"/>
      <x:c r="B11" s="2"/>
      <x:c r="C11" s="2" t="str">
        <x:v>March / base</x:v>
      </x:c>
      <x:c r="D11" s="2" t="str">
        <x:v>Noncontrolling Income</x:v>
      </x:c>
      <x:c r="E11" s="20" t="n">
        <x:v>12</x:v>
      </x:c>
      <x:c r="F11" s="20" t="n">
        <x:v>12</x:v>
      </x:c>
      <x:c r="G11" s="9" t="n">
        <x:f>F11-E11</x:f>
        <x:v>0</x:v>
      </x:c>
      <x:c r="H11" s="18" t="str">
        <x:v>Unchanged from control: total less attributable income was 11 in prior-year Q4, 31 in Q1 and 12 in Q2. Base follows latest and seasonal references.</x:v>
      </x:c>
      <x:c r="I11" s="2"/>
      <x:c r="J11" s="2"/>
      <x:c r="K11" s="2"/>
      <x:c r="L11" s="2"/>
      <x:c r="M11" s="2"/>
      <x:c r="N11" s="2"/>
      <x:c r="O11" s="2"/>
      <x:c r="P11" s="2"/>
      <x:c r="Q11" s="2"/>
    </x:row>
    <x:row r="12" ht="92" customHeight="1">
      <x:c r="A12" s="2"/>
      <x:c r="B12" s="2"/>
      <x:c r="C12" s="2" t="str">
        <x:v>March / base</x:v>
      </x:c>
      <x:c r="D12" s="2" t="str">
        <x:v>Diluted Shares</x:v>
      </x:c>
      <x:c r="E12" s="22" t="n">
        <x:v>2420</x:v>
      </x:c>
      <x:c r="F12" s="22" t="n">
        <x:v>2420</x:v>
      </x:c>
      <x:c r="G12" s="10" t="n">
        <x:f>F12-E12</x:f>
        <x:v>0</x:v>
      </x:c>
      <x:c r="H12" s="18" t="str">
        <x:v>Unchanged from control: attributable income divided by rounded EPS implies approximately 2442.6 million prior-year Q4 shares and 2426.4 million latest Q2 shares. Base assumes modest further decline, bear a denominator near the prior-year level and bull a larger decline.</x:v>
      </x:c>
      <x:c r="I12" s="2"/>
      <x:c r="J12" s="2"/>
      <x:c r="K12" s="2"/>
      <x:c r="L12" s="2"/>
      <x:c r="M12" s="2"/>
      <x:c r="N12" s="2"/>
      <x:c r="O12" s="2"/>
      <x:c r="P12" s="2"/>
      <x:c r="Q12" s="2"/>
    </x:row>
    <x:row r="13" ht="92" customHeight="1">
      <x:c r="A13" s="2"/>
      <x:c r="B13" s="2"/>
      <x:c r="C13" s="2" t="str">
        <x:v>March / base</x:v>
      </x:c>
      <x:c r="D13" s="2" t="str">
        <x:v>Ocf To Net Income</x:v>
      </x:c>
      <x:c r="E13" s="26" t="n">
        <x:v>1.3</x:v>
      </x:c>
      <x:c r="F13" s="26" t="n">
        <x:v>1.3</x:v>
      </x:c>
      <x:c r="G13" s="27" t="n">
        <x:f>(F13-E13)*100</x:f>
        <x:v>0</x:v>
      </x:c>
      <x:c r="H13" s="18" t="str">
        <x:v>Unchanged from control: quarterly OCF/total net income was approximately 1.375 in prior-year Q4 and 1.148 in latest Q2. Base emphasizes Q4 seasonality while discounting repeatability; bear and bull represent weaker and stronger cash conversion.</x:v>
      </x:c>
      <x:c r="I13" s="2"/>
      <x:c r="J13" s="2"/>
      <x:c r="K13" s="2"/>
      <x:c r="L13" s="2"/>
      <x:c r="M13" s="2"/>
      <x:c r="N13" s="2"/>
      <x:c r="O13" s="2"/>
      <x:c r="P13" s="2"/>
      <x:c r="Q13" s="2"/>
    </x:row>
    <x:row r="14" ht="92" customHeight="1">
      <x:c r="A14" s="2"/>
      <x:c r="B14" s="2"/>
      <x:c r="C14" s="2" t="str">
        <x:v>March / base</x:v>
      </x:c>
      <x:c r="D14" s="2" t="str">
        <x:v>Capex Ratio</x:v>
      </x:c>
      <x:c r="E14" s="26" t="n">
        <x:v>0.05</x:v>
      </x:c>
      <x:c r="F14" s="26" t="n">
        <x:v>0.05</x:v>
      </x:c>
      <x:c r="G14" s="27" t="n">
        <x:f>(F14-E14)*100</x:f>
        <x:v>0</x:v>
      </x:c>
      <x:c r="H14" s="18" t="str">
        <x:v>Unchanged from control: positive capex outflow/sales was approximately 4.77% in prior-year Q4 and 5.25% in latest Q2. Base lies between these references.</x:v>
      </x:c>
      <x:c r="I14" s="2"/>
      <x:c r="J14" s="2"/>
      <x:c r="K14" s="2"/>
      <x:c r="L14" s="2"/>
      <x:c r="M14" s="2"/>
      <x:c r="N14" s="2"/>
      <x:c r="O14" s="2"/>
      <x:c r="P14" s="2"/>
      <x:c r="Q14" s="2"/>
    </x:row>
    <x:row r="15" ht="92" customHeight="1">
      <x:c r="A15" s="2"/>
      <x:c r="B15" s="2"/>
      <x:c r="C15" s="2" t="str">
        <x:v>May / base</x:v>
      </x:c>
      <x:c r="D15" s="2" t="str">
        <x:v>Sales Growth</x:v>
      </x:c>
      <x:c r="E15" s="26" t="n">
        <x:v>0.04</x:v>
      </x:c>
      <x:c r="F15" s="26" t="n">
        <x:v>0.04</x:v>
      </x:c>
      <x:c r="G15" s="27" t="n">
        <x:f>(F15-E15)*100</x:f>
        <x:v>0</x:v>
      </x:c>
      <x:c r="H15" s="18" t="str">
        <x:v>Reported YoY sales growth applied to same-quarter-prior-year sales. Retain the frozen control in all scenarios: base moderates Q3's 7% reported growth, including approximately four points of FX, against Q2's 1% and prior-year Q4's 2%.</x:v>
      </x:c>
      <x:c r="I15" s="2"/>
      <x:c r="J15" s="2"/>
      <x:c r="K15" s="2"/>
      <x:c r="L15" s="2"/>
      <x:c r="M15" s="2"/>
      <x:c r="N15" s="2"/>
      <x:c r="O15" s="2"/>
      <x:c r="P15" s="2"/>
      <x:c r="Q15" s="2"/>
    </x:row>
    <x:row r="16" ht="170" customHeight="1">
      <x:c r="A16" s="2"/>
      <x:c r="B16" s="2"/>
      <x:c r="C16" s="2" t="str">
        <x:v>May / bear</x:v>
      </x:c>
      <x:c r="D16" s="2" t="str">
        <x:v>Gross Margin</x:v>
      </x:c>
      <x:c r="E16" s="26" t="n">
        <x:v>0.475</x:v>
      </x:c>
      <x:c r="F16" s="26" t="n">
        <x:v>0.467</x:v>
      </x:c>
      <x:c r="G16" s="27" t="n">
        <x:f>(F16-E16)*100</x:f>
        <x:v>-0.7999999999999952</x:v>
      </x:c>
      <x:c r="H16" s="18" t="str">
        <x:v>Gross profit divided by sales. Frozen control bear/base/bull of 0.475/0.490/0.505 already reflects historical compression and Q4 seasonality. Apply incremental reductions of 80/40/20 basis points respectively for the changed commodity outlook in PG06, corroborated by PG08 input and freight inflation. The base assumes some additional cost pressure reaches Q4; bear assumes greater recognition and weaker mitigation, while bull assumes procurement lag and offsets. These magnitudes are illustrative, not measured elasticities. Treat PG06/PG08 as one capped cost adjustment; do not repeat Q3 compression or allocate annual after-tax commodity, tariff, or FX amounts mechanically.</x:v>
      </x:c>
      <x:c r="I16" s="2"/>
      <x:c r="J16" s="2"/>
      <x:c r="K16" s="2"/>
      <x:c r="L16" s="2"/>
      <x:c r="M16" s="2"/>
      <x:c r="N16" s="2"/>
      <x:c r="O16" s="2"/>
      <x:c r="P16" s="2"/>
      <x:c r="Q16" s="2"/>
    </x:row>
    <x:row r="17" ht="170" customHeight="1">
      <x:c r="A17" s="2"/>
      <x:c r="B17" s="2"/>
      <x:c r="C17" s="2" t="str">
        <x:v>May / base</x:v>
      </x:c>
      <x:c r="D17" s="2" t="str">
        <x:v>Gross Margin</x:v>
      </x:c>
      <x:c r="E17" s="26" t="n">
        <x:v>0.49</x:v>
      </x:c>
      <x:c r="F17" s="26" t="n">
        <x:v>0.486</x:v>
      </x:c>
      <x:c r="G17" s="27" t="n">
        <x:f>(F17-E17)*100</x:f>
        <x:v>-0.40000000000000036</x:v>
      </x:c>
      <x:c r="H17" s="18" t="str">
        <x:v>Gross profit divided by sales. Frozen control bear/base/bull of 0.475/0.490/0.505 already reflects historical compression and Q4 seasonality. Apply incremental reductions of 80/40/20 basis points respectively for the changed commodity outlook in PG06, corroborated by PG08 input and freight inflation. The base assumes some additional cost pressure reaches Q4; bear assumes greater recognition and weaker mitigation, while bull assumes procurement lag and offsets. These magnitudes are illustrative, not measured elasticities. Treat PG06/PG08 as one capped cost adjustment; do not repeat Q3 compression or allocate annual after-tax commodity, tariff, or FX amounts mechanically.</x:v>
      </x:c>
      <x:c r="I17" s="2"/>
      <x:c r="J17" s="2"/>
      <x:c r="K17" s="2"/>
      <x:c r="L17" s="2"/>
      <x:c r="M17" s="2"/>
      <x:c r="N17" s="2"/>
      <x:c r="O17" s="2"/>
      <x:c r="P17" s="2"/>
      <x:c r="Q17" s="2"/>
    </x:row>
    <x:row r="18" ht="170" customHeight="1">
      <x:c r="A18" s="2"/>
      <x:c r="B18" s="2"/>
      <x:c r="C18" s="2" t="str">
        <x:v>May / bull</x:v>
      </x:c>
      <x:c r="D18" s="2" t="str">
        <x:v>Gross Margin</x:v>
      </x:c>
      <x:c r="E18" s="26" t="n">
        <x:v>0.505</x:v>
      </x:c>
      <x:c r="F18" s="26" t="n">
        <x:v>0.503</x:v>
      </x:c>
      <x:c r="G18" s="27" t="n">
        <x:f>(F18-E18)*100</x:f>
        <x:v>-0.20000000000000018</x:v>
      </x:c>
      <x:c r="H18" s="18" t="str">
        <x:v>Gross profit divided by sales. Frozen control bear/base/bull of 0.475/0.490/0.505 already reflects historical compression and Q4 seasonality. Apply incremental reductions of 80/40/20 basis points respectively for the changed commodity outlook in PG06, corroborated by PG08 input and freight inflation. The base assumes some additional cost pressure reaches Q4; bear assumes greater recognition and weaker mitigation, while bull assumes procurement lag and offsets. These magnitudes are illustrative, not measured elasticities. Treat PG06/PG08 as one capped cost adjustment; do not repeat Q3 compression or allocate annual after-tax commodity, tariff, or FX amounts mechanically.</x:v>
      </x:c>
      <x:c r="I18" s="2"/>
      <x:c r="J18" s="2"/>
      <x:c r="K18" s="2"/>
      <x:c r="L18" s="2"/>
      <x:c r="M18" s="2"/>
      <x:c r="N18" s="2"/>
      <x:c r="O18" s="2"/>
      <x:c r="P18" s="2"/>
      <x:c r="Q18" s="2"/>
    </x:row>
    <x:row r="19" ht="92" customHeight="1">
      <x:c r="A19" s="2"/>
      <x:c r="B19" s="2"/>
      <x:c r="C19" s="2" t="str">
        <x:v>May / base</x:v>
      </x:c>
      <x:c r="D19" s="2" t="str">
        <x:v>Sga Ratio</x:v>
      </x:c>
      <x:c r="E19" s="26" t="n">
        <x:v>0.282</x:v>
      </x:c>
      <x:c r="F19" s="26" t="n">
        <x:v>0.282</x:v>
      </x:c>
      <x:c r="G19" s="27" t="n">
        <x:f>(F19-E19)*100</x:f>
        <x:v>0</x:v>
      </x:c>
      <x:c r="H19" s="18" t="str">
        <x:v>SG&amp;A divided by sales; higher ratios are adverse. Retain all frozen scenarios, anchored near prior-year Q4's 0.2826 and latest Q3's 0.2795.</x:v>
      </x:c>
      <x:c r="I19" s="2"/>
      <x:c r="J19" s="2"/>
      <x:c r="K19" s="2"/>
      <x:c r="L19" s="2"/>
      <x:c r="M19" s="2"/>
      <x:c r="N19" s="2"/>
      <x:c r="O19" s="2"/>
      <x:c r="P19" s="2"/>
      <x:c r="Q19" s="2"/>
    </x:row>
    <x:row r="20" ht="92" customHeight="1">
      <x:c r="A20" s="2"/>
      <x:c r="B20" s="2"/>
      <x:c r="C20" s="2" t="str">
        <x:v>May / base</x:v>
      </x:c>
      <x:c r="D20" s="2" t="str">
        <x:v>Net Nonoperating Income</x:v>
      </x:c>
      <x:c r="E20" s="20" t="n">
        <x:v>150</x:v>
      </x:c>
      <x:c r="F20" s="20" t="n">
        <x:v>150</x:v>
      </x:c>
      <x:c r="G20" s="9" t="n">
        <x:f>F20-E20</x:f>
        <x:v>0</x:v>
      </x:c>
      <x:c r="H20" s="18" t="str">
        <x:v>Quarterly signed interest expense plus interest income plus other income under the contract. Retain the frozen scenarios: base normalizes near prior-year Q4's 166 rather than repeating Q3's 414, which contains other income of 537; Q2's component sum was 55.</x:v>
      </x:c>
      <x:c r="I20" s="2"/>
      <x:c r="J20" s="2"/>
      <x:c r="K20" s="2"/>
      <x:c r="L20" s="2"/>
      <x:c r="M20" s="2"/>
      <x:c r="N20" s="2"/>
      <x:c r="O20" s="2"/>
      <x:c r="P20" s="2"/>
      <x:c r="Q20" s="2"/>
    </x:row>
    <x:row r="21" ht="92" customHeight="1">
      <x:c r="A21" s="2"/>
      <x:c r="B21" s="2"/>
      <x:c r="C21" s="2" t="str">
        <x:v>May / base</x:v>
      </x:c>
      <x:c r="D21" s="2" t="str">
        <x:v>Effective Tax Rate</x:v>
      </x:c>
      <x:c r="E21" s="26" t="n">
        <x:v>0.205</x:v>
      </x:c>
      <x:c r="F21" s="26" t="n">
        <x:v>0.205</x:v>
      </x:c>
      <x:c r="G21" s="27" t="n">
        <x:f>(F21-E21)*100</x:f>
        <x:v>0</x:v>
      </x:c>
      <x:c r="H21" s="18" t="str">
        <x:v>Tax expense divided by pretax income; higher rates are adverse. Retain all frozen scenarios.</x:v>
      </x:c>
      <x:c r="I21" s="2"/>
      <x:c r="J21" s="2"/>
      <x:c r="K21" s="2"/>
      <x:c r="L21" s="2"/>
      <x:c r="M21" s="2"/>
      <x:c r="N21" s="2"/>
      <x:c r="O21" s="2"/>
      <x:c r="P21" s="2"/>
      <x:c r="Q21" s="2"/>
    </x:row>
    <x:row r="22" ht="92" customHeight="1">
      <x:c r="A22" s="2"/>
      <x:c r="B22" s="2"/>
      <x:c r="C22" s="2" t="str">
        <x:v>May / base</x:v>
      </x:c>
      <x:c r="D22" s="2" t="str">
        <x:v>Noncontrolling Income</x:v>
      </x:c>
      <x:c r="E22" s="20" t="n">
        <x:v>18</x:v>
      </x:c>
      <x:c r="F22" s="20" t="n">
        <x:v>18</x:v>
      </x:c>
      <x:c r="G22" s="9" t="n">
        <x:f>F22-E22</x:f>
        <x:v>0</x:v>
      </x:c>
      <x:c r="H22" s="18" t="str">
        <x:v>Quarterly noncontrolling earnings deducted after tax from total net income. Retain the frozen scenarios: base is near latest Q3's 19, with prior-year Q4 at 11 and Q1 at 31.</x:v>
      </x:c>
      <x:c r="I22" s="2"/>
      <x:c r="J22" s="2"/>
      <x:c r="K22" s="2"/>
      <x:c r="L22" s="2"/>
      <x:c r="M22" s="2"/>
      <x:c r="N22" s="2"/>
      <x:c r="O22" s="2"/>
      <x:c r="P22" s="2"/>
      <x:c r="Q22" s="2"/>
    </x:row>
    <x:row r="23" ht="92" customHeight="1">
      <x:c r="A23" s="2"/>
      <x:c r="B23" s="2"/>
      <x:c r="C23" s="2" t="str">
        <x:v>May / base</x:v>
      </x:c>
      <x:c r="D23" s="2" t="str">
        <x:v>Diluted Shares</x:v>
      </x:c>
      <x:c r="E23" s="22" t="n">
        <x:v>2405</x:v>
      </x:c>
      <x:c r="F23" s="22" t="n">
        <x:v>2405</x:v>
      </x:c>
      <x:c r="G23" s="10" t="n">
        <x:f>F23-E23</x:f>
        <x:v>0</x:v>
      </x:c>
      <x:c r="H23" s="18" t="str">
        <x:v>Quarterly diluted weighted-average EPS denominator. Retain the frozen scenarios, informed by approximate historical denominators declining from 2443 in prior-year Q4 to 2412 in latest Q3.</x:v>
      </x:c>
      <x:c r="I23" s="2"/>
      <x:c r="J23" s="2"/>
      <x:c r="K23" s="2"/>
      <x:c r="L23" s="2"/>
      <x:c r="M23" s="2"/>
      <x:c r="N23" s="2"/>
      <x:c r="O23" s="2"/>
      <x:c r="P23" s="2"/>
      <x:c r="Q23" s="2"/>
    </x:row>
    <x:row r="24" ht="92" customHeight="1">
      <x:c r="A24" s="2"/>
      <x:c r="B24" s="2"/>
      <x:c r="C24" s="2" t="str">
        <x:v>May / base</x:v>
      </x:c>
      <x:c r="D24" s="2" t="str">
        <x:v>Ocf To Net Income</x:v>
      </x:c>
      <x:c r="E24" s="26" t="n">
        <x:v>1.3</x:v>
      </x:c>
      <x:c r="F24" s="26" t="n">
        <x:v>1.3</x:v>
      </x:c>
      <x:c r="G24" s="27" t="n">
        <x:f>(F24-E24)*100</x:f>
        <x:v>0</x:v>
      </x:c>
      <x:c r="H24" s="18" t="str">
        <x:v>Quarterly OCF divided by total net income. Retain the frozen scenarios: base weights prior-year Q4's seasonal 1.3748 while tempering toward latest Q3's 1.0238.</x:v>
      </x:c>
      <x:c r="I24" s="2"/>
      <x:c r="J24" s="2"/>
      <x:c r="K24" s="2"/>
      <x:c r="L24" s="2"/>
      <x:c r="M24" s="2"/>
      <x:c r="N24" s="2"/>
      <x:c r="O24" s="2"/>
      <x:c r="P24" s="2"/>
      <x:c r="Q24" s="2"/>
    </x:row>
    <x:row r="25" ht="92" customHeight="1">
      <x:c r="A25" s="2"/>
      <x:c r="B25" s="2"/>
      <x:c r="C25" s="2" t="str">
        <x:v>May / base</x:v>
      </x:c>
      <x:c r="D25" s="2" t="str">
        <x:v>Capex Ratio</x:v>
      </x:c>
      <x:c r="E25" s="26" t="n">
        <x:v>0.05</x:v>
      </x:c>
      <x:c r="F25" s="26" t="n">
        <x:v>0.05</x:v>
      </x:c>
      <x:c r="G25" s="27" t="n">
        <x:f>(F25-E25)*100</x:f>
        <x:v>0</x:v>
      </x:c>
      <x:c r="H25" s="18" t="str">
        <x:v>Positive capital expenditure outflow divided by sales. Retain all frozen scenarios, with base near prior-year Q4's 0.0477 and latest Q3's 0.0480.</x:v>
      </x:c>
      <x:c r="I25" s="2"/>
      <x:c r="J25" s="2"/>
      <x:c r="K25" s="2"/>
      <x:c r="L25" s="2"/>
      <x:c r="M25" s="2"/>
      <x:c r="N25" s="2"/>
      <x:c r="O25" s="2"/>
      <x:c r="P25" s="2"/>
      <x:c r="Q25" s="2"/>
    </x:row>
    <x:row r="26" ht="92" customHeight="1">
      <x:c r="A26" s="2"/>
      <x:c r="B26" s="2"/>
      <x:c r="C26" s="2"/>
      <x:c r="D26" s="2"/>
      <x:c r="E26" s="2"/>
      <x:c r="F26" s="2"/>
      <x:c r="G26" s="2"/>
      <x:c r="H26" s="18"/>
      <x:c r="I26" s="2"/>
      <x:c r="J26" s="2"/>
      <x:c r="K26" s="2"/>
      <x:c r="L26" s="2"/>
      <x:c r="M26" s="2"/>
      <x:c r="N26" s="2"/>
      <x:c r="O26" s="2"/>
      <x:c r="P26" s="2"/>
      <x:c r="Q26" s="2"/>
    </x:row>
    <x:row r="27" ht="23" customHeight="1">
      <x:c r="A27" s="2"/>
      <x:c r="B27" s="2"/>
      <x:c r="C27" s="2"/>
      <x:c r="D27" s="2"/>
      <x:c r="E27" s="2"/>
      <x:c r="F27" s="2"/>
      <x:c r="G27" s="2"/>
      <x:c r="H27" s="2"/>
      <x:c r="I27" s="2"/>
      <x:c r="J27" s="2"/>
      <x:c r="K27" s="2"/>
      <x:c r="L27" s="2"/>
      <x:c r="M27" s="2"/>
      <x:c r="N27" s="2"/>
      <x:c r="O27" s="2"/>
      <x:c r="P27" s="2"/>
      <x:c r="Q27" s="2"/>
    </x:row>
    <x:row r="28" ht="23" customHeight="1">
      <x:c r="A28" s="2"/>
      <x:c r="B28" s="2"/>
      <x:c r="C28" s="2"/>
      <x:c r="D28" s="2"/>
      <x:c r="E28" s="2"/>
      <x:c r="F28" s="2"/>
      <x:c r="G28" s="2"/>
      <x:c r="H28" s="2"/>
      <x:c r="I28" s="2"/>
      <x:c r="J28" s="2"/>
      <x:c r="K28" s="2"/>
      <x:c r="L28" s="2"/>
      <x:c r="M28" s="2"/>
      <x:c r="N28" s="2"/>
      <x:c r="O28" s="2"/>
      <x:c r="P28" s="2"/>
      <x:c r="Q28" s="2"/>
    </x:row>
    <x:row r="29" ht="23" customHeight="1">
      <x:c r="A29" s="2"/>
      <x:c r="B29" s="2"/>
      <x:c r="C29" s="2"/>
      <x:c r="D29" s="2"/>
      <x:c r="E29" s="2"/>
      <x:c r="F29" s="2"/>
      <x:c r="G29" s="2"/>
      <x:c r="H29" s="2"/>
      <x:c r="I29" s="2"/>
      <x:c r="J29" s="2"/>
      <x:c r="K29" s="2"/>
      <x:c r="L29" s="2"/>
      <x:c r="M29" s="2"/>
      <x:c r="N29" s="2"/>
      <x:c r="O29" s="2"/>
      <x:c r="P29" s="2"/>
      <x:c r="Q29" s="2"/>
    </x:row>
    <x:row r="30" ht="23" customHeight="1">
      <x:c r="A30" s="2"/>
      <x:c r="B30" s="2"/>
      <x:c r="C30" s="2"/>
      <x:c r="D30" s="2"/>
      <x:c r="E30" s="2"/>
      <x:c r="F30" s="2"/>
      <x:c r="G30" s="2"/>
      <x:c r="H30" s="2"/>
      <x:c r="I30" s="2"/>
      <x:c r="J30" s="2"/>
      <x:c r="K30" s="2"/>
      <x:c r="L30" s="2"/>
      <x:c r="M30" s="2"/>
      <x:c r="N30" s="2"/>
      <x:c r="O30" s="2"/>
      <x:c r="P30" s="2"/>
      <x:c r="Q30" s="2"/>
    </x:row>
    <x:row r="31" ht="23" customHeight="1">
      <x:c r="A31" s="2"/>
      <x:c r="B31" s="2"/>
      <x:c r="C31" s="2"/>
      <x:c r="D31" s="2"/>
      <x:c r="E31" s="2"/>
      <x:c r="F31" s="2"/>
      <x:c r="G31" s="2"/>
      <x:c r="H31" s="2"/>
      <x:c r="I31" s="2"/>
      <x:c r="J31" s="2"/>
      <x:c r="K31" s="2"/>
      <x:c r="L31" s="2"/>
      <x:c r="M31" s="2"/>
      <x:c r="N31" s="2"/>
      <x:c r="O31" s="2"/>
      <x:c r="P31" s="2"/>
      <x:c r="Q31" s="2"/>
    </x:row>
    <x:row r="32" ht="23" customHeight="1">
      <x:c r="A32" s="2"/>
      <x:c r="B32" s="2"/>
      <x:c r="C32" s="2"/>
      <x:c r="D32" s="2"/>
      <x:c r="E32" s="2"/>
      <x:c r="F32" s="2"/>
      <x:c r="G32" s="2"/>
      <x:c r="H32" s="2"/>
      <x:c r="I32" s="2"/>
      <x:c r="J32" s="2"/>
      <x:c r="K32" s="2"/>
      <x:c r="L32" s="2"/>
      <x:c r="M32" s="2"/>
      <x:c r="N32" s="2"/>
      <x:c r="O32" s="2"/>
      <x:c r="P32" s="2"/>
      <x:c r="Q32" s="2"/>
    </x:row>
    <x:row r="33" ht="23" customHeight="1">
      <x:c r="A33" s="2"/>
      <x:c r="B33" s="2"/>
      <x:c r="C33" s="2"/>
      <x:c r="D33" s="2"/>
      <x:c r="E33" s="2"/>
      <x:c r="F33" s="2"/>
      <x:c r="G33" s="2"/>
      <x:c r="H33" s="2"/>
      <x:c r="I33" s="2"/>
      <x:c r="J33" s="2"/>
      <x:c r="K33" s="2"/>
      <x:c r="L33" s="2"/>
      <x:c r="M33" s="2"/>
      <x:c r="N33" s="2"/>
      <x:c r="O33" s="2"/>
      <x:c r="P33" s="2"/>
      <x:c r="Q33" s="2"/>
    </x:row>
    <x:row r="34" ht="23" customHeight="1">
      <x:c r="A34" s="2"/>
      <x:c r="B34" s="2"/>
      <x:c r="C34" s="2"/>
      <x:c r="D34" s="2"/>
      <x:c r="E34" s="2"/>
      <x:c r="F34" s="2"/>
      <x:c r="G34" s="2"/>
      <x:c r="H34" s="2"/>
      <x:c r="I34" s="2"/>
      <x:c r="J34" s="2"/>
      <x:c r="K34" s="2"/>
      <x:c r="L34" s="2"/>
      <x:c r="M34" s="2"/>
      <x:c r="N34" s="2"/>
      <x:c r="O34" s="2"/>
      <x:c r="P34" s="2"/>
      <x:c r="Q34" s="2"/>
    </x:row>
    <x:row r="35" ht="23" customHeight="1">
      <x:c r="A35" s="2"/>
      <x:c r="B35" s="2"/>
      <x:c r="C35" s="2"/>
      <x:c r="D35" s="2"/>
      <x:c r="E35" s="2"/>
      <x:c r="F35" s="2"/>
      <x:c r="G35" s="2"/>
      <x:c r="H35" s="2"/>
      <x:c r="I35" s="2"/>
      <x:c r="J35" s="2"/>
      <x:c r="K35" s="2"/>
      <x:c r="L35" s="2"/>
      <x:c r="M35" s="2"/>
      <x:c r="N35" s="2"/>
      <x:c r="O35" s="2"/>
      <x:c r="P35" s="2"/>
      <x:c r="Q35" s="2"/>
    </x:row>
    <x:row r="36" ht="23" customHeight="1">
      <x:c r="A36" s="2"/>
      <x:c r="B36" s="2"/>
      <x:c r="C36" s="2"/>
      <x:c r="D36" s="2"/>
      <x:c r="E36" s="2"/>
      <x:c r="F36" s="2"/>
      <x:c r="G36" s="2"/>
      <x:c r="H36" s="2"/>
      <x:c r="I36" s="2"/>
      <x:c r="J36" s="2"/>
      <x:c r="K36" s="2"/>
      <x:c r="L36" s="2"/>
      <x:c r="M36" s="2"/>
      <x:c r="N36" s="2"/>
      <x:c r="O36" s="2"/>
      <x:c r="P36" s="2"/>
      <x:c r="Q36" s="2"/>
    </x:row>
    <x:row r="37" ht="23" customHeight="1">
      <x:c r="A37" s="2"/>
      <x:c r="B37" s="2"/>
      <x:c r="C37" s="2"/>
      <x:c r="D37" s="2"/>
      <x:c r="E37" s="2"/>
      <x:c r="F37" s="2"/>
      <x:c r="G37" s="2"/>
      <x:c r="H37" s="2"/>
      <x:c r="I37" s="2"/>
      <x:c r="J37" s="2"/>
      <x:c r="K37" s="2"/>
      <x:c r="L37" s="2"/>
      <x:c r="M37" s="2"/>
      <x:c r="N37" s="2"/>
      <x:c r="O37" s="2"/>
      <x:c r="P37" s="2"/>
      <x:c r="Q37" s="2"/>
    </x:row>
    <x:row r="38" ht="23" customHeight="1">
      <x:c r="A38" s="2"/>
      <x:c r="B38" s="2"/>
      <x:c r="C38" s="2"/>
      <x:c r="D38" s="2"/>
      <x:c r="E38" s="2"/>
      <x:c r="F38" s="2"/>
      <x:c r="G38" s="2"/>
      <x:c r="H38" s="2"/>
      <x:c r="I38" s="2"/>
      <x:c r="J38" s="2"/>
      <x:c r="K38" s="2"/>
      <x:c r="L38" s="2"/>
      <x:c r="M38" s="2"/>
      <x:c r="N38" s="2"/>
      <x:c r="O38" s="2"/>
      <x:c r="P38" s="2"/>
      <x:c r="Q38" s="2"/>
    </x:row>
    <x:row r="39" ht="23" customHeight="1">
      <x:c r="A39" s="2"/>
      <x:c r="B39" s="2"/>
      <x:c r="C39" s="2"/>
      <x:c r="D39" s="2"/>
      <x:c r="E39" s="2"/>
      <x:c r="F39" s="2"/>
      <x:c r="G39" s="2"/>
      <x:c r="H39" s="2"/>
      <x:c r="I39" s="2"/>
      <x:c r="J39" s="2"/>
      <x:c r="K39" s="2"/>
      <x:c r="L39" s="2"/>
      <x:c r="M39" s="2"/>
      <x:c r="N39" s="2"/>
      <x:c r="O39" s="2"/>
      <x:c r="P39" s="2"/>
      <x:c r="Q39" s="2"/>
    </x:row>
    <x:row r="40" ht="23" customHeight="1">
      <x:c r="A40" s="2"/>
      <x:c r="B40" s="2"/>
      <x:c r="C40" s="2"/>
      <x:c r="D40" s="2"/>
      <x:c r="E40" s="2"/>
      <x:c r="F40" s="2"/>
      <x:c r="G40" s="2"/>
      <x:c r="H40" s="2"/>
      <x:c r="I40" s="2"/>
      <x:c r="J40" s="2"/>
      <x:c r="K40" s="2"/>
      <x:c r="L40" s="2"/>
      <x:c r="M40" s="2"/>
      <x:c r="N40" s="2"/>
      <x:c r="O40" s="2"/>
      <x:c r="P40" s="2"/>
      <x:c r="Q40" s="2"/>
    </x:row>
    <x:row r="41" ht="23" customHeight="1">
      <x:c r="A41" s="2"/>
      <x:c r="B41" s="2"/>
      <x:c r="C41" s="2"/>
      <x:c r="D41" s="2"/>
      <x:c r="E41" s="2"/>
      <x:c r="F41" s="2"/>
      <x:c r="G41" s="2"/>
      <x:c r="H41" s="2"/>
      <x:c r="I41" s="2"/>
      <x:c r="J41" s="2"/>
      <x:c r="K41" s="2"/>
      <x:c r="L41" s="2"/>
      <x:c r="M41" s="2"/>
      <x:c r="N41" s="2"/>
      <x:c r="O41" s="2"/>
      <x:c r="P41" s="2"/>
      <x:c r="Q41" s="2"/>
    </x:row>
    <x:row r="42" ht="23" customHeight="1">
      <x:c r="A42" s="2"/>
      <x:c r="B42" s="2"/>
      <x:c r="C42" s="2"/>
      <x:c r="D42" s="2"/>
      <x:c r="E42" s="2"/>
      <x:c r="F42" s="2"/>
      <x:c r="G42" s="2"/>
      <x:c r="H42" s="2"/>
      <x:c r="I42" s="2"/>
      <x:c r="J42" s="2"/>
      <x:c r="K42" s="2"/>
      <x:c r="L42" s="2"/>
      <x:c r="M42" s="2"/>
      <x:c r="N42" s="2"/>
      <x:c r="O42" s="2"/>
      <x:c r="P42" s="2"/>
      <x:c r="Q42" s="2"/>
    </x:row>
    <x:row r="43" ht="23" customHeight="1">
      <x:c r="A43" s="2"/>
      <x:c r="B43" s="2"/>
      <x:c r="C43" s="2"/>
      <x:c r="D43" s="2"/>
      <x:c r="E43" s="2"/>
      <x:c r="F43" s="2"/>
      <x:c r="G43" s="2"/>
      <x:c r="H43" s="2"/>
      <x:c r="I43" s="2"/>
      <x:c r="J43" s="2"/>
      <x:c r="K43" s="2"/>
      <x:c r="L43" s="2"/>
      <x:c r="M43" s="2"/>
      <x:c r="N43" s="2"/>
      <x:c r="O43" s="2"/>
      <x:c r="P43" s="2"/>
      <x:c r="Q43" s="2"/>
    </x:row>
    <x:row r="44" ht="23" customHeight="1">
      <x:c r="A44" s="2"/>
      <x:c r="B44" s="2"/>
      <x:c r="C44" s="2"/>
      <x:c r="D44" s="2"/>
      <x:c r="E44" s="2"/>
      <x:c r="F44" s="2"/>
      <x:c r="G44" s="2"/>
      <x:c r="H44" s="2"/>
      <x:c r="I44" s="2"/>
      <x:c r="J44" s="2"/>
      <x:c r="K44" s="2"/>
      <x:c r="L44" s="2"/>
      <x:c r="M44" s="2"/>
      <x:c r="N44" s="2"/>
      <x:c r="O44" s="2"/>
      <x:c r="P44" s="2"/>
      <x:c r="Q44" s="2"/>
    </x:row>
    <x:row r="45" ht="23" customHeight="1">
      <x:c r="A45" s="2"/>
      <x:c r="B45" s="2"/>
      <x:c r="C45" s="2"/>
      <x:c r="D45" s="2"/>
      <x:c r="E45" s="2"/>
      <x:c r="F45" s="2"/>
      <x:c r="G45" s="2"/>
      <x:c r="H45" s="2"/>
      <x:c r="I45" s="2"/>
      <x:c r="J45" s="2"/>
      <x:c r="K45" s="2"/>
      <x:c r="L45" s="2"/>
      <x:c r="M45" s="2"/>
      <x:c r="N45" s="2"/>
      <x:c r="O45" s="2"/>
      <x:c r="P45" s="2"/>
      <x:c r="Q45" s="2"/>
    </x:row>
    <x:row r="46" ht="23" customHeight="1">
      <x:c r="A46" s="2"/>
      <x:c r="B46" s="2"/>
      <x:c r="C46" s="2"/>
      <x:c r="D46" s="2"/>
      <x:c r="E46" s="2"/>
      <x:c r="F46" s="2"/>
      <x:c r="G46" s="2"/>
      <x:c r="H46" s="2"/>
      <x:c r="I46" s="2"/>
      <x:c r="J46" s="2"/>
      <x:c r="K46" s="2"/>
      <x:c r="L46" s="2"/>
      <x:c r="M46" s="2"/>
      <x:c r="N46" s="2"/>
      <x:c r="O46" s="2"/>
      <x:c r="P46" s="2"/>
      <x:c r="Q46" s="2"/>
    </x:row>
    <x:row r="47" ht="23" customHeight="1">
      <x:c r="A47" s="2"/>
      <x:c r="B47" s="2"/>
      <x:c r="C47" s="2"/>
      <x:c r="D47" s="2"/>
      <x:c r="E47" s="2"/>
      <x:c r="F47" s="2"/>
      <x:c r="G47" s="2"/>
      <x:c r="H47" s="2"/>
      <x:c r="I47" s="2"/>
      <x:c r="J47" s="2"/>
      <x:c r="K47" s="2"/>
      <x:c r="L47" s="2"/>
      <x:c r="M47" s="2"/>
      <x:c r="N47" s="2"/>
      <x:c r="O47" s="2"/>
      <x:c r="P47" s="2"/>
      <x:c r="Q47" s="2"/>
    </x:row>
    <x:row r="48" ht="23" customHeight="1">
      <x:c r="A48" s="2"/>
      <x:c r="B48" s="2"/>
      <x:c r="C48" s="2"/>
      <x:c r="D48" s="2"/>
      <x:c r="E48" s="2"/>
      <x:c r="F48" s="2"/>
      <x:c r="G48" s="2"/>
      <x:c r="H48" s="2"/>
      <x:c r="I48" s="2"/>
      <x:c r="J48" s="2"/>
      <x:c r="K48" s="2"/>
      <x:c r="L48" s="2"/>
      <x:c r="M48" s="2"/>
      <x:c r="N48" s="2"/>
      <x:c r="O48" s="2"/>
      <x:c r="P48" s="2"/>
      <x:c r="Q48" s="2"/>
    </x:row>
    <x:row r="49" ht="23" customHeight="1">
      <x:c r="A49" s="2"/>
      <x:c r="B49" s="2"/>
      <x:c r="C49" s="2"/>
      <x:c r="D49" s="2"/>
      <x:c r="E49" s="2"/>
      <x:c r="F49" s="2"/>
      <x:c r="G49" s="2"/>
      <x:c r="H49" s="2"/>
      <x:c r="I49" s="2"/>
      <x:c r="J49" s="2"/>
      <x:c r="K49" s="2"/>
      <x:c r="L49" s="2"/>
      <x:c r="M49" s="2"/>
      <x:c r="N49" s="2"/>
      <x:c r="O49" s="2"/>
      <x:c r="P49" s="2"/>
      <x:c r="Q49" s="2"/>
    </x:row>
    <x:row r="50" ht="23" customHeight="1">
      <x:c r="A50" s="2"/>
      <x:c r="B50" s="2"/>
      <x:c r="C50" s="2"/>
      <x:c r="D50" s="2"/>
      <x:c r="E50" s="2"/>
      <x:c r="F50" s="2"/>
      <x:c r="G50" s="2"/>
      <x:c r="H50" s="2"/>
      <x:c r="I50" s="2"/>
      <x:c r="J50" s="2"/>
      <x:c r="K50" s="2"/>
      <x:c r="L50" s="2"/>
      <x:c r="M50" s="2"/>
      <x:c r="N50" s="2"/>
      <x:c r="O50" s="2"/>
      <x:c r="P50" s="2"/>
      <x:c r="Q50" s="2"/>
    </x:row>
    <x:row r="51" ht="23" customHeight="1">
      <x:c r="A51" s="2"/>
      <x:c r="B51" s="2"/>
      <x:c r="C51" s="2"/>
      <x:c r="D51" s="2"/>
      <x:c r="E51" s="2"/>
      <x:c r="F51" s="2"/>
      <x:c r="G51" s="2"/>
      <x:c r="H51" s="2"/>
      <x:c r="I51" s="2"/>
      <x:c r="J51" s="2"/>
      <x:c r="K51" s="2"/>
      <x:c r="L51" s="2"/>
      <x:c r="M51" s="2"/>
      <x:c r="N51" s="2"/>
      <x:c r="O51" s="2"/>
      <x:c r="P51" s="2"/>
      <x:c r="Q51" s="2"/>
    </x:row>
    <x:row r="52" ht="23" customHeight="1">
      <x:c r="A52" s="2"/>
      <x:c r="B52" s="2"/>
      <x:c r="C52" s="2"/>
      <x:c r="D52" s="2"/>
      <x:c r="E52" s="2"/>
      <x:c r="F52" s="2"/>
      <x:c r="G52" s="2"/>
      <x:c r="H52" s="2"/>
      <x:c r="I52" s="2"/>
      <x:c r="J52" s="2"/>
      <x:c r="K52" s="2"/>
      <x:c r="L52" s="2"/>
      <x:c r="M52" s="2"/>
      <x:c r="N52" s="2"/>
      <x:c r="O52" s="2"/>
      <x:c r="P52" s="2"/>
      <x:c r="Q52" s="2"/>
    </x:row>
    <x:row r="53" ht="23" customHeight="1">
      <x:c r="A53" s="2"/>
      <x:c r="B53" s="2"/>
      <x:c r="C53" s="2"/>
      <x:c r="D53" s="2"/>
      <x:c r="E53" s="2"/>
      <x:c r="F53" s="2"/>
      <x:c r="G53" s="2"/>
      <x:c r="H53" s="2"/>
      <x:c r="I53" s="2"/>
      <x:c r="J53" s="2"/>
      <x:c r="K53" s="2"/>
      <x:c r="L53" s="2"/>
      <x:c r="M53" s="2"/>
      <x:c r="N53" s="2"/>
      <x:c r="O53" s="2"/>
      <x:c r="P53" s="2"/>
      <x:c r="Q53" s="2"/>
    </x:row>
    <x:row r="54" ht="23" customHeight="1">
      <x:c r="A54" s="2"/>
      <x:c r="B54" s="2"/>
      <x:c r="C54" s="2"/>
      <x:c r="D54" s="2"/>
      <x:c r="E54" s="2"/>
      <x:c r="F54" s="2"/>
      <x:c r="G54" s="2"/>
      <x:c r="H54" s="2"/>
      <x:c r="I54" s="2"/>
      <x:c r="J54" s="2"/>
      <x:c r="K54" s="2"/>
      <x:c r="L54" s="2"/>
      <x:c r="M54" s="2"/>
      <x:c r="N54" s="2"/>
      <x:c r="O54" s="2"/>
      <x:c r="P54" s="2"/>
      <x:c r="Q54" s="2"/>
    </x:row>
    <x:row r="55" ht="23" customHeight="1">
      <x:c r="A55" s="2"/>
      <x:c r="B55" s="2"/>
      <x:c r="C55" s="2"/>
      <x:c r="D55" s="2"/>
      <x:c r="E55" s="2"/>
      <x:c r="F55" s="2"/>
      <x:c r="G55" s="2"/>
      <x:c r="H55" s="2"/>
      <x:c r="I55" s="2"/>
      <x:c r="J55" s="2"/>
      <x:c r="K55" s="2"/>
      <x:c r="L55" s="2"/>
      <x:c r="M55" s="2"/>
      <x:c r="N55" s="2"/>
      <x:c r="O55" s="2"/>
      <x:c r="P55" s="2"/>
      <x:c r="Q55" s="2"/>
    </x:row>
    <x:row r="56" ht="23" customHeight="1">
      <x:c r="A56" s="2"/>
      <x:c r="B56" s="2"/>
      <x:c r="C56" s="2"/>
      <x:c r="D56" s="2"/>
      <x:c r="E56" s="2"/>
      <x:c r="F56" s="2"/>
      <x:c r="G56" s="2"/>
      <x:c r="H56" s="2"/>
      <x:c r="I56" s="2"/>
      <x:c r="J56" s="2"/>
      <x:c r="K56" s="2"/>
      <x:c r="L56" s="2"/>
      <x:c r="M56" s="2"/>
      <x:c r="N56" s="2"/>
      <x:c r="O56" s="2"/>
      <x:c r="P56" s="2"/>
      <x:c r="Q56" s="2"/>
    </x:row>
    <x:row r="57" ht="23" customHeight="1">
      <x:c r="A57" s="2"/>
      <x:c r="B57" s="2"/>
      <x:c r="C57" s="2"/>
      <x:c r="D57" s="2"/>
      <x:c r="E57" s="2"/>
      <x:c r="F57" s="2"/>
      <x:c r="G57" s="2"/>
      <x:c r="H57" s="2"/>
      <x:c r="I57" s="2"/>
      <x:c r="J57" s="2"/>
      <x:c r="K57" s="2"/>
      <x:c r="L57" s="2"/>
      <x:c r="M57" s="2"/>
      <x:c r="N57" s="2"/>
      <x:c r="O57" s="2"/>
      <x:c r="P57" s="2"/>
      <x:c r="Q57" s="2"/>
    </x:row>
    <x:row r="58" ht="23" customHeight="1">
      <x:c r="A58" s="2"/>
      <x:c r="B58" s="2"/>
      <x:c r="C58" s="2"/>
      <x:c r="D58" s="2"/>
      <x:c r="E58" s="2"/>
      <x:c r="F58" s="2"/>
      <x:c r="G58" s="2"/>
      <x:c r="H58" s="2"/>
      <x:c r="I58" s="2"/>
      <x:c r="J58" s="2"/>
      <x:c r="K58" s="2"/>
      <x:c r="L58" s="2"/>
      <x:c r="M58" s="2"/>
      <x:c r="N58" s="2"/>
      <x:c r="O58" s="2"/>
      <x:c r="P58" s="2"/>
      <x:c r="Q58" s="2"/>
    </x:row>
    <x:row r="59" ht="23" customHeight="1">
      <x:c r="A59" s="2"/>
      <x:c r="B59" s="2"/>
      <x:c r="C59" s="2"/>
      <x:c r="D59" s="2"/>
      <x:c r="E59" s="2"/>
      <x:c r="F59" s="2"/>
      <x:c r="G59" s="2"/>
      <x:c r="H59" s="2"/>
      <x:c r="I59" s="2"/>
      <x:c r="J59" s="2"/>
      <x:c r="K59" s="2"/>
      <x:c r="L59" s="2"/>
      <x:c r="M59" s="2"/>
      <x:c r="N59" s="2"/>
      <x:c r="O59" s="2"/>
      <x:c r="P59" s="2"/>
      <x:c r="Q59" s="2"/>
    </x:row>
    <x:row r="60" ht="23" customHeight="1">
      <x:c r="A60" s="2"/>
      <x:c r="B60" s="2"/>
      <x:c r="C60" s="2"/>
      <x:c r="D60" s="2"/>
      <x:c r="E60" s="2"/>
      <x:c r="F60" s="2"/>
      <x:c r="G60" s="2"/>
      <x:c r="H60" s="2"/>
      <x:c r="I60" s="2"/>
      <x:c r="J60" s="2"/>
      <x:c r="K60" s="2"/>
      <x:c r="L60" s="2"/>
      <x:c r="M60" s="2"/>
      <x:c r="N60" s="2"/>
      <x:c r="O60" s="2"/>
      <x:c r="P60" s="2"/>
      <x:c r="Q60" s="2"/>
    </x:row>
    <x:row r="61" ht="23" customHeight="1">
      <x:c r="A61" s="2"/>
      <x:c r="B61" s="2"/>
      <x:c r="C61" s="2"/>
      <x:c r="D61" s="2"/>
      <x:c r="E61" s="2"/>
      <x:c r="F61" s="2"/>
      <x:c r="G61" s="2"/>
      <x:c r="H61" s="2"/>
      <x:c r="I61" s="2"/>
      <x:c r="J61" s="2"/>
      <x:c r="K61" s="2"/>
      <x:c r="L61" s="2"/>
      <x:c r="M61" s="2"/>
      <x:c r="N61" s="2"/>
      <x:c r="O61" s="2"/>
      <x:c r="P61" s="2"/>
      <x:c r="Q61" s="2"/>
    </x:row>
    <x:row r="62" ht="23" customHeight="1">
      <x:c r="A62" s="2"/>
      <x:c r="B62" s="2"/>
      <x:c r="C62" s="2"/>
      <x:c r="D62" s="2"/>
      <x:c r="E62" s="2"/>
      <x:c r="F62" s="2"/>
      <x:c r="G62" s="2"/>
      <x:c r="H62" s="2"/>
      <x:c r="I62" s="2"/>
      <x:c r="J62" s="2"/>
      <x:c r="K62" s="2"/>
      <x:c r="L62" s="2"/>
      <x:c r="M62" s="2"/>
      <x:c r="N62" s="2"/>
      <x:c r="O62" s="2"/>
      <x:c r="P62" s="2"/>
      <x:c r="Q62" s="2"/>
    </x:row>
    <x:row r="63" ht="23" customHeight="1">
      <x:c r="A63" s="2"/>
      <x:c r="B63" s="2"/>
      <x:c r="C63" s="2"/>
      <x:c r="D63" s="2"/>
      <x:c r="E63" s="2"/>
      <x:c r="F63" s="2"/>
      <x:c r="G63" s="2"/>
      <x:c r="H63" s="2"/>
      <x:c r="I63" s="2"/>
      <x:c r="J63" s="2"/>
      <x:c r="K63" s="2"/>
      <x:c r="L63" s="2"/>
      <x:c r="M63" s="2"/>
      <x:c r="N63" s="2"/>
      <x:c r="O63" s="2"/>
      <x:c r="P63" s="2"/>
      <x:c r="Q63" s="2"/>
    </x:row>
    <x:row r="64" ht="23" customHeight="1">
      <x:c r="A64" s="2"/>
      <x:c r="B64" s="2"/>
      <x:c r="C64" s="2"/>
      <x:c r="D64" s="2"/>
      <x:c r="E64" s="2"/>
      <x:c r="F64" s="2"/>
      <x:c r="G64" s="2"/>
      <x:c r="H64" s="2"/>
      <x:c r="I64" s="2"/>
      <x:c r="J64" s="2"/>
      <x:c r="K64" s="2"/>
      <x:c r="L64" s="2"/>
      <x:c r="M64" s="2"/>
      <x:c r="N64" s="2"/>
      <x:c r="O64" s="2"/>
      <x:c r="P64" s="2"/>
      <x:c r="Q64" s="2"/>
    </x:row>
    <x:row r="65" ht="23" customHeight="1">
      <x:c r="A65" s="2"/>
      <x:c r="B65" s="2"/>
      <x:c r="C65" s="2"/>
      <x:c r="D65" s="2"/>
      <x:c r="E65" s="2"/>
      <x:c r="F65" s="2"/>
      <x:c r="G65" s="2"/>
      <x:c r="H65" s="2"/>
      <x:c r="I65" s="2"/>
      <x:c r="J65" s="2"/>
      <x:c r="K65" s="2"/>
      <x:c r="L65" s="2"/>
      <x:c r="M65" s="2"/>
      <x:c r="N65" s="2"/>
      <x:c r="O65" s="2"/>
      <x:c r="P65" s="2"/>
      <x:c r="Q65" s="2"/>
    </x:row>
    <x:row r="66" ht="23" customHeight="1">
      <x:c r="A66" s="2"/>
      <x:c r="B66" s="2"/>
      <x:c r="C66" s="2"/>
      <x:c r="D66" s="2"/>
      <x:c r="E66" s="2"/>
      <x:c r="F66" s="2"/>
      <x:c r="G66" s="2"/>
      <x:c r="H66" s="2"/>
      <x:c r="I66" s="2"/>
      <x:c r="J66" s="2"/>
      <x:c r="K66" s="2"/>
      <x:c r="L66" s="2"/>
      <x:c r="M66" s="2"/>
      <x:c r="N66" s="2"/>
      <x:c r="O66" s="2"/>
      <x:c r="P66" s="2"/>
      <x:c r="Q66" s="2"/>
    </x:row>
    <x:row r="67" ht="23" customHeight="1">
      <x:c r="A67" s="2"/>
      <x:c r="B67" s="2"/>
      <x:c r="C67" s="2"/>
      <x:c r="D67" s="2"/>
      <x:c r="E67" s="2"/>
      <x:c r="F67" s="2"/>
      <x:c r="G67" s="2"/>
      <x:c r="H67" s="2"/>
      <x:c r="I67" s="2"/>
      <x:c r="J67" s="2"/>
      <x:c r="K67" s="2"/>
      <x:c r="L67" s="2"/>
      <x:c r="M67" s="2"/>
      <x:c r="N67" s="2"/>
      <x:c r="O67" s="2"/>
      <x:c r="P67" s="2"/>
      <x:c r="Q67" s="2"/>
    </x:row>
    <x:row r="68" ht="23" customHeight="1">
      <x:c r="A68" s="2"/>
      <x:c r="B68" s="2"/>
      <x:c r="C68" s="2"/>
      <x:c r="D68" s="2"/>
      <x:c r="E68" s="2"/>
      <x:c r="F68" s="2"/>
      <x:c r="G68" s="2"/>
      <x:c r="H68" s="2"/>
      <x:c r="I68" s="2"/>
      <x:c r="J68" s="2"/>
      <x:c r="K68" s="2"/>
      <x:c r="L68" s="2"/>
      <x:c r="M68" s="2"/>
      <x:c r="N68" s="2"/>
      <x:c r="O68" s="2"/>
      <x:c r="P68" s="2"/>
      <x:c r="Q68" s="2"/>
    </x:row>
    <x:row r="69" ht="23" customHeight="1">
      <x:c r="A69" s="2"/>
      <x:c r="B69" s="2"/>
      <x:c r="C69" s="2"/>
      <x:c r="D69" s="2"/>
      <x:c r="E69" s="2"/>
      <x:c r="F69" s="2"/>
      <x:c r="G69" s="2"/>
      <x:c r="H69" s="2"/>
      <x:c r="I69" s="2"/>
      <x:c r="J69" s="2"/>
      <x:c r="K69" s="2"/>
      <x:c r="L69" s="2"/>
      <x:c r="M69" s="2"/>
      <x:c r="N69" s="2"/>
      <x:c r="O69" s="2"/>
      <x:c r="P69" s="2"/>
      <x:c r="Q69" s="2"/>
    </x:row>
    <x:row r="70" ht="23" customHeight="1">
      <x:c r="A70" s="2"/>
      <x:c r="B70" s="2"/>
      <x:c r="C70" s="2"/>
      <x:c r="D70" s="2"/>
      <x:c r="E70" s="2"/>
      <x:c r="F70" s="2"/>
      <x:c r="G70" s="2"/>
      <x:c r="H70" s="2"/>
      <x:c r="I70" s="2"/>
      <x:c r="J70" s="2"/>
      <x:c r="K70" s="2"/>
      <x:c r="L70" s="2"/>
      <x:c r="M70" s="2"/>
      <x:c r="N70" s="2"/>
      <x:c r="O70" s="2"/>
      <x:c r="P70" s="2"/>
      <x:c r="Q70" s="2"/>
    </x:row>
    <x:row r="71" ht="23" customHeight="1">
      <x:c r="A71" s="2"/>
      <x:c r="B71" s="2"/>
      <x:c r="C71" s="2"/>
      <x:c r="D71" s="2"/>
      <x:c r="E71" s="2"/>
      <x:c r="F71" s="2"/>
      <x:c r="G71" s="2"/>
      <x:c r="H71" s="2"/>
      <x:c r="I71" s="2"/>
      <x:c r="J71" s="2"/>
      <x:c r="K71" s="2"/>
      <x:c r="L71" s="2"/>
      <x:c r="M71" s="2"/>
      <x:c r="N71" s="2"/>
      <x:c r="O71" s="2"/>
      <x:c r="P71" s="2"/>
      <x:c r="Q71" s="2"/>
    </x:row>
    <x:row r="72" ht="23" customHeight="1">
      <x:c r="A72" s="2"/>
      <x:c r="B72" s="2"/>
      <x:c r="C72" s="2"/>
      <x:c r="D72" s="2"/>
      <x:c r="E72" s="2"/>
      <x:c r="F72" s="2"/>
      <x:c r="G72" s="2"/>
      <x:c r="H72" s="2"/>
      <x:c r="I72" s="2"/>
      <x:c r="J72" s="2"/>
      <x:c r="K72" s="2"/>
      <x:c r="L72" s="2"/>
      <x:c r="M72" s="2"/>
      <x:c r="N72" s="2"/>
      <x:c r="O72" s="2"/>
      <x:c r="P72" s="2"/>
      <x:c r="Q72" s="2"/>
    </x:row>
    <x:row r="73" ht="23" customHeight="1">
      <x:c r="A73" s="2"/>
      <x:c r="B73" s="2"/>
      <x:c r="C73" s="2"/>
      <x:c r="D73" s="2"/>
      <x:c r="E73" s="2"/>
      <x:c r="F73" s="2"/>
      <x:c r="G73" s="2"/>
      <x:c r="H73" s="2"/>
      <x:c r="I73" s="2"/>
      <x:c r="J73" s="2"/>
      <x:c r="K73" s="2"/>
      <x:c r="L73" s="2"/>
      <x:c r="M73" s="2"/>
      <x:c r="N73" s="2"/>
      <x:c r="O73" s="2"/>
      <x:c r="P73" s="2"/>
      <x:c r="Q73" s="2"/>
    </x:row>
    <x:row r="74" ht="23" customHeight="1">
      <x:c r="A74" s="2"/>
      <x:c r="B74" s="2"/>
      <x:c r="C74" s="2"/>
      <x:c r="D74" s="2"/>
      <x:c r="E74" s="2"/>
      <x:c r="F74" s="2"/>
      <x:c r="G74" s="2"/>
      <x:c r="H74" s="2"/>
      <x:c r="I74" s="2"/>
      <x:c r="J74" s="2"/>
      <x:c r="K74" s="2"/>
      <x:c r="L74" s="2"/>
      <x:c r="M74" s="2"/>
      <x:c r="N74" s="2"/>
      <x:c r="O74" s="2"/>
      <x:c r="P74" s="2"/>
      <x:c r="Q74" s="2"/>
    </x:row>
    <x:row r="75" ht="23" customHeight="1">
      <x:c r="A75" s="2"/>
      <x:c r="B75" s="2"/>
      <x:c r="C75" s="2"/>
      <x:c r="D75" s="2"/>
      <x:c r="E75" s="2"/>
      <x:c r="F75" s="2"/>
      <x:c r="G75" s="2"/>
      <x:c r="H75" s="2"/>
      <x:c r="I75" s="2"/>
      <x:c r="J75" s="2"/>
      <x:c r="K75" s="2"/>
      <x:c r="L75" s="2"/>
      <x:c r="M75" s="2"/>
      <x:c r="N75" s="2"/>
      <x:c r="O75" s="2"/>
      <x:c r="P75" s="2"/>
      <x:c r="Q75" s="2"/>
    </x:row>
    <x:row r="76" ht="23" customHeight="1">
      <x:c r="A76" s="2"/>
      <x:c r="B76" s="2"/>
      <x:c r="C76" s="2"/>
      <x:c r="D76" s="2"/>
      <x:c r="E76" s="2"/>
      <x:c r="F76" s="2"/>
      <x:c r="G76" s="2"/>
      <x:c r="H76" s="2"/>
      <x:c r="I76" s="2"/>
      <x:c r="J76" s="2"/>
      <x:c r="K76" s="2"/>
      <x:c r="L76" s="2"/>
      <x:c r="M76" s="2"/>
      <x:c r="N76" s="2"/>
      <x:c r="O76" s="2"/>
      <x:c r="P76" s="2"/>
      <x:c r="Q76" s="2"/>
    </x:row>
    <x:row r="77" ht="23" customHeight="1">
      <x:c r="A77" s="2"/>
      <x:c r="B77" s="2"/>
      <x:c r="C77" s="2"/>
      <x:c r="D77" s="2"/>
      <x:c r="E77" s="2"/>
      <x:c r="F77" s="2"/>
      <x:c r="G77" s="2"/>
      <x:c r="H77" s="2"/>
      <x:c r="I77" s="2"/>
      <x:c r="J77" s="2"/>
      <x:c r="K77" s="2"/>
      <x:c r="L77" s="2"/>
      <x:c r="M77" s="2"/>
      <x:c r="N77" s="2"/>
      <x:c r="O77" s="2"/>
      <x:c r="P77" s="2"/>
      <x:c r="Q77" s="2"/>
    </x:row>
    <x:row r="78" ht="23" customHeight="1">
      <x:c r="A78" s="2"/>
      <x:c r="B78" s="2"/>
      <x:c r="C78" s="2"/>
      <x:c r="D78" s="2"/>
      <x:c r="E78" s="2"/>
      <x:c r="F78" s="2"/>
      <x:c r="G78" s="2"/>
      <x:c r="H78" s="2"/>
      <x:c r="I78" s="2"/>
      <x:c r="J78" s="2"/>
      <x:c r="K78" s="2"/>
      <x:c r="L78" s="2"/>
      <x:c r="M78" s="2"/>
      <x:c r="N78" s="2"/>
      <x:c r="O78" s="2"/>
      <x:c r="P78" s="2"/>
      <x:c r="Q78" s="2"/>
    </x:row>
    <x:row r="79" ht="23" customHeight="1">
      <x:c r="A79" s="2"/>
      <x:c r="B79" s="2"/>
      <x:c r="C79" s="2"/>
      <x:c r="D79" s="2"/>
      <x:c r="E79" s="2"/>
      <x:c r="F79" s="2"/>
      <x:c r="G79" s="2"/>
      <x:c r="H79" s="2"/>
      <x:c r="I79" s="2"/>
      <x:c r="J79" s="2"/>
      <x:c r="K79" s="2"/>
      <x:c r="L79" s="2"/>
      <x:c r="M79" s="2"/>
      <x:c r="N79" s="2"/>
      <x:c r="O79" s="2"/>
      <x:c r="P79" s="2"/>
      <x:c r="Q79" s="2"/>
    </x:row>
    <x:row r="80" ht="23" customHeight="1">
      <x:c r="A80" s="2"/>
      <x:c r="B80" s="2"/>
      <x:c r="C80" s="2"/>
      <x:c r="D80" s="2"/>
      <x:c r="E80" s="2"/>
      <x:c r="F80" s="2"/>
      <x:c r="G80" s="2"/>
      <x:c r="H80" s="2"/>
      <x:c r="I80" s="2"/>
      <x:c r="J80" s="2"/>
      <x:c r="K80" s="2"/>
      <x:c r="L80" s="2"/>
      <x:c r="M80" s="2"/>
      <x:c r="N80" s="2"/>
      <x:c r="O80" s="2"/>
      <x:c r="P80" s="2"/>
      <x:c r="Q80" s="2"/>
    </x:row>
    <x:row r="81" ht="23" customHeight="1">
      <x:c r="A81" s="2"/>
      <x:c r="B81" s="2"/>
      <x:c r="C81" s="2"/>
      <x:c r="D81" s="2"/>
      <x:c r="E81" s="2"/>
      <x:c r="F81" s="2"/>
      <x:c r="G81" s="2"/>
      <x:c r="H81" s="2"/>
      <x:c r="I81" s="2"/>
      <x:c r="J81" s="2"/>
      <x:c r="K81" s="2"/>
      <x:c r="L81" s="2"/>
      <x:c r="M81" s="2"/>
      <x:c r="N81" s="2"/>
      <x:c r="O81" s="2"/>
      <x:c r="P81" s="2"/>
      <x:c r="Q81" s="2"/>
    </x:row>
    <x:row r="82" ht="23" customHeight="1">
      <x:c r="A82" s="2"/>
      <x:c r="B82" s="2"/>
      <x:c r="C82" s="2"/>
      <x:c r="D82" s="2"/>
      <x:c r="E82" s="2"/>
      <x:c r="F82" s="2"/>
      <x:c r="G82" s="2"/>
      <x:c r="H82" s="2"/>
      <x:c r="I82" s="2"/>
      <x:c r="J82" s="2"/>
      <x:c r="K82" s="2"/>
      <x:c r="L82" s="2"/>
      <x:c r="M82" s="2"/>
      <x:c r="N82" s="2"/>
      <x:c r="O82" s="2"/>
      <x:c r="P82" s="2"/>
      <x:c r="Q82" s="2"/>
    </x:row>
    <x:row r="83" ht="23" customHeight="1">
      <x:c r="A83" s="2"/>
      <x:c r="B83" s="2"/>
      <x:c r="C83" s="2"/>
      <x:c r="D83" s="2"/>
      <x:c r="E83" s="2"/>
      <x:c r="F83" s="2"/>
      <x:c r="G83" s="2"/>
      <x:c r="H83" s="2"/>
      <x:c r="I83" s="2"/>
      <x:c r="J83" s="2"/>
      <x:c r="K83" s="2"/>
      <x:c r="L83" s="2"/>
      <x:c r="M83" s="2"/>
      <x:c r="N83" s="2"/>
      <x:c r="O83" s="2"/>
      <x:c r="P83" s="2"/>
      <x:c r="Q83" s="2"/>
    </x:row>
    <x:row r="84" ht="23" customHeight="1">
      <x:c r="A84" s="2"/>
      <x:c r="B84" s="2"/>
      <x:c r="C84" s="2"/>
      <x:c r="D84" s="2"/>
      <x:c r="E84" s="2"/>
      <x:c r="F84" s="2"/>
      <x:c r="G84" s="2"/>
      <x:c r="H84" s="2"/>
      <x:c r="I84" s="2"/>
      <x:c r="J84" s="2"/>
      <x:c r="K84" s="2"/>
      <x:c r="L84" s="2"/>
      <x:c r="M84" s="2"/>
      <x:c r="N84" s="2"/>
      <x:c r="O84" s="2"/>
      <x:c r="P84" s="2"/>
      <x:c r="Q84" s="2"/>
    </x:row>
    <x:row r="85" ht="23" customHeight="1">
      <x:c r="A85" s="2"/>
      <x:c r="B85" s="2"/>
      <x:c r="C85" s="2"/>
      <x:c r="D85" s="2"/>
      <x:c r="E85" s="2"/>
      <x:c r="F85" s="2"/>
      <x:c r="G85" s="2"/>
      <x:c r="H85" s="2"/>
      <x:c r="I85" s="2"/>
      <x:c r="J85" s="2"/>
      <x:c r="K85" s="2"/>
      <x:c r="L85" s="2"/>
      <x:c r="M85" s="2"/>
      <x:c r="N85" s="2"/>
      <x:c r="O85" s="2"/>
      <x:c r="P85" s="2"/>
      <x:c r="Q85" s="2"/>
    </x:row>
    <x:row r="86" ht="23" customHeight="1">
      <x:c r="A86" s="2"/>
      <x:c r="B86" s="2"/>
      <x:c r="C86" s="2"/>
      <x:c r="D86" s="2"/>
      <x:c r="E86" s="2"/>
      <x:c r="F86" s="2"/>
      <x:c r="G86" s="2"/>
      <x:c r="H86" s="2"/>
      <x:c r="I86" s="2"/>
      <x:c r="J86" s="2"/>
      <x:c r="K86" s="2"/>
      <x:c r="L86" s="2"/>
      <x:c r="M86" s="2"/>
      <x:c r="N86" s="2"/>
      <x:c r="O86" s="2"/>
      <x:c r="P86" s="2"/>
      <x:c r="Q86" s="2"/>
    </x:row>
    <x:row r="87" ht="23" customHeight="1">
      <x:c r="A87" s="2"/>
      <x:c r="B87" s="2"/>
      <x:c r="C87" s="2"/>
      <x:c r="D87" s="2"/>
      <x:c r="E87" s="2"/>
      <x:c r="F87" s="2"/>
      <x:c r="G87" s="2"/>
      <x:c r="H87" s="2"/>
      <x:c r="I87" s="2"/>
      <x:c r="J87" s="2"/>
      <x:c r="K87" s="2"/>
      <x:c r="L87" s="2"/>
      <x:c r="M87" s="2"/>
      <x:c r="N87" s="2"/>
      <x:c r="O87" s="2"/>
      <x:c r="P87" s="2"/>
      <x:c r="Q87" s="2"/>
    </x:row>
    <x:row r="88" ht="23" customHeight="1">
      <x:c r="A88" s="2"/>
      <x:c r="B88" s="2"/>
      <x:c r="C88" s="2"/>
      <x:c r="D88" s="2"/>
      <x:c r="E88" s="2"/>
      <x:c r="F88" s="2"/>
      <x:c r="G88" s="2"/>
      <x:c r="H88" s="2"/>
      <x:c r="I88" s="2"/>
      <x:c r="J88" s="2"/>
      <x:c r="K88" s="2"/>
      <x:c r="L88" s="2"/>
      <x:c r="M88" s="2"/>
      <x:c r="N88" s="2"/>
      <x:c r="O88" s="2"/>
      <x:c r="P88" s="2"/>
      <x:c r="Q88" s="2"/>
    </x:row>
    <x:row r="89" ht="23" customHeight="1">
      <x:c r="A89" s="2"/>
      <x:c r="B89" s="2"/>
      <x:c r="C89" s="2"/>
      <x:c r="D89" s="2"/>
      <x:c r="E89" s="2"/>
      <x:c r="F89" s="2"/>
      <x:c r="G89" s="2"/>
      <x:c r="H89" s="2"/>
      <x:c r="I89" s="2"/>
      <x:c r="J89" s="2"/>
      <x:c r="K89" s="2"/>
      <x:c r="L89" s="2"/>
      <x:c r="M89" s="2"/>
      <x:c r="N89" s="2"/>
      <x:c r="O89" s="2"/>
      <x:c r="P89" s="2"/>
      <x:c r="Q89" s="2"/>
    </x:row>
    <x:row r="90" ht="23" customHeight="1">
      <x:c r="A90" s="2"/>
      <x:c r="B90" s="2"/>
      <x:c r="C90" s="2"/>
      <x:c r="D90" s="2"/>
      <x:c r="E90" s="2"/>
      <x:c r="F90" s="2"/>
      <x:c r="G90" s="2"/>
      <x:c r="H90" s="2"/>
      <x:c r="I90" s="2"/>
      <x:c r="J90" s="2"/>
      <x:c r="K90" s="2"/>
      <x:c r="L90" s="2"/>
      <x:c r="M90" s="2"/>
      <x:c r="N90" s="2"/>
      <x:c r="O90" s="2"/>
      <x:c r="P90" s="2"/>
      <x:c r="Q90" s="2"/>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3" hidden="0" customWidth="1"/>
    <x:col min="3" max="3" width="10" hidden="0" customWidth="1"/>
    <x:col min="4" max="4" width="14" hidden="0" customWidth="1"/>
    <x:col min="5" max="5" width="48" hidden="0" customWidth="1"/>
    <x:col min="6" max="6" width="48" hidden="0" customWidth="1"/>
    <x:col min="7" max="7" width="48" hidden="0" customWidth="1"/>
    <x:col min="8" max="8" width="4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s>
  <x:sheetData>
    <x:row r="1" ht="23" customHeight="1">
      <x:c r="A1" s="2"/>
      <x:c r="B1" s="2"/>
      <x:c r="C1" s="2"/>
      <x:c r="D1" s="2"/>
      <x:c r="E1" s="2"/>
      <x:c r="F1" s="2"/>
      <x:c r="G1" s="2"/>
      <x:c r="H1" s="2"/>
      <x:c r="I1" s="2"/>
      <x:c r="J1" s="2"/>
      <x:c r="K1" s="2"/>
      <x:c r="L1" s="2"/>
      <x:c r="M1" s="2"/>
      <x:c r="N1" s="2"/>
      <x:c r="O1" s="2"/>
      <x:c r="P1" s="2"/>
      <x:c r="Q1" s="2"/>
    </x:row>
    <x:row r="2" ht="23" customHeight="1">
      <x:c r="A2" s="2"/>
      <x:c r="B2" s="2"/>
      <x:c r="C2" s="3" t="str">
        <x:v>PG | Evidence and proposed implications</x:v>
      </x:c>
      <x:c r="D2" s="2"/>
      <x:c r="E2" s="2"/>
      <x:c r="F2" s="2"/>
      <x:c r="G2" s="2"/>
      <x:c r="H2" s="2"/>
      <x:c r="I2" s="2"/>
      <x:c r="J2" s="2"/>
      <x:c r="K2" s="2"/>
      <x:c r="L2" s="2"/>
      <x:c r="M2" s="2"/>
      <x:c r="N2" s="2"/>
      <x:c r="O2" s="2"/>
      <x:c r="P2" s="2"/>
      <x:c r="Q2" s="2"/>
    </x:row>
    <x:row r="3" ht="23" customHeight="1">
      <x:c r="A3" s="2"/>
      <x:c r="B3" s="2"/>
      <x:c r="C3" s="4"/>
      <x:c r="D3" s="4"/>
      <x:c r="E3" s="4"/>
      <x:c r="F3" s="4"/>
      <x:c r="G3" s="4"/>
      <x:c r="H3" s="4"/>
      <x:c r="I3" s="4"/>
      <x:c r="J3" s="4"/>
      <x:c r="K3" s="2"/>
      <x:c r="L3" s="2"/>
      <x:c r="M3" s="2"/>
      <x:c r="N3" s="2"/>
      <x:c r="O3" s="2"/>
      <x:c r="P3" s="2"/>
      <x:c r="Q3" s="2"/>
    </x:row>
    <x:row r="4" ht="23" customHeight="1">
      <x:c r="A4" s="2"/>
      <x:c r="B4" s="2"/>
      <x:c r="C4" s="2"/>
      <x:c r="D4" s="2"/>
      <x:c r="E4" s="2"/>
      <x:c r="F4" s="2"/>
      <x:c r="G4" s="2"/>
      <x:c r="H4" s="2"/>
      <x:c r="I4" s="2"/>
      <x:c r="J4" s="2"/>
      <x:c r="K4" s="2"/>
      <x:c r="L4" s="2"/>
      <x:c r="M4" s="2"/>
      <x:c r="N4" s="2"/>
      <x:c r="O4" s="2"/>
      <x:c r="P4" s="2"/>
      <x:c r="Q4" s="2"/>
    </x:row>
    <x:row r="5" ht="40" customHeight="1">
      <x:c r="A5" s="2"/>
      <x:c r="B5" s="2"/>
      <x:c r="C5" s="13" t="str">
        <x:v>ID</x:v>
      </x:c>
      <x:c r="D5" s="13" t="str">
        <x:v>Published</x:v>
      </x:c>
      <x:c r="E5" s="13" t="str">
        <x:v>Evidence</x:v>
      </x:c>
      <x:c r="F5" s="13" t="str">
        <x:v>Driver implication</x:v>
      </x:c>
      <x:c r="G5" s="13" t="str">
        <x:v>Proposed adjustment — before QA</x:v>
      </x:c>
      <x:c r="H5" s="13" t="str">
        <x:v>Source</x:v>
      </x:c>
      <x:c r="I5" s="2"/>
      <x:c r="J5" s="2"/>
      <x:c r="K5" s="2"/>
      <x:c r="L5" s="2"/>
      <x:c r="M5" s="2"/>
      <x:c r="N5" s="2"/>
      <x:c r="O5" s="2"/>
      <x:c r="P5" s="2"/>
      <x:c r="Q5" s="2"/>
    </x:row>
    <x:row r="6" ht="100" customHeight="1">
      <x:c r="A6" s="2"/>
      <x:c r="B6" s="2"/>
      <x:c r="C6" s="2" t="str">
        <x:v>PG01</x:v>
      </x:c>
      <x:c r="D6" s="2" t="str">
        <x:v>2026-01-22</x:v>
      </x:c>
      <x:c r="E6" s="18" t="str">
        <x:v>FY organic sales growth guidance 0–4%; commodity impact neutral; tariffs $400m after-tax headwind; FX $200m after-tax tailwind.</x:v>
      </x:c>
      <x:c r="F6" s="18" t="str">
        <x:v>Company-specific outlook anchors demand and input-cost assumptions.</x:v>
      </x:c>
      <x:c r="G6" s="18" t="str">
        <x:v>Keep organic-growth scenario envelope near 0–4%; downside commodity/tariff margin stress 0–50bp relative to history. Do not allocate the entire annual tariff cost to Q4.</x:v>
      </x:c>
      <x:c r="H6" s="18" t="str">
        <x:v>https://www.pginvestor.com/news/news-details/2026/PG-Announces-Fiscal-Year-2026-Second-Quarter-Results/default.aspx</x:v>
      </x:c>
      <x:c r="I6" s="2"/>
      <x:c r="J6" s="2"/>
      <x:c r="K6" s="2"/>
      <x:c r="L6" s="2"/>
      <x:c r="M6" s="2"/>
      <x:c r="N6" s="2"/>
      <x:c r="O6" s="2"/>
      <x:c r="P6" s="2"/>
      <x:c r="Q6" s="2"/>
    </x:row>
    <x:row r="7" ht="100" customHeight="1">
      <x:c r="A7" s="2"/>
      <x:c r="B7" s="2"/>
      <x:c r="C7" s="2" t="str">
        <x:v>PG02</x:v>
      </x:c>
      <x:c r="D7" s="2" t="str">
        <x:v>2026-03-11</x:v>
      </x:c>
      <x:c r="E7" s="18" t="str">
        <x:v>CPI +0.3% month-on-month seasonally adjusted; +2.4% year-on-year unadjusted.</x:v>
      </x:c>
      <x:c r="F7" s="18" t="str">
        <x:v>General household affordability backdrop, not P&amp;G realized pricing.</x:v>
      </x:c>
      <x:c r="G7" s="18" t="str">
        <x:v>Consider volume-growth downside 0–0.5 percentage points; do not directly apply CPI as price growth.</x:v>
      </x:c>
      <x:c r="H7" s="18" t="str">
        <x:v>https://www.bls.gov/news.release/archives/cpi_03112026.htm</x:v>
      </x:c>
      <x:c r="I7" s="2"/>
      <x:c r="J7" s="2"/>
      <x:c r="K7" s="2"/>
      <x:c r="L7" s="2"/>
      <x:c r="M7" s="2"/>
      <x:c r="N7" s="2"/>
      <x:c r="O7" s="2"/>
      <x:c r="P7" s="2"/>
      <x:c r="Q7" s="2"/>
    </x:row>
    <x:row r="8" ht="100" customHeight="1">
      <x:c r="A8" s="2"/>
      <x:c r="B8" s="2"/>
      <x:c r="C8" s="2" t="str">
        <x:v>PG03</x:v>
      </x:c>
      <x:c r="D8" s="2" t="str">
        <x:v>2026-03-18</x:v>
      </x:c>
      <x:c r="E8" s="18" t="str">
        <x:v>Final-demand PPI +0.7% month-on-month seasonally adjusted; +3.4% year-on-year.</x:v>
      </x:c>
      <x:c r="F8" s="18" t="str">
        <x:v>Upstream inflation is an imperfect signal for packaging, freight and raw materials.</x:v>
      </x:c>
      <x:c r="G8" s="18" t="str">
        <x:v>Gross-margin downside 0–30bp beyond baseline, subject to company guidance and procurement lag.</x:v>
      </x:c>
      <x:c r="H8" s="18" t="str">
        <x:v>https://www.bls.gov/news.release/archives/ppi_03182026.htm</x:v>
      </x:c>
      <x:c r="I8" s="2"/>
      <x:c r="J8" s="2"/>
      <x:c r="K8" s="2"/>
      <x:c r="L8" s="2"/>
      <x:c r="M8" s="2"/>
      <x:c r="N8" s="2"/>
      <x:c r="O8" s="2"/>
      <x:c r="P8" s="2"/>
      <x:c r="Q8" s="2"/>
    </x:row>
    <x:row r="9" ht="100" customHeight="1">
      <x:c r="A9" s="2"/>
      <x:c r="B9" s="2"/>
      <x:c r="C9" s="2" t="str">
        <x:v>PG04</x:v>
      </x:c>
      <x:c r="D9" s="2" t="str">
        <x:v>2026-03-13</x:v>
      </x:c>
      <x:c r="E9" s="18" t="str">
        <x:v>Real PCE +0.1% month-on-month; nominal goods spending fell $24.6bn; saving rate 4.5%.</x:v>
      </x:c>
      <x:c r="F9" s="18" t="str">
        <x:v>Weak real spending argues against inferring strong unit growth from nominal sales.</x:v>
      </x:c>
      <x:c r="G9" s="18" t="str">
        <x:v>Volume-growth adjustment -0.5 to 0 percentage points relative to history-only.</x:v>
      </x:c>
      <x:c r="H9" s="18" t="str">
        <x:v>https://www.bea.gov/sites/default/files/2026-03/pi0126.pdf</x:v>
      </x:c>
      <x:c r="I9" s="2"/>
      <x:c r="J9" s="2"/>
      <x:c r="K9" s="2"/>
      <x:c r="L9" s="2"/>
      <x:c r="M9" s="2"/>
      <x:c r="N9" s="2"/>
      <x:c r="O9" s="2"/>
      <x:c r="P9" s="2"/>
      <x:c r="Q9" s="2"/>
    </x:row>
    <x:row r="10" ht="100" customHeight="1">
      <x:c r="A10" s="2"/>
      <x:c r="B10" s="2"/>
      <x:c r="C10" s="2" t="str">
        <x:v>PG05</x:v>
      </x:c>
      <x:c r="D10" s="2" t="str">
        <x:v>2026-03-18</x:v>
      </x:c>
      <x:c r="E10" s="18" t="str">
        <x:v>Federal funds target maintained at 3.50–3.75%.</x:v>
      </x:c>
      <x:c r="F10" s="18" t="str">
        <x:v>Financing and valuation anchor; policy rate is not P&amp;G borrowing cost or a stock-return forecast.</x:v>
      </x:c>
      <x:c r="G10" s="18" t="str">
        <x:v>Base immediate interest-expense change zero without refinancing evidence; sensitivity +/-25bp on floating/repriced debt only. Equity discount-rate sensitivity separate from operating forecast.</x:v>
      </x:c>
      <x:c r="H10" s="18" t="str">
        <x:v>https://www.federalreserve.gov/newsevents/pressreleases/monetary20260318a.htm</x:v>
      </x:c>
      <x:c r="I10" s="2"/>
      <x:c r="J10" s="2"/>
      <x:c r="K10" s="2"/>
      <x:c r="L10" s="2"/>
      <x:c r="M10" s="2"/>
      <x:c r="N10" s="2"/>
      <x:c r="O10" s="2"/>
      <x:c r="P10" s="2"/>
      <x:c r="Q10" s="2"/>
    </x:row>
    <x:row r="11" ht="100" customHeight="1">
      <x:c r="A11" s="2"/>
      <x:c r="B11" s="2"/>
      <x:c r="C11" s="2" t="str">
        <x:v>PG06</x:v>
      </x:c>
      <x:c r="D11" s="2" t="str">
        <x:v>2026-04-24</x:v>
      </x:c>
      <x:c r="E11" s="18" t="str">
        <x:v>FY commodity headwind now $150m after tax; tariffs $400m and FX tailwind $200m unchanged; EPS expected toward lower end of range. Q3 organic growth 3%.</x:v>
      </x:c>
      <x:c r="F11" s="18" t="str">
        <x:v>Clear company-specific cost deterioration and demand update available only in May vintage.</x:v>
      </x:c>
      <x:c r="G11" s="18" t="str">
        <x:v>Relative to refreshed history control, gross-margin adjustment -20 to -80bp; use guidance as cross-check, not hard quarterly EPS target.</x:v>
      </x:c>
      <x:c r="H11" s="18" t="str">
        <x:v>https://www.pginvestor.com/news/news-details/2026/PG-Announces-Fiscal-Year-2026-Third-Quarter-Results/default.aspx</x:v>
      </x:c>
      <x:c r="I11" s="2"/>
      <x:c r="J11" s="2"/>
      <x:c r="K11" s="2"/>
      <x:c r="L11" s="2"/>
      <x:c r="M11" s="2"/>
      <x:c r="N11" s="2"/>
      <x:c r="O11" s="2"/>
      <x:c r="P11" s="2"/>
      <x:c r="Q11" s="2"/>
    </x:row>
    <x:row r="12" ht="100" customHeight="1">
      <x:c r="A12" s="2"/>
      <x:c r="B12" s="2"/>
      <x:c r="C12" s="2" t="str">
        <x:v>PG07</x:v>
      </x:c>
      <x:c r="D12" s="2" t="str">
        <x:v>2026-05-12</x:v>
      </x:c>
      <x:c r="E12" s="18" t="str">
        <x:v>CPI +0.6% month-on-month and +3.8% year-on-year; energy +3.8% month-on-month; personal care +0.7% month-on-month.</x:v>
      </x:c>
      <x:c r="F12" s="18" t="str">
        <x:v>In-quarter affordability pressure and category prices rose; category CPI includes competitors and retail margins.</x:v>
      </x:c>
      <x:c r="G12" s="18" t="str">
        <x:v>Price/mix adjustment 0–0.5 percentage points; volume downside 0–0.5 points, jointly rather than assumed full pass-through.</x:v>
      </x:c>
      <x:c r="H12" s="18" t="str">
        <x:v>https://www.bls.gov/news.release/archives/cpi_05122026.htm</x:v>
      </x:c>
      <x:c r="I12" s="2"/>
      <x:c r="J12" s="2"/>
      <x:c r="K12" s="2"/>
      <x:c r="L12" s="2"/>
      <x:c r="M12" s="2"/>
      <x:c r="N12" s="2"/>
      <x:c r="O12" s="2"/>
      <x:c r="P12" s="2"/>
      <x:c r="Q12" s="2"/>
    </x:row>
    <x:row r="13" ht="100" customHeight="1">
      <x:c r="A13" s="2"/>
      <x:c r="B13" s="2"/>
      <x:c r="C13" s="2" t="str">
        <x:v>PG08</x:v>
      </x:c>
      <x:c r="D13" s="2" t="str">
        <x:v>2026-05-13</x:v>
      </x:c>
      <x:c r="E13" s="18" t="str">
        <x:v>Final-demand PPI +1.4% month-on-month, +6.0% year-on-year; goods +2.0% month-on-month; transportation/warehousing services +5.0%.</x:v>
      </x:c>
      <x:c r="F13" s="18" t="str">
        <x:v>Higher freight and producer prices strengthen cost downside; final demand is not a company cost basket.</x:v>
      </x:c>
      <x:c r="G13" s="18" t="str">
        <x:v>Use 0–30bp incremental cost stress only if not already captured in PG06; procurement/inventory lag limits immediate recognition.</x:v>
      </x:c>
      <x:c r="H13" s="18" t="str">
        <x:v>https://www.bls.gov/news.release/archives/ppi_05132026.htm</x:v>
      </x:c>
      <x:c r="I13" s="2"/>
      <x:c r="J13" s="2"/>
      <x:c r="K13" s="2"/>
      <x:c r="L13" s="2"/>
      <x:c r="M13" s="2"/>
      <x:c r="N13" s="2"/>
      <x:c r="O13" s="2"/>
      <x:c r="P13" s="2"/>
      <x:c r="Q13" s="2"/>
    </x:row>
    <x:row r="14" ht="100" customHeight="1">
      <x:c r="A14" s="2"/>
      <x:c r="B14" s="2"/>
      <x:c r="C14" s="2" t="str">
        <x:v>PG09</x:v>
      </x:c>
      <x:c r="D14" s="2" t="str">
        <x:v>2026-04-30</x:v>
      </x:c>
      <x:c r="E14" s="18" t="str">
        <x:v>Real PCE +0.2% month-on-month; real disposable income -0.1%; saving rate 3.6%; nominal PCE +0.9%.</x:v>
      </x:c>
      <x:c r="F14" s="18" t="str">
        <x:v>Nominal spending strength exceeded real growth, limiting inferred volume upside.</x:v>
      </x:c>
      <x:c r="G14" s="18" t="str">
        <x:v>Volume-growth adjustment -0.5 to +0.25 percentage points versus refreshed historical trend.</x:v>
      </x:c>
      <x:c r="H14" s="18" t="str">
        <x:v>https://www.bea.gov/sites/default/files/2026-04/pi0326.pdf</x:v>
      </x:c>
      <x:c r="I14" s="2"/>
      <x:c r="J14" s="2"/>
      <x:c r="K14" s="2"/>
      <x:c r="L14" s="2"/>
      <x:c r="M14" s="2"/>
      <x:c r="N14" s="2"/>
      <x:c r="O14" s="2"/>
      <x:c r="P14" s="2"/>
      <x:c r="Q14" s="2"/>
    </x:row>
    <x:row r="15" ht="100" customHeight="1">
      <x:c r="A15" s="2"/>
      <x:c r="B15" s="2"/>
      <x:c r="C15" s="2" t="str">
        <x:v>PG10</x:v>
      </x:c>
      <x:c r="D15" s="2" t="str">
        <x:v>2026-04-30</x:v>
      </x:c>
      <x:c r="E15" s="18" t="str">
        <x:v>Unilever underlying sales +3.8%, volume +2.9%, price +0.9%; Home Care volume +6.2% with price -0.1%.</x:v>
      </x:c>
      <x:c r="F15" s="18" t="str">
        <x:v>Peer volume-led performance supports demand resilience but signals competition in overlapping categories.</x:v>
      </x:c>
      <x:c r="G15" s="18" t="str">
        <x:v>No mechanical P&amp;G uplift; stress P&amp;G volume +/-0.5 points or selling-cost ratio +0–20bp for competitive response.</x:v>
      </x:c>
      <x:c r="H15" s="18" t="str">
        <x:v>https://www.unilever.com/files/unilever-q1-2026-full-announcement.pdf</x:v>
      </x:c>
      <x:c r="I15" s="2"/>
      <x:c r="J15" s="2"/>
      <x:c r="K15" s="2"/>
      <x:c r="L15" s="2"/>
      <x:c r="M15" s="2"/>
      <x:c r="N15" s="2"/>
      <x:c r="O15" s="2"/>
      <x:c r="P15" s="2"/>
      <x:c r="Q15" s="2"/>
    </x:row>
    <x:row r="16" ht="23" customHeight="1">
      <x:c r="A16" s="2"/>
      <x:c r="B16" s="2"/>
      <x:c r="C16" s="2"/>
      <x:c r="D16" s="2"/>
      <x:c r="E16" s="2"/>
      <x:c r="F16" s="2"/>
      <x:c r="G16" s="2"/>
      <x:c r="H16" s="2"/>
      <x:c r="I16" s="2"/>
      <x:c r="J16" s="2"/>
      <x:c r="K16" s="2"/>
      <x:c r="L16" s="2"/>
      <x:c r="M16" s="2"/>
      <x:c r="N16" s="2"/>
      <x:c r="O16" s="2"/>
      <x:c r="P16" s="2"/>
      <x:c r="Q16" s="2"/>
    </x:row>
    <x:row r="17" ht="23" customHeight="1">
      <x:c r="A17" s="2"/>
      <x:c r="B17" s="2"/>
      <x:c r="C17" s="2"/>
      <x:c r="D17" s="2"/>
      <x:c r="E17" s="2"/>
      <x:c r="F17" s="2"/>
      <x:c r="G17" s="2"/>
      <x:c r="H17" s="2"/>
      <x:c r="I17" s="2"/>
      <x:c r="J17" s="2"/>
      <x:c r="K17" s="2"/>
      <x:c r="L17" s="2"/>
      <x:c r="M17" s="2"/>
      <x:c r="N17" s="2"/>
      <x:c r="O17" s="2"/>
      <x:c r="P17" s="2"/>
      <x:c r="Q17" s="2"/>
    </x:row>
    <x:row r="18" ht="23" customHeight="1">
      <x:c r="A18" s="2"/>
      <x:c r="B18" s="2"/>
      <x:c r="C18" s="2"/>
      <x:c r="D18" s="2"/>
      <x:c r="E18" s="2"/>
      <x:c r="F18" s="2"/>
      <x:c r="G18" s="2"/>
      <x:c r="H18" s="2"/>
      <x:c r="I18" s="2"/>
      <x:c r="J18" s="2"/>
      <x:c r="K18" s="2"/>
      <x:c r="L18" s="2"/>
      <x:c r="M18" s="2"/>
      <x:c r="N18" s="2"/>
      <x:c r="O18" s="2"/>
      <x:c r="P18" s="2"/>
      <x:c r="Q18" s="2"/>
    </x:row>
    <x:row r="19" ht="23" customHeight="1">
      <x:c r="A19" s="2"/>
      <x:c r="B19" s="2"/>
      <x:c r="C19" s="2"/>
      <x:c r="D19" s="2"/>
      <x:c r="E19" s="2"/>
      <x:c r="F19" s="2"/>
      <x:c r="G19" s="2"/>
      <x:c r="H19" s="2"/>
      <x:c r="I19" s="2"/>
      <x:c r="J19" s="2"/>
      <x:c r="K19" s="2"/>
      <x:c r="L19" s="2"/>
      <x:c r="M19" s="2"/>
      <x:c r="N19" s="2"/>
      <x:c r="O19" s="2"/>
      <x:c r="P19" s="2"/>
      <x:c r="Q19" s="2"/>
    </x:row>
    <x:row r="20" ht="23" customHeight="1">
      <x:c r="A20" s="2"/>
      <x:c r="B20" s="2"/>
      <x:c r="C20" s="2"/>
      <x:c r="D20" s="2"/>
      <x:c r="E20" s="2"/>
      <x:c r="F20" s="2"/>
      <x:c r="G20" s="2"/>
      <x:c r="H20" s="2"/>
      <x:c r="I20" s="2"/>
      <x:c r="J20" s="2"/>
      <x:c r="K20" s="2"/>
      <x:c r="L20" s="2"/>
      <x:c r="M20" s="2"/>
      <x:c r="N20" s="2"/>
      <x:c r="O20" s="2"/>
      <x:c r="P20" s="2"/>
      <x:c r="Q20" s="2"/>
    </x:row>
    <x:row r="21" ht="23" customHeight="1">
      <x:c r="A21" s="2"/>
      <x:c r="B21" s="2"/>
      <x:c r="C21" s="2"/>
      <x:c r="D21" s="2"/>
      <x:c r="E21" s="2"/>
      <x:c r="F21" s="2"/>
      <x:c r="G21" s="2"/>
      <x:c r="H21" s="2"/>
      <x:c r="I21" s="2"/>
      <x:c r="J21" s="2"/>
      <x:c r="K21" s="2"/>
      <x:c r="L21" s="2"/>
      <x:c r="M21" s="2"/>
      <x:c r="N21" s="2"/>
      <x:c r="O21" s="2"/>
      <x:c r="P21" s="2"/>
      <x:c r="Q21" s="2"/>
    </x:row>
    <x:row r="22" ht="23" customHeight="1">
      <x:c r="A22" s="2"/>
      <x:c r="B22" s="2"/>
      <x:c r="C22" s="2"/>
      <x:c r="D22" s="2"/>
      <x:c r="E22" s="2"/>
      <x:c r="F22" s="2"/>
      <x:c r="G22" s="2"/>
      <x:c r="H22" s="2"/>
      <x:c r="I22" s="2"/>
      <x:c r="J22" s="2"/>
      <x:c r="K22" s="2"/>
      <x:c r="L22" s="2"/>
      <x:c r="M22" s="2"/>
      <x:c r="N22" s="2"/>
      <x:c r="O22" s="2"/>
      <x:c r="P22" s="2"/>
      <x:c r="Q22" s="2"/>
    </x:row>
    <x:row r="23" ht="23" customHeight="1">
      <x:c r="A23" s="2"/>
      <x:c r="B23" s="2"/>
      <x:c r="C23" s="2"/>
      <x:c r="D23" s="2"/>
      <x:c r="E23" s="2"/>
      <x:c r="F23" s="2"/>
      <x:c r="G23" s="2"/>
      <x:c r="H23" s="2"/>
      <x:c r="I23" s="2"/>
      <x:c r="J23" s="2"/>
      <x:c r="K23" s="2"/>
      <x:c r="L23" s="2"/>
      <x:c r="M23" s="2"/>
      <x:c r="N23" s="2"/>
      <x:c r="O23" s="2"/>
      <x:c r="P23" s="2"/>
      <x:c r="Q23" s="2"/>
    </x:row>
    <x:row r="24" ht="23" customHeight="1">
      <x:c r="A24" s="2"/>
      <x:c r="B24" s="2"/>
      <x:c r="C24" s="2"/>
      <x:c r="D24" s="2"/>
      <x:c r="E24" s="2"/>
      <x:c r="F24" s="2"/>
      <x:c r="G24" s="2"/>
      <x:c r="H24" s="2"/>
      <x:c r="I24" s="2"/>
      <x:c r="J24" s="2"/>
      <x:c r="K24" s="2"/>
      <x:c r="L24" s="2"/>
      <x:c r="M24" s="2"/>
      <x:c r="N24" s="2"/>
      <x:c r="O24" s="2"/>
      <x:c r="P24" s="2"/>
      <x:c r="Q24" s="2"/>
    </x:row>
    <x:row r="25" ht="23" customHeight="1">
      <x:c r="A25" s="2"/>
      <x:c r="B25" s="2"/>
      <x:c r="C25" s="2"/>
      <x:c r="D25" s="2"/>
      <x:c r="E25" s="2"/>
      <x:c r="F25" s="2"/>
      <x:c r="G25" s="2"/>
      <x:c r="H25" s="2"/>
      <x:c r="I25" s="2"/>
      <x:c r="J25" s="2"/>
      <x:c r="K25" s="2"/>
      <x:c r="L25" s="2"/>
      <x:c r="M25" s="2"/>
      <x:c r="N25" s="2"/>
      <x:c r="O25" s="2"/>
      <x:c r="P25" s="2"/>
      <x:c r="Q25" s="2"/>
    </x:row>
    <x:row r="26" ht="23" customHeight="1">
      <x:c r="A26" s="2"/>
      <x:c r="B26" s="2"/>
      <x:c r="C26" s="2"/>
      <x:c r="D26" s="2"/>
      <x:c r="E26" s="2"/>
      <x:c r="F26" s="2"/>
      <x:c r="G26" s="2"/>
      <x:c r="H26" s="2"/>
      <x:c r="I26" s="2"/>
      <x:c r="J26" s="2"/>
      <x:c r="K26" s="2"/>
      <x:c r="L26" s="2"/>
      <x:c r="M26" s="2"/>
      <x:c r="N26" s="2"/>
      <x:c r="O26" s="2"/>
      <x:c r="P26" s="2"/>
      <x:c r="Q26" s="2"/>
    </x:row>
    <x:row r="27" ht="23" customHeight="1">
      <x:c r="A27" s="2"/>
      <x:c r="B27" s="2"/>
      <x:c r="C27" s="2"/>
      <x:c r="D27" s="2"/>
      <x:c r="E27" s="2"/>
      <x:c r="F27" s="2"/>
      <x:c r="G27" s="2"/>
      <x:c r="H27" s="2"/>
      <x:c r="I27" s="2"/>
      <x:c r="J27" s="2"/>
      <x:c r="K27" s="2"/>
      <x:c r="L27" s="2"/>
      <x:c r="M27" s="2"/>
      <x:c r="N27" s="2"/>
      <x:c r="O27" s="2"/>
      <x:c r="P27" s="2"/>
      <x:c r="Q27" s="2"/>
    </x:row>
    <x:row r="28" ht="23" customHeight="1">
      <x:c r="A28" s="2"/>
      <x:c r="B28" s="2"/>
      <x:c r="C28" s="2"/>
      <x:c r="D28" s="2"/>
      <x:c r="E28" s="2"/>
      <x:c r="F28" s="2"/>
      <x:c r="G28" s="2"/>
      <x:c r="H28" s="2"/>
      <x:c r="I28" s="2"/>
      <x:c r="J28" s="2"/>
      <x:c r="K28" s="2"/>
      <x:c r="L28" s="2"/>
      <x:c r="M28" s="2"/>
      <x:c r="N28" s="2"/>
      <x:c r="O28" s="2"/>
      <x:c r="P28" s="2"/>
      <x:c r="Q28" s="2"/>
    </x:row>
    <x:row r="29" ht="23" customHeight="1">
      <x:c r="A29" s="2"/>
      <x:c r="B29" s="2"/>
      <x:c r="C29" s="2"/>
      <x:c r="D29" s="2"/>
      <x:c r="E29" s="2"/>
      <x:c r="F29" s="2"/>
      <x:c r="G29" s="2"/>
      <x:c r="H29" s="2"/>
      <x:c r="I29" s="2"/>
      <x:c r="J29" s="2"/>
      <x:c r="K29" s="2"/>
      <x:c r="L29" s="2"/>
      <x:c r="M29" s="2"/>
      <x:c r="N29" s="2"/>
      <x:c r="O29" s="2"/>
      <x:c r="P29" s="2"/>
      <x:c r="Q29" s="2"/>
    </x:row>
    <x:row r="30" ht="23" customHeight="1">
      <x:c r="A30" s="2"/>
      <x:c r="B30" s="2"/>
      <x:c r="C30" s="2"/>
      <x:c r="D30" s="2"/>
      <x:c r="E30" s="2"/>
      <x:c r="F30" s="2"/>
      <x:c r="G30" s="2"/>
      <x:c r="H30" s="2"/>
      <x:c r="I30" s="2"/>
      <x:c r="J30" s="2"/>
      <x:c r="K30" s="2"/>
      <x:c r="L30" s="2"/>
      <x:c r="M30" s="2"/>
      <x:c r="N30" s="2"/>
      <x:c r="O30" s="2"/>
      <x:c r="P30" s="2"/>
      <x:c r="Q30" s="2"/>
    </x:row>
    <x:row r="31" ht="23" customHeight="1">
      <x:c r="A31" s="2"/>
      <x:c r="B31" s="2"/>
      <x:c r="C31" s="2"/>
      <x:c r="D31" s="2"/>
      <x:c r="E31" s="2"/>
      <x:c r="F31" s="2"/>
      <x:c r="G31" s="2"/>
      <x:c r="H31" s="2"/>
      <x:c r="I31" s="2"/>
      <x:c r="J31" s="2"/>
      <x:c r="K31" s="2"/>
      <x:c r="L31" s="2"/>
      <x:c r="M31" s="2"/>
      <x:c r="N31" s="2"/>
      <x:c r="O31" s="2"/>
      <x:c r="P31" s="2"/>
      <x:c r="Q31" s="2"/>
    </x:row>
    <x:row r="32" ht="23" customHeight="1">
      <x:c r="A32" s="2"/>
      <x:c r="B32" s="2"/>
      <x:c r="C32" s="2"/>
      <x:c r="D32" s="2"/>
      <x:c r="E32" s="2"/>
      <x:c r="F32" s="2"/>
      <x:c r="G32" s="2"/>
      <x:c r="H32" s="2"/>
      <x:c r="I32" s="2"/>
      <x:c r="J32" s="2"/>
      <x:c r="K32" s="2"/>
      <x:c r="L32" s="2"/>
      <x:c r="M32" s="2"/>
      <x:c r="N32" s="2"/>
      <x:c r="O32" s="2"/>
      <x:c r="P32" s="2"/>
      <x:c r="Q32" s="2"/>
    </x:row>
    <x:row r="33" ht="23" customHeight="1">
      <x:c r="A33" s="2"/>
      <x:c r="B33" s="2"/>
      <x:c r="C33" s="2"/>
      <x:c r="D33" s="2"/>
      <x:c r="E33" s="2"/>
      <x:c r="F33" s="2"/>
      <x:c r="G33" s="2"/>
      <x:c r="H33" s="2"/>
      <x:c r="I33" s="2"/>
      <x:c r="J33" s="2"/>
      <x:c r="K33" s="2"/>
      <x:c r="L33" s="2"/>
      <x:c r="M33" s="2"/>
      <x:c r="N33" s="2"/>
      <x:c r="O33" s="2"/>
      <x:c r="P33" s="2"/>
      <x:c r="Q33" s="2"/>
    </x:row>
    <x:row r="34" ht="23" customHeight="1">
      <x:c r="A34" s="2"/>
      <x:c r="B34" s="2"/>
      <x:c r="C34" s="2"/>
      <x:c r="D34" s="2"/>
      <x:c r="E34" s="2"/>
      <x:c r="F34" s="2"/>
      <x:c r="G34" s="2"/>
      <x:c r="H34" s="2"/>
      <x:c r="I34" s="2"/>
      <x:c r="J34" s="2"/>
      <x:c r="K34" s="2"/>
      <x:c r="L34" s="2"/>
      <x:c r="M34" s="2"/>
      <x:c r="N34" s="2"/>
      <x:c r="O34" s="2"/>
      <x:c r="P34" s="2"/>
      <x:c r="Q34" s="2"/>
    </x:row>
    <x:row r="35" ht="23" customHeight="1">
      <x:c r="A35" s="2"/>
      <x:c r="B35" s="2"/>
      <x:c r="C35" s="2"/>
      <x:c r="D35" s="2"/>
      <x:c r="E35" s="2"/>
      <x:c r="F35" s="2"/>
      <x:c r="G35" s="2"/>
      <x:c r="H35" s="2"/>
      <x:c r="I35" s="2"/>
      <x:c r="J35" s="2"/>
      <x:c r="K35" s="2"/>
      <x:c r="L35" s="2"/>
      <x:c r="M35" s="2"/>
      <x:c r="N35" s="2"/>
      <x:c r="O35" s="2"/>
      <x:c r="P35" s="2"/>
      <x:c r="Q35" s="2"/>
    </x:row>
    <x:row r="36" ht="23" customHeight="1">
      <x:c r="A36" s="2"/>
      <x:c r="B36" s="2"/>
      <x:c r="C36" s="2"/>
      <x:c r="D36" s="2"/>
      <x:c r="E36" s="2"/>
      <x:c r="F36" s="2"/>
      <x:c r="G36" s="2"/>
      <x:c r="H36" s="2"/>
      <x:c r="I36" s="2"/>
      <x:c r="J36" s="2"/>
      <x:c r="K36" s="2"/>
      <x:c r="L36" s="2"/>
      <x:c r="M36" s="2"/>
      <x:c r="N36" s="2"/>
      <x:c r="O36" s="2"/>
      <x:c r="P36" s="2"/>
      <x:c r="Q36" s="2"/>
    </x:row>
    <x:row r="37" ht="23" customHeight="1">
      <x:c r="A37" s="2"/>
      <x:c r="B37" s="2"/>
      <x:c r="C37" s="2"/>
      <x:c r="D37" s="2"/>
      <x:c r="E37" s="2"/>
      <x:c r="F37" s="2"/>
      <x:c r="G37" s="2"/>
      <x:c r="H37" s="2"/>
      <x:c r="I37" s="2"/>
      <x:c r="J37" s="2"/>
      <x:c r="K37" s="2"/>
      <x:c r="L37" s="2"/>
      <x:c r="M37" s="2"/>
      <x:c r="N37" s="2"/>
      <x:c r="O37" s="2"/>
      <x:c r="P37" s="2"/>
      <x:c r="Q37" s="2"/>
    </x:row>
    <x:row r="38" ht="23" customHeight="1">
      <x:c r="A38" s="2"/>
      <x:c r="B38" s="2"/>
      <x:c r="C38" s="2"/>
      <x:c r="D38" s="2"/>
      <x:c r="E38" s="2"/>
      <x:c r="F38" s="2"/>
      <x:c r="G38" s="2"/>
      <x:c r="H38" s="2"/>
      <x:c r="I38" s="2"/>
      <x:c r="J38" s="2"/>
      <x:c r="K38" s="2"/>
      <x:c r="L38" s="2"/>
      <x:c r="M38" s="2"/>
      <x:c r="N38" s="2"/>
      <x:c r="O38" s="2"/>
      <x:c r="P38" s="2"/>
      <x:c r="Q38" s="2"/>
    </x:row>
    <x:row r="39" ht="23" customHeight="1">
      <x:c r="A39" s="2"/>
      <x:c r="B39" s="2"/>
      <x:c r="C39" s="2"/>
      <x:c r="D39" s="2"/>
      <x:c r="E39" s="2"/>
      <x:c r="F39" s="2"/>
      <x:c r="G39" s="2"/>
      <x:c r="H39" s="2"/>
      <x:c r="I39" s="2"/>
      <x:c r="J39" s="2"/>
      <x:c r="K39" s="2"/>
      <x:c r="L39" s="2"/>
      <x:c r="M39" s="2"/>
      <x:c r="N39" s="2"/>
      <x:c r="O39" s="2"/>
      <x:c r="P39" s="2"/>
      <x:c r="Q39" s="2"/>
    </x:row>
    <x:row r="40" ht="23" customHeight="1">
      <x:c r="A40" s="2"/>
      <x:c r="B40" s="2"/>
      <x:c r="C40" s="2"/>
      <x:c r="D40" s="2"/>
      <x:c r="E40" s="2"/>
      <x:c r="F40" s="2"/>
      <x:c r="G40" s="2"/>
      <x:c r="H40" s="2"/>
      <x:c r="I40" s="2"/>
      <x:c r="J40" s="2"/>
      <x:c r="K40" s="2"/>
      <x:c r="L40" s="2"/>
      <x:c r="M40" s="2"/>
      <x:c r="N40" s="2"/>
      <x:c r="O40" s="2"/>
      <x:c r="P40" s="2"/>
      <x:c r="Q40" s="2"/>
    </x:row>
    <x:row r="41" ht="23" customHeight="1">
      <x:c r="A41" s="2"/>
      <x:c r="B41" s="2"/>
      <x:c r="C41" s="2"/>
      <x:c r="D41" s="2"/>
      <x:c r="E41" s="2"/>
      <x:c r="F41" s="2"/>
      <x:c r="G41" s="2"/>
      <x:c r="H41" s="2"/>
      <x:c r="I41" s="2"/>
      <x:c r="J41" s="2"/>
      <x:c r="K41" s="2"/>
      <x:c r="L41" s="2"/>
      <x:c r="M41" s="2"/>
      <x:c r="N41" s="2"/>
      <x:c r="O41" s="2"/>
      <x:c r="P41" s="2"/>
      <x:c r="Q41" s="2"/>
    </x:row>
    <x:row r="42" ht="23" customHeight="1">
      <x:c r="A42" s="2"/>
      <x:c r="B42" s="2"/>
      <x:c r="C42" s="2"/>
      <x:c r="D42" s="2"/>
      <x:c r="E42" s="2"/>
      <x:c r="F42" s="2"/>
      <x:c r="G42" s="2"/>
      <x:c r="H42" s="2"/>
      <x:c r="I42" s="2"/>
      <x:c r="J42" s="2"/>
      <x:c r="K42" s="2"/>
      <x:c r="L42" s="2"/>
      <x:c r="M42" s="2"/>
      <x:c r="N42" s="2"/>
      <x:c r="O42" s="2"/>
      <x:c r="P42" s="2"/>
      <x:c r="Q42" s="2"/>
    </x:row>
    <x:row r="43" ht="23" customHeight="1">
      <x:c r="A43" s="2"/>
      <x:c r="B43" s="2"/>
      <x:c r="C43" s="2"/>
      <x:c r="D43" s="2"/>
      <x:c r="E43" s="2"/>
      <x:c r="F43" s="2"/>
      <x:c r="G43" s="2"/>
      <x:c r="H43" s="2"/>
      <x:c r="I43" s="2"/>
      <x:c r="J43" s="2"/>
      <x:c r="K43" s="2"/>
      <x:c r="L43" s="2"/>
      <x:c r="M43" s="2"/>
      <x:c r="N43" s="2"/>
      <x:c r="O43" s="2"/>
      <x:c r="P43" s="2"/>
      <x:c r="Q43" s="2"/>
    </x:row>
    <x:row r="44" ht="23" customHeight="1">
      <x:c r="A44" s="2"/>
      <x:c r="B44" s="2"/>
      <x:c r="C44" s="2"/>
      <x:c r="D44" s="2"/>
      <x:c r="E44" s="2"/>
      <x:c r="F44" s="2"/>
      <x:c r="G44" s="2"/>
      <x:c r="H44" s="2"/>
      <x:c r="I44" s="2"/>
      <x:c r="J44" s="2"/>
      <x:c r="K44" s="2"/>
      <x:c r="L44" s="2"/>
      <x:c r="M44" s="2"/>
      <x:c r="N44" s="2"/>
      <x:c r="O44" s="2"/>
      <x:c r="P44" s="2"/>
      <x:c r="Q44" s="2"/>
    </x:row>
    <x:row r="45" ht="23" customHeight="1">
      <x:c r="A45" s="2"/>
      <x:c r="B45" s="2"/>
      <x:c r="C45" s="2"/>
      <x:c r="D45" s="2"/>
      <x:c r="E45" s="2"/>
      <x:c r="F45" s="2"/>
      <x:c r="G45" s="2"/>
      <x:c r="H45" s="2"/>
      <x:c r="I45" s="2"/>
      <x:c r="J45" s="2"/>
      <x:c r="K45" s="2"/>
      <x:c r="L45" s="2"/>
      <x:c r="M45" s="2"/>
      <x:c r="N45" s="2"/>
      <x:c r="O45" s="2"/>
      <x:c r="P45" s="2"/>
      <x:c r="Q45" s="2"/>
    </x:row>
    <x:row r="46" ht="23" customHeight="1">
      <x:c r="A46" s="2"/>
      <x:c r="B46" s="2"/>
      <x:c r="C46" s="2"/>
      <x:c r="D46" s="2"/>
      <x:c r="E46" s="2"/>
      <x:c r="F46" s="2"/>
      <x:c r="G46" s="2"/>
      <x:c r="H46" s="2"/>
      <x:c r="I46" s="2"/>
      <x:c r="J46" s="2"/>
      <x:c r="K46" s="2"/>
      <x:c r="L46" s="2"/>
      <x:c r="M46" s="2"/>
      <x:c r="N46" s="2"/>
      <x:c r="O46" s="2"/>
      <x:c r="P46" s="2"/>
      <x:c r="Q46" s="2"/>
    </x:row>
    <x:row r="47" ht="23" customHeight="1">
      <x:c r="A47" s="2"/>
      <x:c r="B47" s="2"/>
      <x:c r="C47" s="2"/>
      <x:c r="D47" s="2"/>
      <x:c r="E47" s="2"/>
      <x:c r="F47" s="2"/>
      <x:c r="G47" s="2"/>
      <x:c r="H47" s="2"/>
      <x:c r="I47" s="2"/>
      <x:c r="J47" s="2"/>
      <x:c r="K47" s="2"/>
      <x:c r="L47" s="2"/>
      <x:c r="M47" s="2"/>
      <x:c r="N47" s="2"/>
      <x:c r="O47" s="2"/>
      <x:c r="P47" s="2"/>
      <x:c r="Q47" s="2"/>
    </x:row>
    <x:row r="48" ht="23" customHeight="1">
      <x:c r="A48" s="2"/>
      <x:c r="B48" s="2"/>
      <x:c r="C48" s="2"/>
      <x:c r="D48" s="2"/>
      <x:c r="E48" s="2"/>
      <x:c r="F48" s="2"/>
      <x:c r="G48" s="2"/>
      <x:c r="H48" s="2"/>
      <x:c r="I48" s="2"/>
      <x:c r="J48" s="2"/>
      <x:c r="K48" s="2"/>
      <x:c r="L48" s="2"/>
      <x:c r="M48" s="2"/>
      <x:c r="N48" s="2"/>
      <x:c r="O48" s="2"/>
      <x:c r="P48" s="2"/>
      <x:c r="Q48" s="2"/>
    </x:row>
    <x:row r="49" ht="23" customHeight="1">
      <x:c r="A49" s="2"/>
      <x:c r="B49" s="2"/>
      <x:c r="C49" s="2"/>
      <x:c r="D49" s="2"/>
      <x:c r="E49" s="2"/>
      <x:c r="F49" s="2"/>
      <x:c r="G49" s="2"/>
      <x:c r="H49" s="2"/>
      <x:c r="I49" s="2"/>
      <x:c r="J49" s="2"/>
      <x:c r="K49" s="2"/>
      <x:c r="L49" s="2"/>
      <x:c r="M49" s="2"/>
      <x:c r="N49" s="2"/>
      <x:c r="O49" s="2"/>
      <x:c r="P49" s="2"/>
      <x:c r="Q49" s="2"/>
    </x:row>
    <x:row r="50" ht="23" customHeight="1">
      <x:c r="A50" s="2"/>
      <x:c r="B50" s="2"/>
      <x:c r="C50" s="2"/>
      <x:c r="D50" s="2"/>
      <x:c r="E50" s="2"/>
      <x:c r="F50" s="2"/>
      <x:c r="G50" s="2"/>
      <x:c r="H50" s="2"/>
      <x:c r="I50" s="2"/>
      <x:c r="J50" s="2"/>
      <x:c r="K50" s="2"/>
      <x:c r="L50" s="2"/>
      <x:c r="M50" s="2"/>
      <x:c r="N50" s="2"/>
      <x:c r="O50" s="2"/>
      <x:c r="P50" s="2"/>
      <x:c r="Q50" s="2"/>
    </x:row>
    <x:row r="51" ht="23" customHeight="1">
      <x:c r="A51" s="2"/>
      <x:c r="B51" s="2"/>
      <x:c r="C51" s="2"/>
      <x:c r="D51" s="2"/>
      <x:c r="E51" s="2"/>
      <x:c r="F51" s="2"/>
      <x:c r="G51" s="2"/>
      <x:c r="H51" s="2"/>
      <x:c r="I51" s="2"/>
      <x:c r="J51" s="2"/>
      <x:c r="K51" s="2"/>
      <x:c r="L51" s="2"/>
      <x:c r="M51" s="2"/>
      <x:c r="N51" s="2"/>
      <x:c r="O51" s="2"/>
      <x:c r="P51" s="2"/>
      <x:c r="Q51" s="2"/>
    </x:row>
    <x:row r="52" ht="23" customHeight="1">
      <x:c r="A52" s="2"/>
      <x:c r="B52" s="2"/>
      <x:c r="C52" s="2"/>
      <x:c r="D52" s="2"/>
      <x:c r="E52" s="2"/>
      <x:c r="F52" s="2"/>
      <x:c r="G52" s="2"/>
      <x:c r="H52" s="2"/>
      <x:c r="I52" s="2"/>
      <x:c r="J52" s="2"/>
      <x:c r="K52" s="2"/>
      <x:c r="L52" s="2"/>
      <x:c r="M52" s="2"/>
      <x:c r="N52" s="2"/>
      <x:c r="O52" s="2"/>
      <x:c r="P52" s="2"/>
      <x:c r="Q52" s="2"/>
    </x:row>
    <x:row r="53" ht="23" customHeight="1">
      <x:c r="A53" s="2"/>
      <x:c r="B53" s="2"/>
      <x:c r="C53" s="2"/>
      <x:c r="D53" s="2"/>
      <x:c r="E53" s="2"/>
      <x:c r="F53" s="2"/>
      <x:c r="G53" s="2"/>
      <x:c r="H53" s="2"/>
      <x:c r="I53" s="2"/>
      <x:c r="J53" s="2"/>
      <x:c r="K53" s="2"/>
      <x:c r="L53" s="2"/>
      <x:c r="M53" s="2"/>
      <x:c r="N53" s="2"/>
      <x:c r="O53" s="2"/>
      <x:c r="P53" s="2"/>
      <x:c r="Q53" s="2"/>
    </x:row>
    <x:row r="54" ht="23" customHeight="1">
      <x:c r="A54" s="2"/>
      <x:c r="B54" s="2"/>
      <x:c r="C54" s="2"/>
      <x:c r="D54" s="2"/>
      <x:c r="E54" s="2"/>
      <x:c r="F54" s="2"/>
      <x:c r="G54" s="2"/>
      <x:c r="H54" s="2"/>
      <x:c r="I54" s="2"/>
      <x:c r="J54" s="2"/>
      <x:c r="K54" s="2"/>
      <x:c r="L54" s="2"/>
      <x:c r="M54" s="2"/>
      <x:c r="N54" s="2"/>
      <x:c r="O54" s="2"/>
      <x:c r="P54" s="2"/>
      <x:c r="Q54" s="2"/>
    </x:row>
    <x:row r="55" ht="23" customHeight="1">
      <x:c r="A55" s="2"/>
      <x:c r="B55" s="2"/>
      <x:c r="C55" s="2"/>
      <x:c r="D55" s="2"/>
      <x:c r="E55" s="2"/>
      <x:c r="F55" s="2"/>
      <x:c r="G55" s="2"/>
      <x:c r="H55" s="2"/>
      <x:c r="I55" s="2"/>
      <x:c r="J55" s="2"/>
      <x:c r="K55" s="2"/>
      <x:c r="L55" s="2"/>
      <x:c r="M55" s="2"/>
      <x:c r="N55" s="2"/>
      <x:c r="O55" s="2"/>
      <x:c r="P55" s="2"/>
      <x:c r="Q55" s="2"/>
    </x:row>
    <x:row r="56" ht="23" customHeight="1">
      <x:c r="A56" s="2"/>
      <x:c r="B56" s="2"/>
      <x:c r="C56" s="2"/>
      <x:c r="D56" s="2"/>
      <x:c r="E56" s="2"/>
      <x:c r="F56" s="2"/>
      <x:c r="G56" s="2"/>
      <x:c r="H56" s="2"/>
      <x:c r="I56" s="2"/>
      <x:c r="J56" s="2"/>
      <x:c r="K56" s="2"/>
      <x:c r="L56" s="2"/>
      <x:c r="M56" s="2"/>
      <x:c r="N56" s="2"/>
      <x:c r="O56" s="2"/>
      <x:c r="P56" s="2"/>
      <x:c r="Q56" s="2"/>
    </x:row>
    <x:row r="57" ht="23" customHeight="1">
      <x:c r="A57" s="2"/>
      <x:c r="B57" s="2"/>
      <x:c r="C57" s="2"/>
      <x:c r="D57" s="2"/>
      <x:c r="E57" s="2"/>
      <x:c r="F57" s="2"/>
      <x:c r="G57" s="2"/>
      <x:c r="H57" s="2"/>
      <x:c r="I57" s="2"/>
      <x:c r="J57" s="2"/>
      <x:c r="K57" s="2"/>
      <x:c r="L57" s="2"/>
      <x:c r="M57" s="2"/>
      <x:c r="N57" s="2"/>
      <x:c r="O57" s="2"/>
      <x:c r="P57" s="2"/>
      <x:c r="Q57" s="2"/>
    </x:row>
    <x:row r="58" ht="23" customHeight="1">
      <x:c r="A58" s="2"/>
      <x:c r="B58" s="2"/>
      <x:c r="C58" s="2"/>
      <x:c r="D58" s="2"/>
      <x:c r="E58" s="2"/>
      <x:c r="F58" s="2"/>
      <x:c r="G58" s="2"/>
      <x:c r="H58" s="2"/>
      <x:c r="I58" s="2"/>
      <x:c r="J58" s="2"/>
      <x:c r="K58" s="2"/>
      <x:c r="L58" s="2"/>
      <x:c r="M58" s="2"/>
      <x:c r="N58" s="2"/>
      <x:c r="O58" s="2"/>
      <x:c r="P58" s="2"/>
      <x:c r="Q58" s="2"/>
    </x:row>
    <x:row r="59" ht="23" customHeight="1">
      <x:c r="A59" s="2"/>
      <x:c r="B59" s="2"/>
      <x:c r="C59" s="2"/>
      <x:c r="D59" s="2"/>
      <x:c r="E59" s="2"/>
      <x:c r="F59" s="2"/>
      <x:c r="G59" s="2"/>
      <x:c r="H59" s="2"/>
      <x:c r="I59" s="2"/>
      <x:c r="J59" s="2"/>
      <x:c r="K59" s="2"/>
      <x:c r="L59" s="2"/>
      <x:c r="M59" s="2"/>
      <x:c r="N59" s="2"/>
      <x:c r="O59" s="2"/>
      <x:c r="P59" s="2"/>
      <x:c r="Q59" s="2"/>
    </x:row>
    <x:row r="60" ht="23" customHeight="1">
      <x:c r="A60" s="2"/>
      <x:c r="B60" s="2"/>
      <x:c r="C60" s="2"/>
      <x:c r="D60" s="2"/>
      <x:c r="E60" s="2"/>
      <x:c r="F60" s="2"/>
      <x:c r="G60" s="2"/>
      <x:c r="H60" s="2"/>
      <x:c r="I60" s="2"/>
      <x:c r="J60" s="2"/>
      <x:c r="K60" s="2"/>
      <x:c r="L60" s="2"/>
      <x:c r="M60" s="2"/>
      <x:c r="N60" s="2"/>
      <x:c r="O60" s="2"/>
      <x:c r="P60" s="2"/>
      <x:c r="Q60" s="2"/>
    </x:row>
    <x:row r="61" ht="23" customHeight="1">
      <x:c r="A61" s="2"/>
      <x:c r="B61" s="2"/>
      <x:c r="C61" s="2"/>
      <x:c r="D61" s="2"/>
      <x:c r="E61" s="2"/>
      <x:c r="F61" s="2"/>
      <x:c r="G61" s="2"/>
      <x:c r="H61" s="2"/>
      <x:c r="I61" s="2"/>
      <x:c r="J61" s="2"/>
      <x:c r="K61" s="2"/>
      <x:c r="L61" s="2"/>
      <x:c r="M61" s="2"/>
      <x:c r="N61" s="2"/>
      <x:c r="O61" s="2"/>
      <x:c r="P61" s="2"/>
      <x:c r="Q61" s="2"/>
    </x:row>
    <x:row r="62" ht="23" customHeight="1">
      <x:c r="A62" s="2"/>
      <x:c r="B62" s="2"/>
      <x:c r="C62" s="2"/>
      <x:c r="D62" s="2"/>
      <x:c r="E62" s="2"/>
      <x:c r="F62" s="2"/>
      <x:c r="G62" s="2"/>
      <x:c r="H62" s="2"/>
      <x:c r="I62" s="2"/>
      <x:c r="J62" s="2"/>
      <x:c r="K62" s="2"/>
      <x:c r="L62" s="2"/>
      <x:c r="M62" s="2"/>
      <x:c r="N62" s="2"/>
      <x:c r="O62" s="2"/>
      <x:c r="P62" s="2"/>
      <x:c r="Q62" s="2"/>
    </x:row>
    <x:row r="63" ht="23" customHeight="1">
      <x:c r="A63" s="2"/>
      <x:c r="B63" s="2"/>
      <x:c r="C63" s="2"/>
      <x:c r="D63" s="2"/>
      <x:c r="E63" s="2"/>
      <x:c r="F63" s="2"/>
      <x:c r="G63" s="2"/>
      <x:c r="H63" s="2"/>
      <x:c r="I63" s="2"/>
      <x:c r="J63" s="2"/>
      <x:c r="K63" s="2"/>
      <x:c r="L63" s="2"/>
      <x:c r="M63" s="2"/>
      <x:c r="N63" s="2"/>
      <x:c r="O63" s="2"/>
      <x:c r="P63" s="2"/>
      <x:c r="Q63" s="2"/>
    </x:row>
    <x:row r="64" ht="23" customHeight="1">
      <x:c r="A64" s="2"/>
      <x:c r="B64" s="2"/>
      <x:c r="C64" s="2"/>
      <x:c r="D64" s="2"/>
      <x:c r="E64" s="2"/>
      <x:c r="F64" s="2"/>
      <x:c r="G64" s="2"/>
      <x:c r="H64" s="2"/>
      <x:c r="I64" s="2"/>
      <x:c r="J64" s="2"/>
      <x:c r="K64" s="2"/>
      <x:c r="L64" s="2"/>
      <x:c r="M64" s="2"/>
      <x:c r="N64" s="2"/>
      <x:c r="O64" s="2"/>
      <x:c r="P64" s="2"/>
      <x:c r="Q64" s="2"/>
    </x:row>
    <x:row r="65" ht="23" customHeight="1">
      <x:c r="A65" s="2"/>
      <x:c r="B65" s="2"/>
      <x:c r="C65" s="2"/>
      <x:c r="D65" s="2"/>
      <x:c r="E65" s="2"/>
      <x:c r="F65" s="2"/>
      <x:c r="G65" s="2"/>
      <x:c r="H65" s="2"/>
      <x:c r="I65" s="2"/>
      <x:c r="J65" s="2"/>
      <x:c r="K65" s="2"/>
      <x:c r="L65" s="2"/>
      <x:c r="M65" s="2"/>
      <x:c r="N65" s="2"/>
      <x:c r="O65" s="2"/>
      <x:c r="P65" s="2"/>
      <x:c r="Q65" s="2"/>
    </x:row>
    <x:row r="66" ht="23" customHeight="1">
      <x:c r="A66" s="2"/>
      <x:c r="B66" s="2"/>
      <x:c r="C66" s="2"/>
      <x:c r="D66" s="2"/>
      <x:c r="E66" s="2"/>
      <x:c r="F66" s="2"/>
      <x:c r="G66" s="2"/>
      <x:c r="H66" s="2"/>
      <x:c r="I66" s="2"/>
      <x:c r="J66" s="2"/>
      <x:c r="K66" s="2"/>
      <x:c r="L66" s="2"/>
      <x:c r="M66" s="2"/>
      <x:c r="N66" s="2"/>
      <x:c r="O66" s="2"/>
      <x:c r="P66" s="2"/>
      <x:c r="Q66" s="2"/>
    </x:row>
    <x:row r="67" ht="23" customHeight="1">
      <x:c r="A67" s="2"/>
      <x:c r="B67" s="2"/>
      <x:c r="C67" s="2"/>
      <x:c r="D67" s="2"/>
      <x:c r="E67" s="2"/>
      <x:c r="F67" s="2"/>
      <x:c r="G67" s="2"/>
      <x:c r="H67" s="2"/>
      <x:c r="I67" s="2"/>
      <x:c r="J67" s="2"/>
      <x:c r="K67" s="2"/>
      <x:c r="L67" s="2"/>
      <x:c r="M67" s="2"/>
      <x:c r="N67" s="2"/>
      <x:c r="O67" s="2"/>
      <x:c r="P67" s="2"/>
      <x:c r="Q67" s="2"/>
    </x:row>
    <x:row r="68" ht="23" customHeight="1">
      <x:c r="A68" s="2"/>
      <x:c r="B68" s="2"/>
      <x:c r="C68" s="2"/>
      <x:c r="D68" s="2"/>
      <x:c r="E68" s="2"/>
      <x:c r="F68" s="2"/>
      <x:c r="G68" s="2"/>
      <x:c r="H68" s="2"/>
      <x:c r="I68" s="2"/>
      <x:c r="J68" s="2"/>
      <x:c r="K68" s="2"/>
      <x:c r="L68" s="2"/>
      <x:c r="M68" s="2"/>
      <x:c r="N68" s="2"/>
      <x:c r="O68" s="2"/>
      <x:c r="P68" s="2"/>
      <x:c r="Q68" s="2"/>
    </x:row>
    <x:row r="69" ht="23" customHeight="1">
      <x:c r="A69" s="2"/>
      <x:c r="B69" s="2"/>
      <x:c r="C69" s="2"/>
      <x:c r="D69" s="2"/>
      <x:c r="E69" s="2"/>
      <x:c r="F69" s="2"/>
      <x:c r="G69" s="2"/>
      <x:c r="H69" s="2"/>
      <x:c r="I69" s="2"/>
      <x:c r="J69" s="2"/>
      <x:c r="K69" s="2"/>
      <x:c r="L69" s="2"/>
      <x:c r="M69" s="2"/>
      <x:c r="N69" s="2"/>
      <x:c r="O69" s="2"/>
      <x:c r="P69" s="2"/>
      <x:c r="Q69" s="2"/>
    </x:row>
    <x:row r="70" ht="23" customHeight="1">
      <x:c r="A70" s="2"/>
      <x:c r="B70" s="2"/>
      <x:c r="C70" s="2"/>
      <x:c r="D70" s="2"/>
      <x:c r="E70" s="2"/>
      <x:c r="F70" s="2"/>
      <x:c r="G70" s="2"/>
      <x:c r="H70" s="2"/>
      <x:c r="I70" s="2"/>
      <x:c r="J70" s="2"/>
      <x:c r="K70" s="2"/>
      <x:c r="L70" s="2"/>
      <x:c r="M70" s="2"/>
      <x:c r="N70" s="2"/>
      <x:c r="O70" s="2"/>
      <x:c r="P70" s="2"/>
      <x:c r="Q70" s="2"/>
    </x:row>
    <x:row r="71" ht="23" customHeight="1">
      <x:c r="A71" s="2"/>
      <x:c r="B71" s="2"/>
      <x:c r="C71" s="2"/>
      <x:c r="D71" s="2"/>
      <x:c r="E71" s="2"/>
      <x:c r="F71" s="2"/>
      <x:c r="G71" s="2"/>
      <x:c r="H71" s="2"/>
      <x:c r="I71" s="2"/>
      <x:c r="J71" s="2"/>
      <x:c r="K71" s="2"/>
      <x:c r="L71" s="2"/>
      <x:c r="M71" s="2"/>
      <x:c r="N71" s="2"/>
      <x:c r="O71" s="2"/>
      <x:c r="P71" s="2"/>
      <x:c r="Q71" s="2"/>
    </x:row>
    <x:row r="72" ht="23" customHeight="1">
      <x:c r="A72" s="2"/>
      <x:c r="B72" s="2"/>
      <x:c r="C72" s="2"/>
      <x:c r="D72" s="2"/>
      <x:c r="E72" s="2"/>
      <x:c r="F72" s="2"/>
      <x:c r="G72" s="2"/>
      <x:c r="H72" s="2"/>
      <x:c r="I72" s="2"/>
      <x:c r="J72" s="2"/>
      <x:c r="K72" s="2"/>
      <x:c r="L72" s="2"/>
      <x:c r="M72" s="2"/>
      <x:c r="N72" s="2"/>
      <x:c r="O72" s="2"/>
      <x:c r="P72" s="2"/>
      <x:c r="Q72" s="2"/>
    </x:row>
    <x:row r="73" ht="23" customHeight="1">
      <x:c r="A73" s="2"/>
      <x:c r="B73" s="2"/>
      <x:c r="C73" s="2"/>
      <x:c r="D73" s="2"/>
      <x:c r="E73" s="2"/>
      <x:c r="F73" s="2"/>
      <x:c r="G73" s="2"/>
      <x:c r="H73" s="2"/>
      <x:c r="I73" s="2"/>
      <x:c r="J73" s="2"/>
      <x:c r="K73" s="2"/>
      <x:c r="L73" s="2"/>
      <x:c r="M73" s="2"/>
      <x:c r="N73" s="2"/>
      <x:c r="O73" s="2"/>
      <x:c r="P73" s="2"/>
      <x:c r="Q73" s="2"/>
    </x:row>
    <x:row r="74" ht="23" customHeight="1">
      <x:c r="A74" s="2"/>
      <x:c r="B74" s="2"/>
      <x:c r="C74" s="2"/>
      <x:c r="D74" s="2"/>
      <x:c r="E74" s="2"/>
      <x:c r="F74" s="2"/>
      <x:c r="G74" s="2"/>
      <x:c r="H74" s="2"/>
      <x:c r="I74" s="2"/>
      <x:c r="J74" s="2"/>
      <x:c r="K74" s="2"/>
      <x:c r="L74" s="2"/>
      <x:c r="M74" s="2"/>
      <x:c r="N74" s="2"/>
      <x:c r="O74" s="2"/>
      <x:c r="P74" s="2"/>
      <x:c r="Q74" s="2"/>
    </x:row>
    <x:row r="75" ht="23" customHeight="1">
      <x:c r="A75" s="2"/>
      <x:c r="B75" s="2"/>
      <x:c r="C75" s="2"/>
      <x:c r="D75" s="2"/>
      <x:c r="E75" s="2"/>
      <x:c r="F75" s="2"/>
      <x:c r="G75" s="2"/>
      <x:c r="H75" s="2"/>
      <x:c r="I75" s="2"/>
      <x:c r="J75" s="2"/>
      <x:c r="K75" s="2"/>
      <x:c r="L75" s="2"/>
      <x:c r="M75" s="2"/>
      <x:c r="N75" s="2"/>
      <x:c r="O75" s="2"/>
      <x:c r="P75" s="2"/>
      <x:c r="Q75" s="2"/>
    </x:row>
    <x:row r="76" ht="23" customHeight="1">
      <x:c r="A76" s="2"/>
      <x:c r="B76" s="2"/>
      <x:c r="C76" s="2"/>
      <x:c r="D76" s="2"/>
      <x:c r="E76" s="2"/>
      <x:c r="F76" s="2"/>
      <x:c r="G76" s="2"/>
      <x:c r="H76" s="2"/>
      <x:c r="I76" s="2"/>
      <x:c r="J76" s="2"/>
      <x:c r="K76" s="2"/>
      <x:c r="L76" s="2"/>
      <x:c r="M76" s="2"/>
      <x:c r="N76" s="2"/>
      <x:c r="O76" s="2"/>
      <x:c r="P76" s="2"/>
      <x:c r="Q76" s="2"/>
    </x:row>
    <x:row r="77" ht="23" customHeight="1">
      <x:c r="A77" s="2"/>
      <x:c r="B77" s="2"/>
      <x:c r="C77" s="2"/>
      <x:c r="D77" s="2"/>
      <x:c r="E77" s="2"/>
      <x:c r="F77" s="2"/>
      <x:c r="G77" s="2"/>
      <x:c r="H77" s="2"/>
      <x:c r="I77" s="2"/>
      <x:c r="J77" s="2"/>
      <x:c r="K77" s="2"/>
      <x:c r="L77" s="2"/>
      <x:c r="M77" s="2"/>
      <x:c r="N77" s="2"/>
      <x:c r="O77" s="2"/>
      <x:c r="P77" s="2"/>
      <x:c r="Q77" s="2"/>
    </x:row>
    <x:row r="78" ht="23" customHeight="1">
      <x:c r="A78" s="2"/>
      <x:c r="B78" s="2"/>
      <x:c r="C78" s="2"/>
      <x:c r="D78" s="2"/>
      <x:c r="E78" s="2"/>
      <x:c r="F78" s="2"/>
      <x:c r="G78" s="2"/>
      <x:c r="H78" s="2"/>
      <x:c r="I78" s="2"/>
      <x:c r="J78" s="2"/>
      <x:c r="K78" s="2"/>
      <x:c r="L78" s="2"/>
      <x:c r="M78" s="2"/>
      <x:c r="N78" s="2"/>
      <x:c r="O78" s="2"/>
      <x:c r="P78" s="2"/>
      <x:c r="Q78" s="2"/>
    </x:row>
    <x:row r="79" ht="23" customHeight="1">
      <x:c r="A79" s="2"/>
      <x:c r="B79" s="2"/>
      <x:c r="C79" s="2"/>
      <x:c r="D79" s="2"/>
      <x:c r="E79" s="2"/>
      <x:c r="F79" s="2"/>
      <x:c r="G79" s="2"/>
      <x:c r="H79" s="2"/>
      <x:c r="I79" s="2"/>
      <x:c r="J79" s="2"/>
      <x:c r="K79" s="2"/>
      <x:c r="L79" s="2"/>
      <x:c r="M79" s="2"/>
      <x:c r="N79" s="2"/>
      <x:c r="O79" s="2"/>
      <x:c r="P79" s="2"/>
      <x:c r="Q79" s="2"/>
    </x:row>
    <x:row r="80" ht="23" customHeight="1">
      <x:c r="A80" s="2"/>
      <x:c r="B80" s="2"/>
      <x:c r="C80" s="2"/>
      <x:c r="D80" s="2"/>
      <x:c r="E80" s="2"/>
      <x:c r="F80" s="2"/>
      <x:c r="G80" s="2"/>
      <x:c r="H80" s="2"/>
      <x:c r="I80" s="2"/>
      <x:c r="J80" s="2"/>
      <x:c r="K80" s="2"/>
      <x:c r="L80" s="2"/>
      <x:c r="M80" s="2"/>
      <x:c r="N80" s="2"/>
      <x:c r="O80" s="2"/>
      <x:c r="P80" s="2"/>
      <x:c r="Q80" s="2"/>
    </x:row>
    <x:row r="81" ht="23" customHeight="1">
      <x:c r="A81" s="2"/>
      <x:c r="B81" s="2"/>
      <x:c r="C81" s="2"/>
      <x:c r="D81" s="2"/>
      <x:c r="E81" s="2"/>
      <x:c r="F81" s="2"/>
      <x:c r="G81" s="2"/>
      <x:c r="H81" s="2"/>
      <x:c r="I81" s="2"/>
      <x:c r="J81" s="2"/>
      <x:c r="K81" s="2"/>
      <x:c r="L81" s="2"/>
      <x:c r="M81" s="2"/>
      <x:c r="N81" s="2"/>
      <x:c r="O81" s="2"/>
      <x:c r="P81" s="2"/>
      <x:c r="Q81" s="2"/>
    </x:row>
    <x:row r="82" ht="23" customHeight="1">
      <x:c r="A82" s="2"/>
      <x:c r="B82" s="2"/>
      <x:c r="C82" s="2"/>
      <x:c r="D82" s="2"/>
      <x:c r="E82" s="2"/>
      <x:c r="F82" s="2"/>
      <x:c r="G82" s="2"/>
      <x:c r="H82" s="2"/>
      <x:c r="I82" s="2"/>
      <x:c r="J82" s="2"/>
      <x:c r="K82" s="2"/>
      <x:c r="L82" s="2"/>
      <x:c r="M82" s="2"/>
      <x:c r="N82" s="2"/>
      <x:c r="O82" s="2"/>
      <x:c r="P82" s="2"/>
      <x:c r="Q82" s="2"/>
    </x:row>
    <x:row r="83" ht="23" customHeight="1">
      <x:c r="A83" s="2"/>
      <x:c r="B83" s="2"/>
      <x:c r="C83" s="2"/>
      <x:c r="D83" s="2"/>
      <x:c r="E83" s="2"/>
      <x:c r="F83" s="2"/>
      <x:c r="G83" s="2"/>
      <x:c r="H83" s="2"/>
      <x:c r="I83" s="2"/>
      <x:c r="J83" s="2"/>
      <x:c r="K83" s="2"/>
      <x:c r="L83" s="2"/>
      <x:c r="M83" s="2"/>
      <x:c r="N83" s="2"/>
      <x:c r="O83" s="2"/>
      <x:c r="P83" s="2"/>
      <x:c r="Q83" s="2"/>
    </x:row>
    <x:row r="84" ht="23" customHeight="1">
      <x:c r="A84" s="2"/>
      <x:c r="B84" s="2"/>
      <x:c r="C84" s="2"/>
      <x:c r="D84" s="2"/>
      <x:c r="E84" s="2"/>
      <x:c r="F84" s="2"/>
      <x:c r="G84" s="2"/>
      <x:c r="H84" s="2"/>
      <x:c r="I84" s="2"/>
      <x:c r="J84" s="2"/>
      <x:c r="K84" s="2"/>
      <x:c r="L84" s="2"/>
      <x:c r="M84" s="2"/>
      <x:c r="N84" s="2"/>
      <x:c r="O84" s="2"/>
      <x:c r="P84" s="2"/>
      <x:c r="Q84" s="2"/>
    </x:row>
    <x:row r="85" ht="23" customHeight="1">
      <x:c r="A85" s="2"/>
      <x:c r="B85" s="2"/>
      <x:c r="C85" s="2"/>
      <x:c r="D85" s="2"/>
      <x:c r="E85" s="2"/>
      <x:c r="F85" s="2"/>
      <x:c r="G85" s="2"/>
      <x:c r="H85" s="2"/>
      <x:c r="I85" s="2"/>
      <x:c r="J85" s="2"/>
      <x:c r="K85" s="2"/>
      <x:c r="L85" s="2"/>
      <x:c r="M85" s="2"/>
      <x:c r="N85" s="2"/>
      <x:c r="O85" s="2"/>
      <x:c r="P85" s="2"/>
      <x:c r="Q85" s="2"/>
    </x:row>
    <x:row r="86" ht="23" customHeight="1">
      <x:c r="A86" s="2"/>
      <x:c r="B86" s="2"/>
      <x:c r="C86" s="2"/>
      <x:c r="D86" s="2"/>
      <x:c r="E86" s="2"/>
      <x:c r="F86" s="2"/>
      <x:c r="G86" s="2"/>
      <x:c r="H86" s="2"/>
      <x:c r="I86" s="2"/>
      <x:c r="J86" s="2"/>
      <x:c r="K86" s="2"/>
      <x:c r="L86" s="2"/>
      <x:c r="M86" s="2"/>
      <x:c r="N86" s="2"/>
      <x:c r="O86" s="2"/>
      <x:c r="P86" s="2"/>
      <x:c r="Q86" s="2"/>
    </x:row>
    <x:row r="87" ht="23" customHeight="1">
      <x:c r="A87" s="2"/>
      <x:c r="B87" s="2"/>
      <x:c r="C87" s="2"/>
      <x:c r="D87" s="2"/>
      <x:c r="E87" s="2"/>
      <x:c r="F87" s="2"/>
      <x:c r="G87" s="2"/>
      <x:c r="H87" s="2"/>
      <x:c r="I87" s="2"/>
      <x:c r="J87" s="2"/>
      <x:c r="K87" s="2"/>
      <x:c r="L87" s="2"/>
      <x:c r="M87" s="2"/>
      <x:c r="N87" s="2"/>
      <x:c r="O87" s="2"/>
      <x:c r="P87" s="2"/>
      <x:c r="Q87" s="2"/>
    </x:row>
    <x:row r="88" ht="23" customHeight="1">
      <x:c r="A88" s="2"/>
      <x:c r="B88" s="2"/>
      <x:c r="C88" s="2"/>
      <x:c r="D88" s="2"/>
      <x:c r="E88" s="2"/>
      <x:c r="F88" s="2"/>
      <x:c r="G88" s="2"/>
      <x:c r="H88" s="2"/>
      <x:c r="I88" s="2"/>
      <x:c r="J88" s="2"/>
      <x:c r="K88" s="2"/>
      <x:c r="L88" s="2"/>
      <x:c r="M88" s="2"/>
      <x:c r="N88" s="2"/>
      <x:c r="O88" s="2"/>
      <x:c r="P88" s="2"/>
      <x:c r="Q88" s="2"/>
    </x:row>
    <x:row r="89" ht="23" customHeight="1">
      <x:c r="A89" s="2"/>
      <x:c r="B89" s="2"/>
      <x:c r="C89" s="2"/>
      <x:c r="D89" s="2"/>
      <x:c r="E89" s="2"/>
      <x:c r="F89" s="2"/>
      <x:c r="G89" s="2"/>
      <x:c r="H89" s="2"/>
      <x:c r="I89" s="2"/>
      <x:c r="J89" s="2"/>
      <x:c r="K89" s="2"/>
      <x:c r="L89" s="2"/>
      <x:c r="M89" s="2"/>
      <x:c r="N89" s="2"/>
      <x:c r="O89" s="2"/>
      <x:c r="P89" s="2"/>
      <x:c r="Q89" s="2"/>
    </x:row>
    <x:row r="90" ht="23" customHeight="1">
      <x:c r="A90" s="2"/>
      <x:c r="B90" s="2"/>
      <x:c r="C90" s="2"/>
      <x:c r="D90" s="2"/>
      <x:c r="E90" s="2"/>
      <x:c r="F90" s="2"/>
      <x:c r="G90" s="2"/>
      <x:c r="H90" s="2"/>
      <x:c r="I90" s="2"/>
      <x:c r="J90" s="2"/>
      <x:c r="K90" s="2"/>
      <x:c r="L90" s="2"/>
      <x:c r="M90" s="2"/>
      <x:c r="N90" s="2"/>
      <x:c r="O90" s="2"/>
      <x:c r="P90" s="2"/>
      <x:c r="Q90" s="2"/>
    </x:row>
  </x:sheetData>
  <x:pageMargins left="0.7" right="0.7" top="0.75" bottom="0.75" header="0.3" footer="0.3"/>
</x:worksheet>
</file>

<file path=xl/worksheets/sheet9.xml><?xml version="1.0" encoding="utf-8"?>
<x:worksheet xmlns:x="http://schemas.openxmlformats.org/spreadsheetml/2006/main">
  <x:sheetPr>
    <x:tabColor rgb="FFDFC9A3"/>
  </x:sheetPr>
  <x:sheetViews>
    <x:sheetView showGridLines="0" workbookViewId="0">
      <x:pane ySplit="5" topLeftCell="A6" activePane="bottomLeft" state="frozen"/>
    </x:sheetView>
  </x:sheetViews>
  <x:sheetFormatPr defaultRowHeight="15"/>
  <x:cols>
    <x:col min="1" max="1" width="3" hidden="0" customWidth="1"/>
    <x:col min="2" max="2" width="3" hidden="0" customWidth="1"/>
    <x:col min="3" max="3" width="43"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s>
  <x:sheetData>
    <x:row r="1" ht="23" customHeight="1">
      <x:c r="A1" s="2"/>
      <x:c r="B1" s="2"/>
      <x:c r="C1" s="2"/>
      <x:c r="D1" s="2"/>
      <x:c r="E1" s="2"/>
      <x:c r="F1" s="2"/>
      <x:c r="G1" s="2"/>
      <x:c r="H1" s="2"/>
      <x:c r="I1" s="2"/>
      <x:c r="J1" s="2"/>
      <x:c r="K1" s="2"/>
      <x:c r="L1" s="2"/>
      <x:c r="M1" s="2"/>
      <x:c r="N1" s="2"/>
      <x:c r="O1" s="2"/>
      <x:c r="P1" s="2"/>
      <x:c r="Q1" s="2"/>
    </x:row>
    <x:row r="2" ht="23" customHeight="1">
      <x:c r="A2" s="2"/>
      <x:c r="B2" s="2"/>
      <x:c r="C2" s="3" t="str">
        <x:v>PG | Historical financial statements</x:v>
      </x:c>
      <x:c r="D2" s="2"/>
      <x:c r="E2" s="2"/>
      <x:c r="F2" s="2"/>
      <x:c r="G2" s="2"/>
      <x:c r="H2" s="2"/>
      <x:c r="I2" s="2"/>
      <x:c r="J2" s="2"/>
      <x:c r="K2" s="2"/>
      <x:c r="L2" s="2"/>
      <x:c r="M2" s="2"/>
      <x:c r="N2" s="2"/>
      <x:c r="O2" s="2"/>
      <x:c r="P2" s="2"/>
      <x:c r="Q2" s="2"/>
    </x:row>
    <x:row r="3" ht="23" customHeight="1">
      <x:c r="A3" s="2"/>
      <x:c r="B3" s="2"/>
      <x:c r="C3" s="4"/>
      <x:c r="D3" s="4"/>
      <x:c r="E3" s="4"/>
      <x:c r="F3" s="4"/>
      <x:c r="G3" s="4"/>
      <x:c r="H3" s="4"/>
      <x:c r="I3" s="4"/>
      <x:c r="J3" s="4"/>
      <x:c r="K3" s="2"/>
      <x:c r="L3" s="2"/>
      <x:c r="M3" s="2"/>
      <x:c r="N3" s="2"/>
      <x:c r="O3" s="2"/>
      <x:c r="P3" s="2"/>
      <x:c r="Q3" s="2"/>
    </x:row>
    <x:row r="4" ht="23" customHeight="1">
      <x:c r="A4" s="2"/>
      <x:c r="B4" s="2"/>
      <x:c r="C4" s="2"/>
      <x:c r="D4" s="2"/>
      <x:c r="E4" s="2"/>
      <x:c r="F4" s="2"/>
      <x:c r="G4" s="2"/>
      <x:c r="H4" s="2"/>
      <x:c r="I4" s="2"/>
      <x:c r="J4" s="2"/>
      <x:c r="K4" s="2"/>
      <x:c r="L4" s="2"/>
      <x:c r="M4" s="2"/>
      <x:c r="N4" s="2"/>
      <x:c r="O4" s="2"/>
      <x:c r="P4" s="2"/>
      <x:c r="Q4" s="2"/>
    </x:row>
    <x:row r="5" ht="40" customHeight="1">
      <x:c r="A5" s="2"/>
      <x:c r="B5" s="2"/>
      <x:c r="C5" s="13" t="str">
        <x:v>Metric</x:v>
      </x:c>
      <x:c r="D5" s="13" t="str">
        <x:v>FY2024Q3</x:v>
      </x:c>
      <x:c r="E5" s="13" t="str">
        <x:v>FY2024Q4</x:v>
      </x:c>
      <x:c r="F5" s="13" t="str">
        <x:v>FY2025Q1</x:v>
      </x:c>
      <x:c r="G5" s="13" t="str">
        <x:v>FY2025Q2</x:v>
      </x:c>
      <x:c r="H5" s="13" t="str">
        <x:v>FY2025Q3</x:v>
      </x:c>
      <x:c r="I5" s="13" t="str">
        <x:v>FY2025Q4</x:v>
      </x:c>
      <x:c r="J5" s="13" t="str">
        <x:v>FY2026Q1</x:v>
      </x:c>
      <x:c r="K5" s="13" t="str">
        <x:v>FY2026Q2</x:v>
      </x:c>
      <x:c r="L5" s="13" t="str">
        <x:v>FY2026Q3</x:v>
      </x:c>
      <x:c r="M5" s="2"/>
      <x:c r="N5" s="2"/>
      <x:c r="O5" s="2"/>
      <x:c r="P5" s="2"/>
      <x:c r="Q5" s="2"/>
    </x:row>
    <x:row r="6" ht="23" customHeight="1">
      <x:c r="A6" s="2"/>
      <x:c r="B6" s="2"/>
      <x:c r="C6" s="2" t="str">
        <x:v>Volume Growth</x:v>
      </x:c>
      <x:c r="D6" s="19"/>
      <x:c r="E6" s="19"/>
      <x:c r="F6" s="19"/>
      <x:c r="G6" s="19"/>
      <x:c r="H6" s="19" t="n">
        <x:v>-1</x:v>
      </x:c>
      <x:c r="I6" s="19" t="n">
        <x:v>0</x:v>
      </x:c>
      <x:c r="J6" s="19" t="n">
        <x:v>0</x:v>
      </x:c>
      <x:c r="K6" s="19" t="n">
        <x:v>-1</x:v>
      </x:c>
      <x:c r="L6" s="19" t="n">
        <x:v>2</x:v>
      </x:c>
      <x:c r="M6" s="2"/>
      <x:c r="N6" s="2"/>
      <x:c r="O6" s="2"/>
      <x:c r="P6" s="2"/>
      <x:c r="Q6" s="2"/>
    </x:row>
    <x:row r="7" ht="23" customHeight="1">
      <x:c r="A7" s="2"/>
      <x:c r="B7" s="2"/>
      <x:c r="C7" s="2" t="str">
        <x:v>Fx Sales Impact</x:v>
      </x:c>
      <x:c r="D7" s="19"/>
      <x:c r="E7" s="19"/>
      <x:c r="F7" s="19"/>
      <x:c r="G7" s="19"/>
      <x:c r="H7" s="19" t="n">
        <x:v>-2</x:v>
      </x:c>
      <x:c r="I7" s="19" t="n">
        <x:v>0</x:v>
      </x:c>
      <x:c r="J7" s="19" t="n">
        <x:v>1</x:v>
      </x:c>
      <x:c r="K7" s="19" t="n">
        <x:v>1</x:v>
      </x:c>
      <x:c r="L7" s="19" t="n">
        <x:v>4</x:v>
      </x:c>
      <x:c r="M7" s="2"/>
      <x:c r="N7" s="2"/>
      <x:c r="O7" s="2"/>
      <x:c r="P7" s="2"/>
      <x:c r="Q7" s="2"/>
    </x:row>
    <x:row r="8" ht="23" customHeight="1">
      <x:c r="A8" s="2"/>
      <x:c r="B8" s="2"/>
      <x:c r="C8" s="2" t="str">
        <x:v>Price Sales Impact</x:v>
      </x:c>
      <x:c r="D8" s="19"/>
      <x:c r="E8" s="19"/>
      <x:c r="F8" s="19"/>
      <x:c r="G8" s="19"/>
      <x:c r="H8" s="19" t="n">
        <x:v>1</x:v>
      </x:c>
      <x:c r="I8" s="19" t="n">
        <x:v>1</x:v>
      </x:c>
      <x:c r="J8" s="19" t="n">
        <x:v>1</x:v>
      </x:c>
      <x:c r="K8" s="19" t="n">
        <x:v>1</x:v>
      </x:c>
      <x:c r="L8" s="19" t="n">
        <x:v>1</x:v>
      </x:c>
      <x:c r="M8" s="2"/>
      <x:c r="N8" s="2"/>
      <x:c r="O8" s="2"/>
      <x:c r="P8" s="2"/>
      <x:c r="Q8" s="2"/>
    </x:row>
    <x:row r="9" ht="23" customHeight="1">
      <x:c r="A9" s="2"/>
      <x:c r="B9" s="2"/>
      <x:c r="C9" s="2" t="str">
        <x:v>Mix Sales Impact</x:v>
      </x:c>
      <x:c r="D9" s="19"/>
      <x:c r="E9" s="19"/>
      <x:c r="F9" s="19"/>
      <x:c r="G9" s="19"/>
      <x:c r="H9" s="19" t="n">
        <x:v>0</x:v>
      </x:c>
      <x:c r="I9" s="19" t="n">
        <x:v>1</x:v>
      </x:c>
      <x:c r="J9" s="19" t="n">
        <x:v>1</x:v>
      </x:c>
      <x:c r="K9" s="19" t="n">
        <x:v>0</x:v>
      </x:c>
      <x:c r="L9" s="19" t="n">
        <x:v>0</x:v>
      </x:c>
      <x:c r="M9" s="2"/>
      <x:c r="N9" s="2"/>
      <x:c r="O9" s="2"/>
      <x:c r="P9" s="2"/>
      <x:c r="Q9" s="2"/>
    </x:row>
    <x:row r="10" ht="23" customHeight="1">
      <x:c r="A10" s="2"/>
      <x:c r="B10" s="2"/>
      <x:c r="C10" s="2" t="str">
        <x:v>Other Sales Impact</x:v>
      </x:c>
      <x:c r="D10" s="19"/>
      <x:c r="E10" s="19"/>
      <x:c r="F10" s="19"/>
      <x:c r="G10" s="19"/>
      <x:c r="H10" s="19" t="n">
        <x:v>0</x:v>
      </x:c>
      <x:c r="I10" s="19" t="n">
        <x:v>0</x:v>
      </x:c>
      <x:c r="J10" s="19" t="n">
        <x:v>0</x:v>
      </x:c>
      <x:c r="K10" s="19" t="n">
        <x:v>0</x:v>
      </x:c>
      <x:c r="L10" s="19" t="n">
        <x:v>0</x:v>
      </x:c>
      <x:c r="M10" s="2"/>
      <x:c r="N10" s="2"/>
      <x:c r="O10" s="2"/>
      <x:c r="P10" s="2"/>
      <x:c r="Q10" s="2"/>
    </x:row>
    <x:row r="11" ht="23" customHeight="1">
      <x:c r="A11" s="2"/>
      <x:c r="B11" s="2"/>
      <x:c r="C11" s="2" t="str">
        <x:v>Sales Growth</x:v>
      </x:c>
      <x:c r="D11" s="19"/>
      <x:c r="E11" s="19"/>
      <x:c r="F11" s="19"/>
      <x:c r="G11" s="19"/>
      <x:c r="H11" s="19" t="n">
        <x:v>-2</x:v>
      </x:c>
      <x:c r="I11" s="19" t="n">
        <x:v>2</x:v>
      </x:c>
      <x:c r="J11" s="19" t="n">
        <x:v>3</x:v>
      </x:c>
      <x:c r="K11" s="19" t="n">
        <x:v>1</x:v>
      </x:c>
      <x:c r="L11" s="19" t="n">
        <x:v>7</x:v>
      </x:c>
      <x:c r="M11" s="2"/>
      <x:c r="N11" s="2"/>
      <x:c r="O11" s="2"/>
      <x:c r="P11" s="2"/>
      <x:c r="Q11" s="2"/>
    </x:row>
    <x:row r="12" ht="23" customHeight="1">
      <x:c r="A12" s="2"/>
      <x:c r="B12" s="2"/>
      <x:c r="C12" s="2" t="str">
        <x:v>Organic Volume Growth</x:v>
      </x:c>
      <x:c r="D12" s="19"/>
      <x:c r="E12" s="19"/>
      <x:c r="F12" s="19"/>
      <x:c r="G12" s="19"/>
      <x:c r="H12" s="19" t="n">
        <x:v>0</x:v>
      </x:c>
      <x:c r="I12" s="19" t="n">
        <x:v>0</x:v>
      </x:c>
      <x:c r="J12" s="19" t="n">
        <x:v>0</x:v>
      </x:c>
      <x:c r="K12" s="19" t="n">
        <x:v>-1</x:v>
      </x:c>
      <x:c r="L12" s="19" t="n">
        <x:v>2</x:v>
      </x:c>
      <x:c r="M12" s="2"/>
      <x:c r="N12" s="2"/>
      <x:c r="O12" s="2"/>
      <x:c r="P12" s="2"/>
      <x:c r="Q12" s="2"/>
    </x:row>
    <x:row r="13" ht="23" customHeight="1">
      <x:c r="A13" s="2"/>
      <x:c r="B13" s="2"/>
      <x:c r="C13" s="2" t="str">
        <x:v>Organic Sales Growth</x:v>
      </x:c>
      <x:c r="D13" s="19"/>
      <x:c r="E13" s="19"/>
      <x:c r="F13" s="19"/>
      <x:c r="G13" s="19"/>
      <x:c r="H13" s="19" t="n">
        <x:v>1</x:v>
      </x:c>
      <x:c r="I13" s="19" t="n">
        <x:v>2</x:v>
      </x:c>
      <x:c r="J13" s="19" t="n">
        <x:v>2</x:v>
      </x:c>
      <x:c r="K13" s="19" t="n">
        <x:v>0</x:v>
      </x:c>
      <x:c r="L13" s="19" t="n">
        <x:v>3</x:v>
      </x:c>
      <x:c r="M13" s="2"/>
      <x:c r="N13" s="2"/>
      <x:c r="O13" s="2"/>
      <x:c r="P13" s="2"/>
      <x:c r="Q13" s="2"/>
    </x:row>
    <x:row r="14" ht="23" customHeight="1">
      <x:c r="A14" s="2"/>
      <x:c r="B14" s="2"/>
      <x:c r="C14" s="2" t="str">
        <x:v>Net Sales</x:v>
      </x:c>
      <x:c r="D14" s="20" t="n">
        <x:v>20195</x:v>
      </x:c>
      <x:c r="E14" s="20" t="n">
        <x:v>20532</x:v>
      </x:c>
      <x:c r="F14" s="20" t="n">
        <x:v>21737</x:v>
      </x:c>
      <x:c r="G14" s="20" t="n">
        <x:v>21882</x:v>
      </x:c>
      <x:c r="H14" s="20" t="n">
        <x:v>19776</x:v>
      </x:c>
      <x:c r="I14" s="20" t="n">
        <x:v>20889</x:v>
      </x:c>
      <x:c r="J14" s="20" t="n">
        <x:v>22386</x:v>
      </x:c>
      <x:c r="K14" s="20" t="n">
        <x:v>22208</x:v>
      </x:c>
      <x:c r="L14" s="20" t="n">
        <x:v>21235</x:v>
      </x:c>
      <x:c r="M14" s="2"/>
      <x:c r="N14" s="2"/>
      <x:c r="O14" s="2"/>
      <x:c r="P14" s="2"/>
      <x:c r="Q14" s="2"/>
    </x:row>
    <x:row r="15" ht="23" customHeight="1">
      <x:c r="A15" s="2"/>
      <x:c r="B15" s="2"/>
      <x:c r="C15" s="2" t="str">
        <x:v>Cost Of Products Sold</x:v>
      </x:c>
      <x:c r="D15" s="20" t="n">
        <x:v>9855</x:v>
      </x:c>
      <x:c r="E15" s="20" t="n">
        <x:v>10348</x:v>
      </x:c>
      <x:c r="F15" s="20" t="n">
        <x:v>10421</x:v>
      </x:c>
      <x:c r="G15" s="20" t="n">
        <x:v>10418</x:v>
      </x:c>
      <x:c r="H15" s="20" t="n">
        <x:v>9694</x:v>
      </x:c>
      <x:c r="I15" s="20" t="n">
        <x:v>10631</x:v>
      </x:c>
      <x:c r="J15" s="20" t="n">
        <x:v>10887</x:v>
      </x:c>
      <x:c r="K15" s="20" t="n">
        <x:v>10834</x:v>
      </x:c>
      <x:c r="L15" s="20" t="n">
        <x:v>10722</x:v>
      </x:c>
      <x:c r="M15" s="2"/>
      <x:c r="N15" s="2"/>
      <x:c r="O15" s="2"/>
      <x:c r="P15" s="2"/>
      <x:c r="Q15" s="2"/>
    </x:row>
    <x:row r="16" ht="23" customHeight="1">
      <x:c r="A16" s="2"/>
      <x:c r="B16" s="2"/>
      <x:c r="C16" s="2" t="str">
        <x:v>Gross Profit</x:v>
      </x:c>
      <x:c r="D16" s="20" t="n">
        <x:v>10340</x:v>
      </x:c>
      <x:c r="E16" s="20" t="n">
        <x:v>10183</x:v>
      </x:c>
      <x:c r="F16" s="20" t="n">
        <x:v>11316</x:v>
      </x:c>
      <x:c r="G16" s="20" t="n">
        <x:v>11464</x:v>
      </x:c>
      <x:c r="H16" s="20" t="n">
        <x:v>10081</x:v>
      </x:c>
      <x:c r="I16" s="20" t="n">
        <x:v>10258</x:v>
      </x:c>
      <x:c r="J16" s="20" t="n">
        <x:v>11499</x:v>
      </x:c>
      <x:c r="K16" s="20" t="n">
        <x:v>11374</x:v>
      </x:c>
      <x:c r="L16" s="20" t="n">
        <x:v>10513</x:v>
      </x:c>
      <x:c r="M16" s="2"/>
      <x:c r="N16" s="2"/>
      <x:c r="O16" s="2"/>
      <x:c r="P16" s="2"/>
      <x:c r="Q16" s="2"/>
    </x:row>
    <x:row r="17" ht="23" customHeight="1">
      <x:c r="A17" s="2"/>
      <x:c r="B17" s="2"/>
      <x:c r="C17" s="2" t="str">
        <x:v>Sga</x:v>
      </x:c>
      <x:c r="D17" s="20" t="n">
        <x:v>5880</x:v>
      </x:c>
      <x:c r="E17" s="20" t="n">
        <x:v>6299</x:v>
      </x:c>
      <x:c r="F17" s="20" t="n">
        <x:v>5519</x:v>
      </x:c>
      <x:c r="G17" s="20" t="n">
        <x:v>5723</x:v>
      </x:c>
      <x:c r="H17" s="20" t="n">
        <x:v>5524</x:v>
      </x:c>
      <x:c r="I17" s="20" t="n">
        <x:v>5903</x:v>
      </x:c>
      <x:c r="J17" s="20" t="n">
        <x:v>5643</x:v>
      </x:c>
      <x:c r="K17" s="20" t="n">
        <x:v>6008</x:v>
      </x:c>
      <x:c r="L17" s="20" t="n">
        <x:v>5936</x:v>
      </x:c>
      <x:c r="M17" s="2"/>
      <x:c r="N17" s="2"/>
      <x:c r="O17" s="2"/>
      <x:c r="P17" s="2"/>
      <x:c r="Q17" s="2"/>
    </x:row>
    <x:row r="18" ht="23" customHeight="1">
      <x:c r="A18" s="2"/>
      <x:c r="B18" s="2"/>
      <x:c r="C18" s="2" t="str">
        <x:v>Operating Income</x:v>
      </x:c>
      <x:c r="D18" s="20" t="n">
        <x:v>4460</x:v>
      </x:c>
      <x:c r="E18" s="20" t="n">
        <x:v>3884</x:v>
      </x:c>
      <x:c r="F18" s="20" t="n">
        <x:v>5797</x:v>
      </x:c>
      <x:c r="G18" s="20" t="n">
        <x:v>5741</x:v>
      </x:c>
      <x:c r="H18" s="20" t="n">
        <x:v>4558</x:v>
      </x:c>
      <x:c r="I18" s="20" t="n">
        <x:v>4355</x:v>
      </x:c>
      <x:c r="J18" s="20" t="n">
        <x:v>5856</x:v>
      </x:c>
      <x:c r="K18" s="20" t="n">
        <x:v>5366</x:v>
      </x:c>
      <x:c r="L18" s="20" t="n">
        <x:v>4576</x:v>
      </x:c>
      <x:c r="M18" s="2"/>
      <x:c r="N18" s="2"/>
      <x:c r="O18" s="2"/>
      <x:c r="P18" s="2"/>
      <x:c r="Q18" s="2"/>
    </x:row>
    <x:row r="19" ht="23" customHeight="1">
      <x:c r="A19" s="2"/>
      <x:c r="B19" s="2"/>
      <x:c r="C19" s="2" t="str">
        <x:v>Interest Expense Signed</x:v>
      </x:c>
      <x:c r="D19" s="20" t="n">
        <x:v>-233</x:v>
      </x:c>
      <x:c r="E19" s="20" t="n">
        <x:v>-220</x:v>
      </x:c>
      <x:c r="F19" s="20" t="n">
        <x:v>-238</x:v>
      </x:c>
      <x:c r="G19" s="20" t="n">
        <x:v>-240</x:v>
      </x:c>
      <x:c r="H19" s="20" t="n">
        <x:v>-217</x:v>
      </x:c>
      <x:c r="I19" s="20" t="n">
        <x:v>-212</x:v>
      </x:c>
      <x:c r="J19" s="20" t="n">
        <x:v>-197</x:v>
      </x:c>
      <x:c r="K19" s="20" t="n">
        <x:v>-220</x:v>
      </x:c>
      <x:c r="L19" s="20" t="n">
        <x:v>-223</x:v>
      </x:c>
      <x:c r="M19" s="2"/>
      <x:c r="N19" s="2"/>
      <x:c r="O19" s="2"/>
      <x:c r="P19" s="2"/>
      <x:c r="Q19" s="2"/>
    </x:row>
    <x:row r="20" ht="23" customHeight="1">
      <x:c r="A20" s="2"/>
      <x:c r="B20" s="2"/>
      <x:c r="C20" s="2" t="str">
        <x:v>Interest Income</x:v>
      </x:c>
      <x:c r="D20" s="20" t="n">
        <x:v>104</x:v>
      </x:c>
      <x:c r="E20" s="20" t="n">
        <x:v>107</x:v>
      </x:c>
      <x:c r="F20" s="20" t="n">
        <x:v>135</x:v>
      </x:c>
      <x:c r="G20" s="20" t="n">
        <x:v>119</x:v>
      </x:c>
      <x:c r="H20" s="20" t="n">
        <x:v>111</x:v>
      </x:c>
      <x:c r="I20" s="20" t="n">
        <x:v>104</x:v>
      </x:c>
      <x:c r="J20" s="20" t="n">
        <x:v>108</x:v>
      </x:c>
      <x:c r="K20" s="20" t="n">
        <x:v>115</x:v>
      </x:c>
      <x:c r="L20" s="20" t="n">
        <x:v>100</x:v>
      </x:c>
      <x:c r="M20" s="2"/>
      <x:c r="N20" s="2"/>
      <x:c r="O20" s="2"/>
      <x:c r="P20" s="2"/>
      <x:c r="Q20" s="2"/>
    </x:row>
    <x:row r="21" ht="23" customHeight="1">
      <x:c r="A21" s="2"/>
      <x:c r="B21" s="2"/>
      <x:c r="C21" s="2" t="str">
        <x:v>Other Income</x:v>
      </x:c>
      <x:c r="D21" s="20" t="n">
        <x:v>260</x:v>
      </x:c>
      <x:c r="E21" s="20" t="n">
        <x:v>98</x:v>
      </x:c>
      <x:c r="F21" s="20" t="n">
        <x:v>-554</x:v>
      </x:c>
      <x:c r="G21" s="20" t="n">
        <x:v>224</x:v>
      </x:c>
      <x:c r="H21" s="20" t="n">
        <x:v>210</x:v>
      </x:c>
      <x:c r="I21" s="20" t="n">
        <x:v>274</x:v>
      </x:c>
      <x:c r="J21" s="20" t="n">
        <x:v>268</x:v>
      </x:c>
      <x:c r="K21" s="20" t="n">
        <x:v>160</x:v>
      </x:c>
      <x:c r="L21" s="20" t="n">
        <x:v>537</x:v>
      </x:c>
      <x:c r="M21" s="2"/>
      <x:c r="N21" s="2"/>
      <x:c r="O21" s="2"/>
      <x:c r="P21" s="2"/>
      <x:c r="Q21" s="2"/>
    </x:row>
    <x:row r="22" ht="23" customHeight="1">
      <x:c r="A22" s="2"/>
      <x:c r="B22" s="2"/>
      <x:c r="C22" s="2" t="str">
        <x:v>Pretax Income</x:v>
      </x:c>
      <x:c r="D22" s="20" t="n">
        <x:v>4592</x:v>
      </x:c>
      <x:c r="E22" s="20" t="n">
        <x:v>3870</x:v>
      </x:c>
      <x:c r="F22" s="20" t="n">
        <x:v>5140</x:v>
      </x:c>
      <x:c r="G22" s="20" t="n">
        <x:v>5845</x:v>
      </x:c>
      <x:c r="H22" s="20" t="n">
        <x:v>4661</x:v>
      </x:c>
      <x:c r="I22" s="20" t="n">
        <x:v>4521</x:v>
      </x:c>
      <x:c r="J22" s="20" t="n">
        <x:v>6034</x:v>
      </x:c>
      <x:c r="K22" s="20" t="n">
        <x:v>5421</x:v>
      </x:c>
      <x:c r="L22" s="20" t="n">
        <x:v>4989</x:v>
      </x:c>
      <x:c r="M22" s="2"/>
      <x:c r="N22" s="2"/>
      <x:c r="O22" s="2"/>
      <x:c r="P22" s="2"/>
      <x:c r="Q22" s="2"/>
    </x:row>
    <x:row r="23" ht="23" customHeight="1">
      <x:c r="A23" s="2"/>
      <x:c r="B23" s="2"/>
      <x:c r="C23" s="2" t="str">
        <x:v>Income Taxes</x:v>
      </x:c>
      <x:c r="D23" s="20" t="n">
        <x:v>812</x:v>
      </x:c>
      <x:c r="E23" s="20" t="n">
        <x:v>726</x:v>
      </x:c>
      <x:c r="F23" s="20" t="n">
        <x:v>1152</x:v>
      </x:c>
      <x:c r="G23" s="20" t="n">
        <x:v>1187</x:v>
      </x:c>
      <x:c r="H23" s="20" t="n">
        <x:v>868</x:v>
      </x:c>
      <x:c r="I23" s="20" t="n">
        <x:v>895</x:v>
      </x:c>
      <x:c r="J23" s="20" t="n">
        <x:v>1253</x:v>
      </x:c>
      <x:c r="K23" s="20" t="n">
        <x:v>1090</x:v>
      </x:c>
      <x:c r="L23" s="20" t="n">
        <x:v>1039</x:v>
      </x:c>
      <x:c r="M23" s="2"/>
      <x:c r="N23" s="2"/>
      <x:c r="O23" s="2"/>
      <x:c r="P23" s="2"/>
      <x:c r="Q23" s="2"/>
    </x:row>
    <x:row r="24" ht="23" customHeight="1">
      <x:c r="A24" s="2"/>
      <x:c r="B24" s="2"/>
      <x:c r="C24" s="2" t="str">
        <x:v>Net Income</x:v>
      </x:c>
      <x:c r="D24" s="20" t="n">
        <x:v>3781</x:v>
      </x:c>
      <x:c r="E24" s="20" t="n">
        <x:v>3144</x:v>
      </x:c>
      <x:c r="F24" s="20" t="n">
        <x:v>3987</x:v>
      </x:c>
      <x:c r="G24" s="20" t="n">
        <x:v>4659</x:v>
      </x:c>
      <x:c r="H24" s="20" t="n">
        <x:v>3793</x:v>
      </x:c>
      <x:c r="I24" s="20" t="n">
        <x:v>3626</x:v>
      </x:c>
      <x:c r="J24" s="20" t="n">
        <x:v>4781</x:v>
      </x:c>
      <x:c r="K24" s="20" t="n">
        <x:v>4331</x:v>
      </x:c>
      <x:c r="L24" s="20" t="n">
        <x:v>3951</x:v>
      </x:c>
      <x:c r="M24" s="2"/>
      <x:c r="N24" s="2"/>
      <x:c r="O24" s="2"/>
      <x:c r="P24" s="2"/>
      <x:c r="Q24" s="2"/>
    </x:row>
    <x:row r="25" ht="23" customHeight="1">
      <x:c r="A25" s="2"/>
      <x:c r="B25" s="2"/>
      <x:c r="C25" s="2" t="str">
        <x:v>Noncontrolling Income</x:v>
      </x:c>
      <x:c r="D25" s="20" t="n">
        <x:v>27</x:v>
      </x:c>
      <x:c r="E25" s="20" t="n">
        <x:v>7</x:v>
      </x:c>
      <x:c r="F25" s="20" t="n">
        <x:v>28</x:v>
      </x:c>
      <x:c r="G25" s="20" t="n">
        <x:v>29</x:v>
      </x:c>
      <x:c r="H25" s="20" t="n">
        <x:v>23</x:v>
      </x:c>
      <x:c r="I25" s="20" t="n">
        <x:v>11</x:v>
      </x:c>
      <x:c r="J25" s="20" t="n">
        <x:v>31</x:v>
      </x:c>
      <x:c r="K25" s="20" t="n">
        <x:v>12</x:v>
      </x:c>
      <x:c r="L25" s="20" t="n">
        <x:v>18</x:v>
      </x:c>
      <x:c r="M25" s="2"/>
      <x:c r="N25" s="2"/>
      <x:c r="O25" s="2"/>
      <x:c r="P25" s="2"/>
      <x:c r="Q25" s="2"/>
    </x:row>
    <x:row r="26" ht="23" customHeight="1">
      <x:c r="A26" s="2"/>
      <x:c r="B26" s="2"/>
      <x:c r="C26" s="2" t="str">
        <x:v>Net Income Attributable</x:v>
      </x:c>
      <x:c r="D26" s="20" t="n">
        <x:v>3754</x:v>
      </x:c>
      <x:c r="E26" s="20" t="n">
        <x:v>3137</x:v>
      </x:c>
      <x:c r="F26" s="20" t="n">
        <x:v>3959</x:v>
      </x:c>
      <x:c r="G26" s="20" t="n">
        <x:v>4630</x:v>
      </x:c>
      <x:c r="H26" s="20" t="n">
        <x:v>3769</x:v>
      </x:c>
      <x:c r="I26" s="20" t="n">
        <x:v>3615</x:v>
      </x:c>
      <x:c r="J26" s="20" t="n">
        <x:v>4750</x:v>
      </x:c>
      <x:c r="K26" s="20" t="n">
        <x:v>4319</x:v>
      </x:c>
      <x:c r="L26" s="20" t="n">
        <x:v>3932</x:v>
      </x:c>
      <x:c r="M26" s="2"/>
      <x:c r="N26" s="2"/>
      <x:c r="O26" s="2"/>
      <x:c r="P26" s="2"/>
      <x:c r="Q26" s="2"/>
    </x:row>
    <x:row r="27" ht="23" customHeight="1">
      <x:c r="A27" s="2"/>
      <x:c r="B27" s="2"/>
      <x:c r="C27" s="2" t="str">
        <x:v>Effective Tax Rate</x:v>
      </x:c>
      <x:c r="D27" s="19" t="n">
        <x:v>17.7</x:v>
      </x:c>
      <x:c r="E27" s="19" t="n">
        <x:v>18.8</x:v>
      </x:c>
      <x:c r="F27" s="19" t="n">
        <x:v>22.4</x:v>
      </x:c>
      <x:c r="G27" s="19" t="n">
        <x:v>20.3</x:v>
      </x:c>
      <x:c r="H27" s="19" t="n">
        <x:v>18.6</x:v>
      </x:c>
      <x:c r="I27" s="19" t="n">
        <x:v>19.8</x:v>
      </x:c>
      <x:c r="J27" s="19" t="n">
        <x:v>20.8</x:v>
      </x:c>
      <x:c r="K27" s="19" t="n">
        <x:v>20.1</x:v>
      </x:c>
      <x:c r="L27" s="19" t="n">
        <x:v>20.8</x:v>
      </x:c>
      <x:c r="M27" s="2"/>
      <x:c r="N27" s="2"/>
      <x:c r="O27" s="2"/>
      <x:c r="P27" s="2"/>
      <x:c r="Q27" s="2"/>
    </x:row>
    <x:row r="28" ht="23" customHeight="1">
      <x:c r="A28" s="2"/>
      <x:c r="B28" s="2"/>
      <x:c r="C28" s="2" t="str">
        <x:v>Diluted Eps</x:v>
      </x:c>
      <x:c r="D28" s="21" t="n">
        <x:v>1.52</x:v>
      </x:c>
      <x:c r="E28" s="21" t="n">
        <x:v>1.27</x:v>
      </x:c>
      <x:c r="F28" s="21" t="n">
        <x:v>1.61</x:v>
      </x:c>
      <x:c r="G28" s="21" t="n">
        <x:v>1.88</x:v>
      </x:c>
      <x:c r="H28" s="21" t="n">
        <x:v>1.54</x:v>
      </x:c>
      <x:c r="I28" s="21" t="n">
        <x:v>1.48</x:v>
      </x:c>
      <x:c r="J28" s="21" t="n">
        <x:v>1.95</x:v>
      </x:c>
      <x:c r="K28" s="21" t="n">
        <x:v>1.78</x:v>
      </x:c>
      <x:c r="L28" s="21" t="n">
        <x:v>1.63</x:v>
      </x:c>
      <x:c r="M28" s="2"/>
      <x:c r="N28" s="2"/>
      <x:c r="O28" s="2"/>
      <x:c r="P28" s="2"/>
      <x:c r="Q28" s="2"/>
    </x:row>
    <x:row r="29" ht="23" customHeight="1">
      <x:c r="A29" s="2"/>
      <x:c r="B29" s="2"/>
      <x:c r="C29" s="2" t="str">
        <x:v>Diluted Shares</x:v>
      </x:c>
      <x:c r="D29" s="22" t="n">
        <x:v>2472</x:v>
      </x:c>
      <x:c r="E29" s="22" t="n">
        <x:v>2472.2</x:v>
      </x:c>
      <x:c r="F29" s="22" t="n">
        <x:v>2466</x:v>
      </x:c>
      <x:c r="G29" s="22" t="n">
        <x:v>2458.1</x:v>
      </x:c>
      <x:c r="H29" s="22" t="n">
        <x:v>2449.8</x:v>
      </x:c>
      <x:c r="I29" s="22" t="n">
        <x:v>2443.8</x:v>
      </x:c>
      <x:c r="J29" s="22" t="n">
        <x:v>2436.8</x:v>
      </x:c>
      <x:c r="K29" s="22" t="n">
        <x:v>2424</x:v>
      </x:c>
      <x:c r="L29" s="22" t="n">
        <x:v>2416.5</x:v>
      </x:c>
      <x:c r="M29" s="2"/>
      <x:c r="N29" s="2"/>
      <x:c r="O29" s="2"/>
      <x:c r="P29" s="2"/>
      <x:c r="Q29" s="2"/>
    </x:row>
    <x:row r="30" ht="23" customHeight="1">
      <x:c r="A30" s="2"/>
      <x:c r="B30" s="2"/>
      <x:c r="C30" s="2" t="str">
        <x:v>Operating Cash Flow</x:v>
      </x:c>
      <x:c r="D30" s="20"/>
      <x:c r="E30" s="20" t="n">
        <x:v>5754</x:v>
      </x:c>
      <x:c r="F30" s="20" t="n">
        <x:v>4302</x:v>
      </x:c>
      <x:c r="G30" s="20" t="n">
        <x:v>4825</x:v>
      </x:c>
      <x:c r="H30" s="20" t="n">
        <x:v>3705</x:v>
      </x:c>
      <x:c r="I30" s="20" t="n">
        <x:v>4985</x:v>
      </x:c>
      <x:c r="J30" s="20" t="n">
        <x:v>5408</x:v>
      </x:c>
      <x:c r="K30" s="20" t="n">
        <x:v>4972</x:v>
      </x:c>
      <x:c r="L30" s="20" t="n">
        <x:v>4045</x:v>
      </x:c>
      <x:c r="M30" s="2"/>
      <x:c r="N30" s="2"/>
      <x:c r="O30" s="2"/>
      <x:c r="P30" s="2"/>
      <x:c r="Q30" s="2"/>
    </x:row>
    <x:row r="31" ht="23" customHeight="1">
      <x:c r="A31" s="2"/>
      <x:c r="B31" s="2"/>
      <x:c r="C31" s="2" t="str">
        <x:v>Capital Expenditures Signed</x:v>
      </x:c>
      <x:c r="D31" s="20"/>
      <x:c r="E31" s="20" t="n">
        <x:v>-783</x:v>
      </x:c>
      <x:c r="F31" s="20" t="n">
        <x:v>-993</x:v>
      </x:c>
      <x:c r="G31" s="20" t="n">
        <x:v>-925</x:v>
      </x:c>
      <x:c r="H31" s="20" t="n">
        <x:v>-859</x:v>
      </x:c>
      <x:c r="I31" s="20" t="n">
        <x:v>-996</x:v>
      </x:c>
      <x:c r="J31" s="20" t="n">
        <x:v>-1200</x:v>
      </x:c>
      <x:c r="K31" s="20" t="n">
        <x:v>-1167</x:v>
      </x:c>
      <x:c r="L31" s="20" t="n">
        <x:v>-1019</x:v>
      </x:c>
      <x:c r="M31" s="2"/>
      <x:c r="N31" s="2"/>
      <x:c r="O31" s="2"/>
      <x:c r="P31" s="2"/>
      <x:c r="Q31" s="2"/>
    </x:row>
    <x:row r="32" ht="23" customHeight="1">
      <x:c r="A32" s="2"/>
      <x:c r="B32" s="2"/>
      <x:c r="C32" s="2"/>
      <x:c r="D32" s="2"/>
      <x:c r="E32" s="2"/>
      <x:c r="F32" s="2"/>
      <x:c r="G32" s="2"/>
      <x:c r="H32" s="2"/>
      <x:c r="I32" s="2"/>
      <x:c r="J32" s="2"/>
      <x:c r="K32" s="2"/>
      <x:c r="L32" s="2"/>
      <x:c r="M32" s="2"/>
      <x:c r="N32" s="2"/>
      <x:c r="O32" s="2"/>
      <x:c r="P32" s="2"/>
      <x:c r="Q32" s="2"/>
    </x:row>
    <x:row r="33" ht="23" customHeight="1">
      <x:c r="A33" s="2"/>
      <x:c r="B33" s="2"/>
      <x:c r="C33" s="2"/>
      <x:c r="D33" s="2"/>
      <x:c r="E33" s="2"/>
      <x:c r="F33" s="2"/>
      <x:c r="G33" s="2"/>
      <x:c r="H33" s="2"/>
      <x:c r="I33" s="2"/>
      <x:c r="J33" s="2"/>
      <x:c r="K33" s="2"/>
      <x:c r="L33" s="2"/>
      <x:c r="M33" s="2"/>
      <x:c r="N33" s="2"/>
      <x:c r="O33" s="2"/>
      <x:c r="P33" s="2"/>
      <x:c r="Q33" s="2"/>
    </x:row>
    <x:row r="34" ht="23" customHeight="1">
      <x:c r="A34" s="2"/>
      <x:c r="B34" s="2"/>
      <x:c r="C34" s="2"/>
      <x:c r="D34" s="2"/>
      <x:c r="E34" s="2"/>
      <x:c r="F34" s="2"/>
      <x:c r="G34" s="2"/>
      <x:c r="H34" s="2"/>
      <x:c r="I34" s="2"/>
      <x:c r="J34" s="2"/>
      <x:c r="K34" s="2"/>
      <x:c r="L34" s="2"/>
      <x:c r="M34" s="2"/>
      <x:c r="N34" s="2"/>
      <x:c r="O34" s="2"/>
      <x:c r="P34" s="2"/>
      <x:c r="Q34" s="2"/>
    </x:row>
    <x:row r="35" ht="23" customHeight="1">
      <x:c r="A35" s="2"/>
      <x:c r="B35" s="2"/>
      <x:c r="C35" s="2"/>
      <x:c r="D35" s="2"/>
      <x:c r="E35" s="2"/>
      <x:c r="F35" s="2"/>
      <x:c r="G35" s="2"/>
      <x:c r="H35" s="2"/>
      <x:c r="I35" s="2"/>
      <x:c r="J35" s="2"/>
      <x:c r="K35" s="2"/>
      <x:c r="L35" s="2"/>
      <x:c r="M35" s="2"/>
      <x:c r="N35" s="2"/>
      <x:c r="O35" s="2"/>
      <x:c r="P35" s="2"/>
      <x:c r="Q35" s="2"/>
    </x:row>
    <x:row r="36" ht="23" customHeight="1">
      <x:c r="A36" s="2"/>
      <x:c r="B36" s="2"/>
      <x:c r="C36" s="2"/>
      <x:c r="D36" s="2"/>
      <x:c r="E36" s="2"/>
      <x:c r="F36" s="2"/>
      <x:c r="G36" s="2"/>
      <x:c r="H36" s="2"/>
      <x:c r="I36" s="2"/>
      <x:c r="J36" s="2"/>
      <x:c r="K36" s="2"/>
      <x:c r="L36" s="2"/>
      <x:c r="M36" s="2"/>
      <x:c r="N36" s="2"/>
      <x:c r="O36" s="2"/>
      <x:c r="P36" s="2"/>
      <x:c r="Q36" s="2"/>
    </x:row>
    <x:row r="37" ht="23" customHeight="1">
      <x:c r="A37" s="2"/>
      <x:c r="B37" s="2"/>
      <x:c r="C37" s="2"/>
      <x:c r="D37" s="2"/>
      <x:c r="E37" s="2"/>
      <x:c r="F37" s="2"/>
      <x:c r="G37" s="2"/>
      <x:c r="H37" s="2"/>
      <x:c r="I37" s="2"/>
      <x:c r="J37" s="2"/>
      <x:c r="K37" s="2"/>
      <x:c r="L37" s="2"/>
      <x:c r="M37" s="2"/>
      <x:c r="N37" s="2"/>
      <x:c r="O37" s="2"/>
      <x:c r="P37" s="2"/>
      <x:c r="Q37" s="2"/>
    </x:row>
    <x:row r="38" ht="23" customHeight="1">
      <x:c r="A38" s="2"/>
      <x:c r="B38" s="2"/>
      <x:c r="C38" s="2"/>
      <x:c r="D38" s="2"/>
      <x:c r="E38" s="2"/>
      <x:c r="F38" s="2"/>
      <x:c r="G38" s="2"/>
      <x:c r="H38" s="2"/>
      <x:c r="I38" s="2"/>
      <x:c r="J38" s="2"/>
      <x:c r="K38" s="2"/>
      <x:c r="L38" s="2"/>
      <x:c r="M38" s="2"/>
      <x:c r="N38" s="2"/>
      <x:c r="O38" s="2"/>
      <x:c r="P38" s="2"/>
      <x:c r="Q38" s="2"/>
    </x:row>
    <x:row r="39" ht="23" customHeight="1">
      <x:c r="A39" s="2"/>
      <x:c r="B39" s="2"/>
      <x:c r="C39" s="2"/>
      <x:c r="D39" s="2"/>
      <x:c r="E39" s="2"/>
      <x:c r="F39" s="2"/>
      <x:c r="G39" s="2"/>
      <x:c r="H39" s="2"/>
      <x:c r="I39" s="2"/>
      <x:c r="J39" s="2"/>
      <x:c r="K39" s="2"/>
      <x:c r="L39" s="2"/>
      <x:c r="M39" s="2"/>
      <x:c r="N39" s="2"/>
      <x:c r="O39" s="2"/>
      <x:c r="P39" s="2"/>
      <x:c r="Q39" s="2"/>
    </x:row>
    <x:row r="40" ht="23" customHeight="1">
      <x:c r="A40" s="2"/>
      <x:c r="B40" s="2"/>
      <x:c r="C40" s="2"/>
      <x:c r="D40" s="2"/>
      <x:c r="E40" s="2"/>
      <x:c r="F40" s="2"/>
      <x:c r="G40" s="2"/>
      <x:c r="H40" s="2"/>
      <x:c r="I40" s="2"/>
      <x:c r="J40" s="2"/>
      <x:c r="K40" s="2"/>
      <x:c r="L40" s="2"/>
      <x:c r="M40" s="2"/>
      <x:c r="N40" s="2"/>
      <x:c r="O40" s="2"/>
      <x:c r="P40" s="2"/>
      <x:c r="Q40" s="2"/>
    </x:row>
    <x:row r="41" ht="23" customHeight="1">
      <x:c r="A41" s="2"/>
      <x:c r="B41" s="2"/>
      <x:c r="C41" s="2"/>
      <x:c r="D41" s="2"/>
      <x:c r="E41" s="2"/>
      <x:c r="F41" s="2"/>
      <x:c r="G41" s="2"/>
      <x:c r="H41" s="2"/>
      <x:c r="I41" s="2"/>
      <x:c r="J41" s="2"/>
      <x:c r="K41" s="2"/>
      <x:c r="L41" s="2"/>
      <x:c r="M41" s="2"/>
      <x:c r="N41" s="2"/>
      <x:c r="O41" s="2"/>
      <x:c r="P41" s="2"/>
      <x:c r="Q41" s="2"/>
    </x:row>
    <x:row r="42" ht="23" customHeight="1">
      <x:c r="A42" s="2"/>
      <x:c r="B42" s="2"/>
      <x:c r="C42" s="2"/>
      <x:c r="D42" s="2"/>
      <x:c r="E42" s="2"/>
      <x:c r="F42" s="2"/>
      <x:c r="G42" s="2"/>
      <x:c r="H42" s="2"/>
      <x:c r="I42" s="2"/>
      <x:c r="J42" s="2"/>
      <x:c r="K42" s="2"/>
      <x:c r="L42" s="2"/>
      <x:c r="M42" s="2"/>
      <x:c r="N42" s="2"/>
      <x:c r="O42" s="2"/>
      <x:c r="P42" s="2"/>
      <x:c r="Q42" s="2"/>
    </x:row>
    <x:row r="43" ht="23" customHeight="1">
      <x:c r="A43" s="2"/>
      <x:c r="B43" s="2"/>
      <x:c r="C43" s="2"/>
      <x:c r="D43" s="2"/>
      <x:c r="E43" s="2"/>
      <x:c r="F43" s="2"/>
      <x:c r="G43" s="2"/>
      <x:c r="H43" s="2"/>
      <x:c r="I43" s="2"/>
      <x:c r="J43" s="2"/>
      <x:c r="K43" s="2"/>
      <x:c r="L43" s="2"/>
      <x:c r="M43" s="2"/>
      <x:c r="N43" s="2"/>
      <x:c r="O43" s="2"/>
      <x:c r="P43" s="2"/>
      <x:c r="Q43" s="2"/>
    </x:row>
    <x:row r="44" ht="23" customHeight="1">
      <x:c r="A44" s="2"/>
      <x:c r="B44" s="2"/>
      <x:c r="C44" s="2"/>
      <x:c r="D44" s="2"/>
      <x:c r="E44" s="2"/>
      <x:c r="F44" s="2"/>
      <x:c r="G44" s="2"/>
      <x:c r="H44" s="2"/>
      <x:c r="I44" s="2"/>
      <x:c r="J44" s="2"/>
      <x:c r="K44" s="2"/>
      <x:c r="L44" s="2"/>
      <x:c r="M44" s="2"/>
      <x:c r="N44" s="2"/>
      <x:c r="O44" s="2"/>
      <x:c r="P44" s="2"/>
      <x:c r="Q44" s="2"/>
    </x:row>
    <x:row r="45" ht="23" customHeight="1">
      <x:c r="A45" s="2"/>
      <x:c r="B45" s="2"/>
      <x:c r="C45" s="2"/>
      <x:c r="D45" s="2"/>
      <x:c r="E45" s="2"/>
      <x:c r="F45" s="2"/>
      <x:c r="G45" s="2"/>
      <x:c r="H45" s="2"/>
      <x:c r="I45" s="2"/>
      <x:c r="J45" s="2"/>
      <x:c r="K45" s="2"/>
      <x:c r="L45" s="2"/>
      <x:c r="M45" s="2"/>
      <x:c r="N45" s="2"/>
      <x:c r="O45" s="2"/>
      <x:c r="P45" s="2"/>
      <x:c r="Q45" s="2"/>
    </x:row>
    <x:row r="46" ht="23" customHeight="1">
      <x:c r="A46" s="2"/>
      <x:c r="B46" s="2"/>
      <x:c r="C46" s="2"/>
      <x:c r="D46" s="2"/>
      <x:c r="E46" s="2"/>
      <x:c r="F46" s="2"/>
      <x:c r="G46" s="2"/>
      <x:c r="H46" s="2"/>
      <x:c r="I46" s="2"/>
      <x:c r="J46" s="2"/>
      <x:c r="K46" s="2"/>
      <x:c r="L46" s="2"/>
      <x:c r="M46" s="2"/>
      <x:c r="N46" s="2"/>
      <x:c r="O46" s="2"/>
      <x:c r="P46" s="2"/>
      <x:c r="Q46" s="2"/>
    </x:row>
    <x:row r="47" ht="23" customHeight="1">
      <x:c r="A47" s="2"/>
      <x:c r="B47" s="2"/>
      <x:c r="C47" s="2"/>
      <x:c r="D47" s="2"/>
      <x:c r="E47" s="2"/>
      <x:c r="F47" s="2"/>
      <x:c r="G47" s="2"/>
      <x:c r="H47" s="2"/>
      <x:c r="I47" s="2"/>
      <x:c r="J47" s="2"/>
      <x:c r="K47" s="2"/>
      <x:c r="L47" s="2"/>
      <x:c r="M47" s="2"/>
      <x:c r="N47" s="2"/>
      <x:c r="O47" s="2"/>
      <x:c r="P47" s="2"/>
      <x:c r="Q47" s="2"/>
    </x:row>
    <x:row r="48" ht="23" customHeight="1">
      <x:c r="A48" s="2"/>
      <x:c r="B48" s="2"/>
      <x:c r="C48" s="2"/>
      <x:c r="D48" s="2"/>
      <x:c r="E48" s="2"/>
      <x:c r="F48" s="2"/>
      <x:c r="G48" s="2"/>
      <x:c r="H48" s="2"/>
      <x:c r="I48" s="2"/>
      <x:c r="J48" s="2"/>
      <x:c r="K48" s="2"/>
      <x:c r="L48" s="2"/>
      <x:c r="M48" s="2"/>
      <x:c r="N48" s="2"/>
      <x:c r="O48" s="2"/>
      <x:c r="P48" s="2"/>
      <x:c r="Q48" s="2"/>
    </x:row>
    <x:row r="49" ht="23" customHeight="1">
      <x:c r="A49" s="2"/>
      <x:c r="B49" s="2"/>
      <x:c r="C49" s="2"/>
      <x:c r="D49" s="2"/>
      <x:c r="E49" s="2"/>
      <x:c r="F49" s="2"/>
      <x:c r="G49" s="2"/>
      <x:c r="H49" s="2"/>
      <x:c r="I49" s="2"/>
      <x:c r="J49" s="2"/>
      <x:c r="K49" s="2"/>
      <x:c r="L49" s="2"/>
      <x:c r="M49" s="2"/>
      <x:c r="N49" s="2"/>
      <x:c r="O49" s="2"/>
      <x:c r="P49" s="2"/>
      <x:c r="Q49" s="2"/>
    </x:row>
    <x:row r="50" ht="23" customHeight="1">
      <x:c r="A50" s="2"/>
      <x:c r="B50" s="2"/>
      <x:c r="C50" s="2"/>
      <x:c r="D50" s="2"/>
      <x:c r="E50" s="2"/>
      <x:c r="F50" s="2"/>
      <x:c r="G50" s="2"/>
      <x:c r="H50" s="2"/>
      <x:c r="I50" s="2"/>
      <x:c r="J50" s="2"/>
      <x:c r="K50" s="2"/>
      <x:c r="L50" s="2"/>
      <x:c r="M50" s="2"/>
      <x:c r="N50" s="2"/>
      <x:c r="O50" s="2"/>
      <x:c r="P50" s="2"/>
      <x:c r="Q50" s="2"/>
    </x:row>
    <x:row r="51" ht="23" customHeight="1">
      <x:c r="A51" s="2"/>
      <x:c r="B51" s="2"/>
      <x:c r="C51" s="2"/>
      <x:c r="D51" s="2"/>
      <x:c r="E51" s="2"/>
      <x:c r="F51" s="2"/>
      <x:c r="G51" s="2"/>
      <x:c r="H51" s="2"/>
      <x:c r="I51" s="2"/>
      <x:c r="J51" s="2"/>
      <x:c r="K51" s="2"/>
      <x:c r="L51" s="2"/>
      <x:c r="M51" s="2"/>
      <x:c r="N51" s="2"/>
      <x:c r="O51" s="2"/>
      <x:c r="P51" s="2"/>
      <x:c r="Q51" s="2"/>
    </x:row>
    <x:row r="52" ht="23" customHeight="1">
      <x:c r="A52" s="2"/>
      <x:c r="B52" s="2"/>
      <x:c r="C52" s="2"/>
      <x:c r="D52" s="2"/>
      <x:c r="E52" s="2"/>
      <x:c r="F52" s="2"/>
      <x:c r="G52" s="2"/>
      <x:c r="H52" s="2"/>
      <x:c r="I52" s="2"/>
      <x:c r="J52" s="2"/>
      <x:c r="K52" s="2"/>
      <x:c r="L52" s="2"/>
      <x:c r="M52" s="2"/>
      <x:c r="N52" s="2"/>
      <x:c r="O52" s="2"/>
      <x:c r="P52" s="2"/>
      <x:c r="Q52" s="2"/>
    </x:row>
    <x:row r="53" ht="23" customHeight="1">
      <x:c r="A53" s="2"/>
      <x:c r="B53" s="2"/>
      <x:c r="C53" s="2"/>
      <x:c r="D53" s="2"/>
      <x:c r="E53" s="2"/>
      <x:c r="F53" s="2"/>
      <x:c r="G53" s="2"/>
      <x:c r="H53" s="2"/>
      <x:c r="I53" s="2"/>
      <x:c r="J53" s="2"/>
      <x:c r="K53" s="2"/>
      <x:c r="L53" s="2"/>
      <x:c r="M53" s="2"/>
      <x:c r="N53" s="2"/>
      <x:c r="O53" s="2"/>
      <x:c r="P53" s="2"/>
      <x:c r="Q53" s="2"/>
    </x:row>
    <x:row r="54" ht="23" customHeight="1">
      <x:c r="A54" s="2"/>
      <x:c r="B54" s="2"/>
      <x:c r="C54" s="2"/>
      <x:c r="D54" s="2"/>
      <x:c r="E54" s="2"/>
      <x:c r="F54" s="2"/>
      <x:c r="G54" s="2"/>
      <x:c r="H54" s="2"/>
      <x:c r="I54" s="2"/>
      <x:c r="J54" s="2"/>
      <x:c r="K54" s="2"/>
      <x:c r="L54" s="2"/>
      <x:c r="M54" s="2"/>
      <x:c r="N54" s="2"/>
      <x:c r="O54" s="2"/>
      <x:c r="P54" s="2"/>
      <x:c r="Q54" s="2"/>
    </x:row>
    <x:row r="55" ht="23" customHeight="1">
      <x:c r="A55" s="2"/>
      <x:c r="B55" s="2"/>
      <x:c r="C55" s="2"/>
      <x:c r="D55" s="2"/>
      <x:c r="E55" s="2"/>
      <x:c r="F55" s="2"/>
      <x:c r="G55" s="2"/>
      <x:c r="H55" s="2"/>
      <x:c r="I55" s="2"/>
      <x:c r="J55" s="2"/>
      <x:c r="K55" s="2"/>
      <x:c r="L55" s="2"/>
      <x:c r="M55" s="2"/>
      <x:c r="N55" s="2"/>
      <x:c r="O55" s="2"/>
      <x:c r="P55" s="2"/>
      <x:c r="Q55" s="2"/>
    </x:row>
    <x:row r="56" ht="23" customHeight="1">
      <x:c r="A56" s="2"/>
      <x:c r="B56" s="2"/>
      <x:c r="C56" s="2"/>
      <x:c r="D56" s="2"/>
      <x:c r="E56" s="2"/>
      <x:c r="F56" s="2"/>
      <x:c r="G56" s="2"/>
      <x:c r="H56" s="2"/>
      <x:c r="I56" s="2"/>
      <x:c r="J56" s="2"/>
      <x:c r="K56" s="2"/>
      <x:c r="L56" s="2"/>
      <x:c r="M56" s="2"/>
      <x:c r="N56" s="2"/>
      <x:c r="O56" s="2"/>
      <x:c r="P56" s="2"/>
      <x:c r="Q56" s="2"/>
    </x:row>
    <x:row r="57" ht="23" customHeight="1">
      <x:c r="A57" s="2"/>
      <x:c r="B57" s="2"/>
      <x:c r="C57" s="2"/>
      <x:c r="D57" s="2"/>
      <x:c r="E57" s="2"/>
      <x:c r="F57" s="2"/>
      <x:c r="G57" s="2"/>
      <x:c r="H57" s="2"/>
      <x:c r="I57" s="2"/>
      <x:c r="J57" s="2"/>
      <x:c r="K57" s="2"/>
      <x:c r="L57" s="2"/>
      <x:c r="M57" s="2"/>
      <x:c r="N57" s="2"/>
      <x:c r="O57" s="2"/>
      <x:c r="P57" s="2"/>
      <x:c r="Q57" s="2"/>
    </x:row>
    <x:row r="58" ht="23" customHeight="1">
      <x:c r="A58" s="2"/>
      <x:c r="B58" s="2"/>
      <x:c r="C58" s="2"/>
      <x:c r="D58" s="2"/>
      <x:c r="E58" s="2"/>
      <x:c r="F58" s="2"/>
      <x:c r="G58" s="2"/>
      <x:c r="H58" s="2"/>
      <x:c r="I58" s="2"/>
      <x:c r="J58" s="2"/>
      <x:c r="K58" s="2"/>
      <x:c r="L58" s="2"/>
      <x:c r="M58" s="2"/>
      <x:c r="N58" s="2"/>
      <x:c r="O58" s="2"/>
      <x:c r="P58" s="2"/>
      <x:c r="Q58" s="2"/>
    </x:row>
    <x:row r="59" ht="23" customHeight="1">
      <x:c r="A59" s="2"/>
      <x:c r="B59" s="2"/>
      <x:c r="C59" s="2"/>
      <x:c r="D59" s="2"/>
      <x:c r="E59" s="2"/>
      <x:c r="F59" s="2"/>
      <x:c r="G59" s="2"/>
      <x:c r="H59" s="2"/>
      <x:c r="I59" s="2"/>
      <x:c r="J59" s="2"/>
      <x:c r="K59" s="2"/>
      <x:c r="L59" s="2"/>
      <x:c r="M59" s="2"/>
      <x:c r="N59" s="2"/>
      <x:c r="O59" s="2"/>
      <x:c r="P59" s="2"/>
      <x:c r="Q59" s="2"/>
    </x:row>
    <x:row r="60" ht="23" customHeight="1">
      <x:c r="A60" s="2"/>
      <x:c r="B60" s="2"/>
      <x:c r="C60" s="2"/>
      <x:c r="D60" s="2"/>
      <x:c r="E60" s="2"/>
      <x:c r="F60" s="2"/>
      <x:c r="G60" s="2"/>
      <x:c r="H60" s="2"/>
      <x:c r="I60" s="2"/>
      <x:c r="J60" s="2"/>
      <x:c r="K60" s="2"/>
      <x:c r="L60" s="2"/>
      <x:c r="M60" s="2"/>
      <x:c r="N60" s="2"/>
      <x:c r="O60" s="2"/>
      <x:c r="P60" s="2"/>
      <x:c r="Q60" s="2"/>
    </x:row>
    <x:row r="61" ht="23" customHeight="1">
      <x:c r="A61" s="2"/>
      <x:c r="B61" s="2"/>
      <x:c r="C61" s="2"/>
      <x:c r="D61" s="2"/>
      <x:c r="E61" s="2"/>
      <x:c r="F61" s="2"/>
      <x:c r="G61" s="2"/>
      <x:c r="H61" s="2"/>
      <x:c r="I61" s="2"/>
      <x:c r="J61" s="2"/>
      <x:c r="K61" s="2"/>
      <x:c r="L61" s="2"/>
      <x:c r="M61" s="2"/>
      <x:c r="N61" s="2"/>
      <x:c r="O61" s="2"/>
      <x:c r="P61" s="2"/>
      <x:c r="Q61" s="2"/>
    </x:row>
    <x:row r="62" ht="23" customHeight="1">
      <x:c r="A62" s="2"/>
      <x:c r="B62" s="2"/>
      <x:c r="C62" s="2"/>
      <x:c r="D62" s="2"/>
      <x:c r="E62" s="2"/>
      <x:c r="F62" s="2"/>
      <x:c r="G62" s="2"/>
      <x:c r="H62" s="2"/>
      <x:c r="I62" s="2"/>
      <x:c r="J62" s="2"/>
      <x:c r="K62" s="2"/>
      <x:c r="L62" s="2"/>
      <x:c r="M62" s="2"/>
      <x:c r="N62" s="2"/>
      <x:c r="O62" s="2"/>
      <x:c r="P62" s="2"/>
      <x:c r="Q62" s="2"/>
    </x:row>
    <x:row r="63" ht="23" customHeight="1">
      <x:c r="A63" s="2"/>
      <x:c r="B63" s="2"/>
      <x:c r="C63" s="2"/>
      <x:c r="D63" s="2"/>
      <x:c r="E63" s="2"/>
      <x:c r="F63" s="2"/>
      <x:c r="G63" s="2"/>
      <x:c r="H63" s="2"/>
      <x:c r="I63" s="2"/>
      <x:c r="J63" s="2"/>
      <x:c r="K63" s="2"/>
      <x:c r="L63" s="2"/>
      <x:c r="M63" s="2"/>
      <x:c r="N63" s="2"/>
      <x:c r="O63" s="2"/>
      <x:c r="P63" s="2"/>
      <x:c r="Q63" s="2"/>
    </x:row>
    <x:row r="64" ht="23" customHeight="1">
      <x:c r="A64" s="2"/>
      <x:c r="B64" s="2"/>
      <x:c r="C64" s="2"/>
      <x:c r="D64" s="2"/>
      <x:c r="E64" s="2"/>
      <x:c r="F64" s="2"/>
      <x:c r="G64" s="2"/>
      <x:c r="H64" s="2"/>
      <x:c r="I64" s="2"/>
      <x:c r="J64" s="2"/>
      <x:c r="K64" s="2"/>
      <x:c r="L64" s="2"/>
      <x:c r="M64" s="2"/>
      <x:c r="N64" s="2"/>
      <x:c r="O64" s="2"/>
      <x:c r="P64" s="2"/>
      <x:c r="Q64" s="2"/>
    </x:row>
    <x:row r="65" ht="23" customHeight="1">
      <x:c r="A65" s="2"/>
      <x:c r="B65" s="2"/>
      <x:c r="C65" s="2"/>
      <x:c r="D65" s="2"/>
      <x:c r="E65" s="2"/>
      <x:c r="F65" s="2"/>
      <x:c r="G65" s="2"/>
      <x:c r="H65" s="2"/>
      <x:c r="I65" s="2"/>
      <x:c r="J65" s="2"/>
      <x:c r="K65" s="2"/>
      <x:c r="L65" s="2"/>
      <x:c r="M65" s="2"/>
      <x:c r="N65" s="2"/>
      <x:c r="O65" s="2"/>
      <x:c r="P65" s="2"/>
      <x:c r="Q65" s="2"/>
    </x:row>
    <x:row r="66" ht="23" customHeight="1">
      <x:c r="A66" s="2"/>
      <x:c r="B66" s="2"/>
      <x:c r="C66" s="2"/>
      <x:c r="D66" s="2"/>
      <x:c r="E66" s="2"/>
      <x:c r="F66" s="2"/>
      <x:c r="G66" s="2"/>
      <x:c r="H66" s="2"/>
      <x:c r="I66" s="2"/>
      <x:c r="J66" s="2"/>
      <x:c r="K66" s="2"/>
      <x:c r="L66" s="2"/>
      <x:c r="M66" s="2"/>
      <x:c r="N66" s="2"/>
      <x:c r="O66" s="2"/>
      <x:c r="P66" s="2"/>
      <x:c r="Q66" s="2"/>
    </x:row>
    <x:row r="67" ht="23" customHeight="1">
      <x:c r="A67" s="2"/>
      <x:c r="B67" s="2"/>
      <x:c r="C67" s="2"/>
      <x:c r="D67" s="2"/>
      <x:c r="E67" s="2"/>
      <x:c r="F67" s="2"/>
      <x:c r="G67" s="2"/>
      <x:c r="H67" s="2"/>
      <x:c r="I67" s="2"/>
      <x:c r="J67" s="2"/>
      <x:c r="K67" s="2"/>
      <x:c r="L67" s="2"/>
      <x:c r="M67" s="2"/>
      <x:c r="N67" s="2"/>
      <x:c r="O67" s="2"/>
      <x:c r="P67" s="2"/>
      <x:c r="Q67" s="2"/>
    </x:row>
    <x:row r="68" ht="23" customHeight="1">
      <x:c r="A68" s="2"/>
      <x:c r="B68" s="2"/>
      <x:c r="C68" s="2"/>
      <x:c r="D68" s="2"/>
      <x:c r="E68" s="2"/>
      <x:c r="F68" s="2"/>
      <x:c r="G68" s="2"/>
      <x:c r="H68" s="2"/>
      <x:c r="I68" s="2"/>
      <x:c r="J68" s="2"/>
      <x:c r="K68" s="2"/>
      <x:c r="L68" s="2"/>
      <x:c r="M68" s="2"/>
      <x:c r="N68" s="2"/>
      <x:c r="O68" s="2"/>
      <x:c r="P68" s="2"/>
      <x:c r="Q68" s="2"/>
    </x:row>
    <x:row r="69" ht="23" customHeight="1">
      <x:c r="A69" s="2"/>
      <x:c r="B69" s="2"/>
      <x:c r="C69" s="2"/>
      <x:c r="D69" s="2"/>
      <x:c r="E69" s="2"/>
      <x:c r="F69" s="2"/>
      <x:c r="G69" s="2"/>
      <x:c r="H69" s="2"/>
      <x:c r="I69" s="2"/>
      <x:c r="J69" s="2"/>
      <x:c r="K69" s="2"/>
      <x:c r="L69" s="2"/>
      <x:c r="M69" s="2"/>
      <x:c r="N69" s="2"/>
      <x:c r="O69" s="2"/>
      <x:c r="P69" s="2"/>
      <x:c r="Q69" s="2"/>
    </x:row>
    <x:row r="70" ht="23" customHeight="1">
      <x:c r="A70" s="2"/>
      <x:c r="B70" s="2"/>
      <x:c r="C70" s="2"/>
      <x:c r="D70" s="2"/>
      <x:c r="E70" s="2"/>
      <x:c r="F70" s="2"/>
      <x:c r="G70" s="2"/>
      <x:c r="H70" s="2"/>
      <x:c r="I70" s="2"/>
      <x:c r="J70" s="2"/>
      <x:c r="K70" s="2"/>
      <x:c r="L70" s="2"/>
      <x:c r="M70" s="2"/>
      <x:c r="N70" s="2"/>
      <x:c r="O70" s="2"/>
      <x:c r="P70" s="2"/>
      <x:c r="Q70" s="2"/>
    </x:row>
    <x:row r="71" ht="23" customHeight="1">
      <x:c r="A71" s="2"/>
      <x:c r="B71" s="2"/>
      <x:c r="C71" s="2"/>
      <x:c r="D71" s="2"/>
      <x:c r="E71" s="2"/>
      <x:c r="F71" s="2"/>
      <x:c r="G71" s="2"/>
      <x:c r="H71" s="2"/>
      <x:c r="I71" s="2"/>
      <x:c r="J71" s="2"/>
      <x:c r="K71" s="2"/>
      <x:c r="L71" s="2"/>
      <x:c r="M71" s="2"/>
      <x:c r="N71" s="2"/>
      <x:c r="O71" s="2"/>
      <x:c r="P71" s="2"/>
      <x:c r="Q71" s="2"/>
    </x:row>
    <x:row r="72" ht="23" customHeight="1">
      <x:c r="A72" s="2"/>
      <x:c r="B72" s="2"/>
      <x:c r="C72" s="2"/>
      <x:c r="D72" s="2"/>
      <x:c r="E72" s="2"/>
      <x:c r="F72" s="2"/>
      <x:c r="G72" s="2"/>
      <x:c r="H72" s="2"/>
      <x:c r="I72" s="2"/>
      <x:c r="J72" s="2"/>
      <x:c r="K72" s="2"/>
      <x:c r="L72" s="2"/>
      <x:c r="M72" s="2"/>
      <x:c r="N72" s="2"/>
      <x:c r="O72" s="2"/>
      <x:c r="P72" s="2"/>
      <x:c r="Q72" s="2"/>
    </x:row>
    <x:row r="73" ht="23" customHeight="1">
      <x:c r="A73" s="2"/>
      <x:c r="B73" s="2"/>
      <x:c r="C73" s="2"/>
      <x:c r="D73" s="2"/>
      <x:c r="E73" s="2"/>
      <x:c r="F73" s="2"/>
      <x:c r="G73" s="2"/>
      <x:c r="H73" s="2"/>
      <x:c r="I73" s="2"/>
      <x:c r="J73" s="2"/>
      <x:c r="K73" s="2"/>
      <x:c r="L73" s="2"/>
      <x:c r="M73" s="2"/>
      <x:c r="N73" s="2"/>
      <x:c r="O73" s="2"/>
      <x:c r="P73" s="2"/>
      <x:c r="Q73" s="2"/>
    </x:row>
    <x:row r="74" ht="23" customHeight="1">
      <x:c r="A74" s="2"/>
      <x:c r="B74" s="2"/>
      <x:c r="C74" s="2"/>
      <x:c r="D74" s="2"/>
      <x:c r="E74" s="2"/>
      <x:c r="F74" s="2"/>
      <x:c r="G74" s="2"/>
      <x:c r="H74" s="2"/>
      <x:c r="I74" s="2"/>
      <x:c r="J74" s="2"/>
      <x:c r="K74" s="2"/>
      <x:c r="L74" s="2"/>
      <x:c r="M74" s="2"/>
      <x:c r="N74" s="2"/>
      <x:c r="O74" s="2"/>
      <x:c r="P74" s="2"/>
      <x:c r="Q74" s="2"/>
    </x:row>
    <x:row r="75" ht="23" customHeight="1">
      <x:c r="A75" s="2"/>
      <x:c r="B75" s="2"/>
      <x:c r="C75" s="2"/>
      <x:c r="D75" s="2"/>
      <x:c r="E75" s="2"/>
      <x:c r="F75" s="2"/>
      <x:c r="G75" s="2"/>
      <x:c r="H75" s="2"/>
      <x:c r="I75" s="2"/>
      <x:c r="J75" s="2"/>
      <x:c r="K75" s="2"/>
      <x:c r="L75" s="2"/>
      <x:c r="M75" s="2"/>
      <x:c r="N75" s="2"/>
      <x:c r="O75" s="2"/>
      <x:c r="P75" s="2"/>
      <x:c r="Q75" s="2"/>
    </x:row>
    <x:row r="76" ht="23" customHeight="1">
      <x:c r="A76" s="2"/>
      <x:c r="B76" s="2"/>
      <x:c r="C76" s="2"/>
      <x:c r="D76" s="2"/>
      <x:c r="E76" s="2"/>
      <x:c r="F76" s="2"/>
      <x:c r="G76" s="2"/>
      <x:c r="H76" s="2"/>
      <x:c r="I76" s="2"/>
      <x:c r="J76" s="2"/>
      <x:c r="K76" s="2"/>
      <x:c r="L76" s="2"/>
      <x:c r="M76" s="2"/>
      <x:c r="N76" s="2"/>
      <x:c r="O76" s="2"/>
      <x:c r="P76" s="2"/>
      <x:c r="Q76" s="2"/>
    </x:row>
    <x:row r="77" ht="23" customHeight="1">
      <x:c r="A77" s="2"/>
      <x:c r="B77" s="2"/>
      <x:c r="C77" s="2"/>
      <x:c r="D77" s="2"/>
      <x:c r="E77" s="2"/>
      <x:c r="F77" s="2"/>
      <x:c r="G77" s="2"/>
      <x:c r="H77" s="2"/>
      <x:c r="I77" s="2"/>
      <x:c r="J77" s="2"/>
      <x:c r="K77" s="2"/>
      <x:c r="L77" s="2"/>
      <x:c r="M77" s="2"/>
      <x:c r="N77" s="2"/>
      <x:c r="O77" s="2"/>
      <x:c r="P77" s="2"/>
      <x:c r="Q77" s="2"/>
    </x:row>
    <x:row r="78" ht="23" customHeight="1">
      <x:c r="A78" s="2"/>
      <x:c r="B78" s="2"/>
      <x:c r="C78" s="2"/>
      <x:c r="D78" s="2"/>
      <x:c r="E78" s="2"/>
      <x:c r="F78" s="2"/>
      <x:c r="G78" s="2"/>
      <x:c r="H78" s="2"/>
      <x:c r="I78" s="2"/>
      <x:c r="J78" s="2"/>
      <x:c r="K78" s="2"/>
      <x:c r="L78" s="2"/>
      <x:c r="M78" s="2"/>
      <x:c r="N78" s="2"/>
      <x:c r="O78" s="2"/>
      <x:c r="P78" s="2"/>
      <x:c r="Q78" s="2"/>
    </x:row>
    <x:row r="79" ht="23" customHeight="1">
      <x:c r="A79" s="2"/>
      <x:c r="B79" s="2"/>
      <x:c r="C79" s="2"/>
      <x:c r="D79" s="2"/>
      <x:c r="E79" s="2"/>
      <x:c r="F79" s="2"/>
      <x:c r="G79" s="2"/>
      <x:c r="H79" s="2"/>
      <x:c r="I79" s="2"/>
      <x:c r="J79" s="2"/>
      <x:c r="K79" s="2"/>
      <x:c r="L79" s="2"/>
      <x:c r="M79" s="2"/>
      <x:c r="N79" s="2"/>
      <x:c r="O79" s="2"/>
      <x:c r="P79" s="2"/>
      <x:c r="Q79" s="2"/>
    </x:row>
    <x:row r="80" ht="23" customHeight="1">
      <x:c r="A80" s="2"/>
      <x:c r="B80" s="2"/>
      <x:c r="C80" s="2"/>
      <x:c r="D80" s="2"/>
      <x:c r="E80" s="2"/>
      <x:c r="F80" s="2"/>
      <x:c r="G80" s="2"/>
      <x:c r="H80" s="2"/>
      <x:c r="I80" s="2"/>
      <x:c r="J80" s="2"/>
      <x:c r="K80" s="2"/>
      <x:c r="L80" s="2"/>
      <x:c r="M80" s="2"/>
      <x:c r="N80" s="2"/>
      <x:c r="O80" s="2"/>
      <x:c r="P80" s="2"/>
      <x:c r="Q80" s="2"/>
    </x:row>
    <x:row r="81" ht="23" customHeight="1">
      <x:c r="A81" s="2"/>
      <x:c r="B81" s="2"/>
      <x:c r="C81" s="2"/>
      <x:c r="D81" s="2"/>
      <x:c r="E81" s="2"/>
      <x:c r="F81" s="2"/>
      <x:c r="G81" s="2"/>
      <x:c r="H81" s="2"/>
      <x:c r="I81" s="2"/>
      <x:c r="J81" s="2"/>
      <x:c r="K81" s="2"/>
      <x:c r="L81" s="2"/>
      <x:c r="M81" s="2"/>
      <x:c r="N81" s="2"/>
      <x:c r="O81" s="2"/>
      <x:c r="P81" s="2"/>
      <x:c r="Q81" s="2"/>
    </x:row>
    <x:row r="82" ht="23" customHeight="1">
      <x:c r="A82" s="2"/>
      <x:c r="B82" s="2"/>
      <x:c r="C82" s="2"/>
      <x:c r="D82" s="2"/>
      <x:c r="E82" s="2"/>
      <x:c r="F82" s="2"/>
      <x:c r="G82" s="2"/>
      <x:c r="H82" s="2"/>
      <x:c r="I82" s="2"/>
      <x:c r="J82" s="2"/>
      <x:c r="K82" s="2"/>
      <x:c r="L82" s="2"/>
      <x:c r="M82" s="2"/>
      <x:c r="N82" s="2"/>
      <x:c r="O82" s="2"/>
      <x:c r="P82" s="2"/>
      <x:c r="Q82" s="2"/>
    </x:row>
    <x:row r="83" ht="23" customHeight="1">
      <x:c r="A83" s="2"/>
      <x:c r="B83" s="2"/>
      <x:c r="C83" s="2"/>
      <x:c r="D83" s="2"/>
      <x:c r="E83" s="2"/>
      <x:c r="F83" s="2"/>
      <x:c r="G83" s="2"/>
      <x:c r="H83" s="2"/>
      <x:c r="I83" s="2"/>
      <x:c r="J83" s="2"/>
      <x:c r="K83" s="2"/>
      <x:c r="L83" s="2"/>
      <x:c r="M83" s="2"/>
      <x:c r="N83" s="2"/>
      <x:c r="O83" s="2"/>
      <x:c r="P83" s="2"/>
      <x:c r="Q83" s="2"/>
    </x:row>
    <x:row r="84" ht="23" customHeight="1">
      <x:c r="A84" s="2"/>
      <x:c r="B84" s="2"/>
      <x:c r="C84" s="2"/>
      <x:c r="D84" s="2"/>
      <x:c r="E84" s="2"/>
      <x:c r="F84" s="2"/>
      <x:c r="G84" s="2"/>
      <x:c r="H84" s="2"/>
      <x:c r="I84" s="2"/>
      <x:c r="J84" s="2"/>
      <x:c r="K84" s="2"/>
      <x:c r="L84" s="2"/>
      <x:c r="M84" s="2"/>
      <x:c r="N84" s="2"/>
      <x:c r="O84" s="2"/>
      <x:c r="P84" s="2"/>
      <x:c r="Q84" s="2"/>
    </x:row>
    <x:row r="85" ht="23" customHeight="1">
      <x:c r="A85" s="2"/>
      <x:c r="B85" s="2"/>
      <x:c r="C85" s="2"/>
      <x:c r="D85" s="2"/>
      <x:c r="E85" s="2"/>
      <x:c r="F85" s="2"/>
      <x:c r="G85" s="2"/>
      <x:c r="H85" s="2"/>
      <x:c r="I85" s="2"/>
      <x:c r="J85" s="2"/>
      <x:c r="K85" s="2"/>
      <x:c r="L85" s="2"/>
      <x:c r="M85" s="2"/>
      <x:c r="N85" s="2"/>
      <x:c r="O85" s="2"/>
      <x:c r="P85" s="2"/>
      <x:c r="Q85" s="2"/>
    </x:row>
    <x:row r="86" ht="23" customHeight="1">
      <x:c r="A86" s="2"/>
      <x:c r="B86" s="2"/>
      <x:c r="C86" s="2"/>
      <x:c r="D86" s="2"/>
      <x:c r="E86" s="2"/>
      <x:c r="F86" s="2"/>
      <x:c r="G86" s="2"/>
      <x:c r="H86" s="2"/>
      <x:c r="I86" s="2"/>
      <x:c r="J86" s="2"/>
      <x:c r="K86" s="2"/>
      <x:c r="L86" s="2"/>
      <x:c r="M86" s="2"/>
      <x:c r="N86" s="2"/>
      <x:c r="O86" s="2"/>
      <x:c r="P86" s="2"/>
      <x:c r="Q86" s="2"/>
    </x:row>
    <x:row r="87" ht="23" customHeight="1">
      <x:c r="A87" s="2"/>
      <x:c r="B87" s="2"/>
      <x:c r="C87" s="2"/>
      <x:c r="D87" s="2"/>
      <x:c r="E87" s="2"/>
      <x:c r="F87" s="2"/>
      <x:c r="G87" s="2"/>
      <x:c r="H87" s="2"/>
      <x:c r="I87" s="2"/>
      <x:c r="J87" s="2"/>
      <x:c r="K87" s="2"/>
      <x:c r="L87" s="2"/>
      <x:c r="M87" s="2"/>
      <x:c r="N87" s="2"/>
      <x:c r="O87" s="2"/>
      <x:c r="P87" s="2"/>
      <x:c r="Q87" s="2"/>
    </x:row>
    <x:row r="88" ht="23" customHeight="1">
      <x:c r="A88" s="2"/>
      <x:c r="B88" s="2"/>
      <x:c r="C88" s="2"/>
      <x:c r="D88" s="2"/>
      <x:c r="E88" s="2"/>
      <x:c r="F88" s="2"/>
      <x:c r="G88" s="2"/>
      <x:c r="H88" s="2"/>
      <x:c r="I88" s="2"/>
      <x:c r="J88" s="2"/>
      <x:c r="K88" s="2"/>
      <x:c r="L88" s="2"/>
      <x:c r="M88" s="2"/>
      <x:c r="N88" s="2"/>
      <x:c r="O88" s="2"/>
      <x:c r="P88" s="2"/>
      <x:c r="Q88" s="2"/>
    </x:row>
    <x:row r="89" ht="23" customHeight="1">
      <x:c r="A89" s="2"/>
      <x:c r="B89" s="2"/>
      <x:c r="C89" s="2"/>
      <x:c r="D89" s="2"/>
      <x:c r="E89" s="2"/>
      <x:c r="F89" s="2"/>
      <x:c r="G89" s="2"/>
      <x:c r="H89" s="2"/>
      <x:c r="I89" s="2"/>
      <x:c r="J89" s="2"/>
      <x:c r="K89" s="2"/>
      <x:c r="L89" s="2"/>
      <x:c r="M89" s="2"/>
      <x:c r="N89" s="2"/>
      <x:c r="O89" s="2"/>
      <x:c r="P89" s="2"/>
      <x:c r="Q89" s="2"/>
    </x:row>
    <x:row r="90" ht="23" customHeight="1">
      <x:c r="A90" s="2"/>
      <x:c r="B90" s="2"/>
      <x:c r="C90" s="2"/>
      <x:c r="D90" s="2"/>
      <x:c r="E90" s="2"/>
      <x:c r="F90" s="2"/>
      <x:c r="G90" s="2"/>
      <x:c r="H90" s="2"/>
      <x:c r="I90" s="2"/>
      <x:c r="J90" s="2"/>
      <x:c r="K90" s="2"/>
      <x:c r="L90" s="2"/>
      <x:c r="M90" s="2"/>
      <x:c r="N90" s="2"/>
      <x:c r="O90" s="2"/>
      <x:c r="P90" s="2"/>
      <x:c r="Q90" s="2"/>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3" hidden="0" customWidth="1"/>
    <x:col min="2" max="2" width="3" hidden="0" customWidth="1"/>
    <x:col min="3" max="3" width="36" hidden="0" customWidth="1"/>
    <x:col min="4" max="4" width="18" hidden="0" customWidth="1"/>
    <x:col min="5" max="5" width="18" hidden="0" customWidth="1"/>
    <x:col min="6" max="6" width="95"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s>
  <x:sheetData>
    <x:row r="1" ht="23" customHeight="1">
      <x:c r="A1" s="2"/>
      <x:c r="B1" s="2"/>
      <x:c r="C1" s="2"/>
      <x:c r="D1" s="2"/>
      <x:c r="E1" s="2"/>
      <x:c r="F1" s="2"/>
      <x:c r="G1" s="2"/>
      <x:c r="H1" s="2"/>
      <x:c r="I1" s="2"/>
      <x:c r="J1" s="2"/>
      <x:c r="K1" s="2"/>
      <x:c r="L1" s="2"/>
      <x:c r="M1" s="2"/>
      <x:c r="N1" s="2"/>
      <x:c r="O1" s="2"/>
      <x:c r="P1" s="2"/>
      <x:c r="Q1" s="2"/>
    </x:row>
    <x:row r="2" ht="23" customHeight="1">
      <x:c r="A2" s="2"/>
      <x:c r="B2" s="2"/>
      <x:c r="C2" s="3" t="str">
        <x:v>PG | Sources and model checks</x:v>
      </x:c>
      <x:c r="D2" s="2"/>
      <x:c r="E2" s="2"/>
      <x:c r="F2" s="2"/>
      <x:c r="G2" s="2"/>
      <x:c r="H2" s="2"/>
      <x:c r="I2" s="2"/>
      <x:c r="J2" s="2"/>
      <x:c r="K2" s="2"/>
      <x:c r="L2" s="2"/>
      <x:c r="M2" s="2"/>
      <x:c r="N2" s="2"/>
      <x:c r="O2" s="2"/>
      <x:c r="P2" s="2"/>
      <x:c r="Q2" s="2"/>
    </x:row>
    <x:row r="3" ht="23" customHeight="1">
      <x:c r="A3" s="2"/>
      <x:c r="B3" s="2"/>
      <x:c r="C3" s="4"/>
      <x:c r="D3" s="4"/>
      <x:c r="E3" s="4"/>
      <x:c r="F3" s="4"/>
      <x:c r="G3" s="4"/>
      <x:c r="H3" s="4"/>
      <x:c r="I3" s="4"/>
      <x:c r="J3" s="4"/>
      <x:c r="K3" s="2"/>
      <x:c r="L3" s="2"/>
      <x:c r="M3" s="2"/>
      <x:c r="N3" s="2"/>
      <x:c r="O3" s="2"/>
      <x:c r="P3" s="2"/>
      <x:c r="Q3" s="2"/>
    </x:row>
    <x:row r="4" ht="23" customHeight="1">
      <x:c r="A4" s="2"/>
      <x:c r="B4" s="2"/>
      <x:c r="C4" s="2"/>
      <x:c r="D4" s="2"/>
      <x:c r="E4" s="2"/>
      <x:c r="F4" s="2"/>
      <x:c r="G4" s="2"/>
      <x:c r="H4" s="2"/>
      <x:c r="I4" s="2"/>
      <x:c r="J4" s="2"/>
      <x:c r="K4" s="2"/>
      <x:c r="L4" s="2"/>
      <x:c r="M4" s="2"/>
      <x:c r="N4" s="2"/>
      <x:c r="O4" s="2"/>
      <x:c r="P4" s="2"/>
      <x:c r="Q4" s="2"/>
    </x:row>
    <x:row r="5" ht="40" customHeight="1">
      <x:c r="A5" s="2"/>
      <x:c r="B5" s="2"/>
      <x:c r="C5" s="13" t="str">
        <x:v>Source</x:v>
      </x:c>
      <x:c r="D5" s="13" t="str">
        <x:v>Published</x:v>
      </x:c>
      <x:c r="E5" s="13" t="str">
        <x:v>Latest period covered</x:v>
      </x:c>
      <x:c r="F5" s="13" t="str">
        <x:v>Official release</x:v>
      </x:c>
      <x:c r="G5" s="2"/>
      <x:c r="H5" s="2"/>
      <x:c r="I5" s="2"/>
      <x:c r="J5" s="2"/>
      <x:c r="K5" s="2"/>
      <x:c r="L5" s="2"/>
      <x:c r="M5" s="2"/>
      <x:c r="N5" s="2"/>
      <x:c r="O5" s="2"/>
      <x:c r="P5" s="2"/>
      <x:c r="Q5" s="2"/>
    </x:row>
    <x:row r="6" ht="23" customHeight="1">
      <x:c r="A6" s="2"/>
      <x:c r="B6" s="2"/>
      <x:c r="C6" s="2" t="str">
        <x:v>pg_2025q3</x:v>
      </x:c>
      <x:c r="D6" s="2" t="str">
        <x:v>2025-04-24</x:v>
      </x:c>
      <x:c r="E6" s="2" t="str">
        <x:v>2025-03-31</x:v>
      </x:c>
      <x:c r="F6" s="2" t="str">
        <x:v>https://www.pginvestor.com/news/news-details/2025/PG-Announces-Fiscal-Year-2025-Third-Quarter-Results/default.aspx</x:v>
      </x:c>
      <x:c r="G6" s="2"/>
      <x:c r="H6" s="2"/>
      <x:c r="I6" s="2"/>
      <x:c r="J6" s="2"/>
      <x:c r="K6" s="2"/>
      <x:c r="L6" s="2"/>
      <x:c r="M6" s="2"/>
      <x:c r="N6" s="2"/>
      <x:c r="O6" s="2"/>
      <x:c r="P6" s="2"/>
      <x:c r="Q6" s="2"/>
    </x:row>
    <x:row r="7" ht="23" customHeight="1">
      <x:c r="A7" s="2"/>
      <x:c r="B7" s="2"/>
      <x:c r="C7" s="2" t="str">
        <x:v>pg_2025q4</x:v>
      </x:c>
      <x:c r="D7" s="2" t="str">
        <x:v>2025-07-29</x:v>
      </x:c>
      <x:c r="E7" s="2" t="str">
        <x:v>2025-06-30</x:v>
      </x:c>
      <x:c r="F7" s="2" t="str">
        <x:v>https://www.pginvestor.com/news/news-details/2025/PG-Announces-Fourth-Quarter-and-Fiscal-Year-2025-Results/default.aspx</x:v>
      </x:c>
      <x:c r="G7" s="2"/>
      <x:c r="H7" s="2"/>
      <x:c r="I7" s="2"/>
      <x:c r="J7" s="2"/>
      <x:c r="K7" s="2"/>
      <x:c r="L7" s="2"/>
      <x:c r="M7" s="2"/>
      <x:c r="N7" s="2"/>
      <x:c r="O7" s="2"/>
      <x:c r="P7" s="2"/>
      <x:c r="Q7" s="2"/>
    </x:row>
    <x:row r="8" ht="23" customHeight="1">
      <x:c r="A8" s="2"/>
      <x:c r="B8" s="2"/>
      <x:c r="C8" s="2" t="str">
        <x:v>pg_2026q1</x:v>
      </x:c>
      <x:c r="D8" s="2" t="str">
        <x:v>2025-10-24</x:v>
      </x:c>
      <x:c r="E8" s="2" t="str">
        <x:v>2025-09-30</x:v>
      </x:c>
      <x:c r="F8" s="2" t="str">
        <x:v>https://www.pginvestor.com/news/news-details/2025/PG-Announces-Fiscal-Year-2026-First-Quarter-Results/default.aspx</x:v>
      </x:c>
      <x:c r="G8" s="2"/>
      <x:c r="H8" s="2"/>
      <x:c r="I8" s="2"/>
      <x:c r="J8" s="2"/>
      <x:c r="K8" s="2"/>
      <x:c r="L8" s="2"/>
      <x:c r="M8" s="2"/>
      <x:c r="N8" s="2"/>
      <x:c r="O8" s="2"/>
      <x:c r="P8" s="2"/>
      <x:c r="Q8" s="2"/>
    </x:row>
    <x:row r="9" ht="23" customHeight="1">
      <x:c r="A9" s="2"/>
      <x:c r="B9" s="2"/>
      <x:c r="C9" s="2" t="str">
        <x:v>pg_2026q2</x:v>
      </x:c>
      <x:c r="D9" s="2" t="str">
        <x:v>2026-01-22</x:v>
      </x:c>
      <x:c r="E9" s="2" t="str">
        <x:v>2025-12-31</x:v>
      </x:c>
      <x:c r="F9" s="2" t="str">
        <x:v>https://www.pginvestor.com/news/news-details/2026/PG-Announces-Fiscal-Year-2026-Second-Quarter-Results/default.aspx</x:v>
      </x:c>
      <x:c r="G9" s="2"/>
      <x:c r="H9" s="2"/>
      <x:c r="I9" s="2"/>
      <x:c r="J9" s="2"/>
      <x:c r="K9" s="2"/>
      <x:c r="L9" s="2"/>
      <x:c r="M9" s="2"/>
      <x:c r="N9" s="2"/>
      <x:c r="O9" s="2"/>
      <x:c r="P9" s="2"/>
      <x:c r="Q9" s="2"/>
    </x:row>
    <x:row r="10" ht="23" customHeight="1">
      <x:c r="A10" s="2"/>
      <x:c r="B10" s="2"/>
      <x:c r="C10" s="2" t="str">
        <x:v>pg_2026q3</x:v>
      </x:c>
      <x:c r="D10" s="2" t="str">
        <x:v>2026-04-24</x:v>
      </x:c>
      <x:c r="E10" s="2" t="str">
        <x:v>2026-03-31</x:v>
      </x:c>
      <x:c r="F10" s="2" t="str">
        <x:v>https://www.pginvestor.com/news/news-details/2026/PG-Announces-Fiscal-Year-2026-Third-Quarter-Results/default.aspx</x:v>
      </x:c>
      <x:c r="G10" s="2"/>
      <x:c r="H10" s="2"/>
      <x:c r="I10" s="2"/>
      <x:c r="J10" s="2"/>
      <x:c r="K10" s="2"/>
      <x:c r="L10" s="2"/>
      <x:c r="M10" s="2"/>
      <x:c r="N10" s="2"/>
      <x:c r="O10" s="2"/>
      <x:c r="P10" s="2"/>
      <x:c r="Q10" s="2"/>
    </x:row>
    <x:row r="11" ht="23" customHeight="1">
      <x:c r="A11" s="2"/>
      <x:c r="B11" s="2"/>
      <x:c r="C11" s="2"/>
      <x:c r="D11" s="2"/>
      <x:c r="E11" s="2"/>
      <x:c r="F11" s="2"/>
      <x:c r="G11" s="2"/>
      <x:c r="H11" s="2"/>
      <x:c r="I11" s="2"/>
      <x:c r="J11" s="2"/>
      <x:c r="K11" s="2"/>
      <x:c r="L11" s="2"/>
      <x:c r="M11" s="2"/>
      <x:c r="N11" s="2"/>
      <x:c r="O11" s="2"/>
      <x:c r="P11" s="2"/>
      <x:c r="Q11" s="2"/>
    </x:row>
    <x:row r="12" ht="23" customHeight="1">
      <x:c r="A12" s="2"/>
      <x:c r="B12" s="2"/>
      <x:c r="C12" s="2"/>
      <x:c r="D12" s="2"/>
      <x:c r="E12" s="2"/>
      <x:c r="F12" s="2"/>
      <x:c r="G12" s="2"/>
      <x:c r="H12" s="2"/>
      <x:c r="I12" s="2"/>
      <x:c r="J12" s="2"/>
      <x:c r="K12" s="2"/>
      <x:c r="L12" s="2"/>
      <x:c r="M12" s="2"/>
      <x:c r="N12" s="2"/>
      <x:c r="O12" s="2"/>
      <x:c r="P12" s="2"/>
      <x:c r="Q12" s="2"/>
    </x:row>
    <x:row r="13" ht="23" customHeight="1">
      <x:c r="A13" s="2"/>
      <x:c r="B13" s="2"/>
      <x:c r="C13" s="2"/>
      <x:c r="D13" s="2"/>
      <x:c r="E13" s="2"/>
      <x:c r="F13" s="2"/>
      <x:c r="G13" s="2"/>
      <x:c r="H13" s="2"/>
      <x:c r="I13" s="2"/>
      <x:c r="J13" s="2"/>
      <x:c r="K13" s="2"/>
      <x:c r="L13" s="2"/>
      <x:c r="M13" s="2"/>
      <x:c r="N13" s="2"/>
      <x:c r="O13" s="2"/>
      <x:c r="P13" s="2"/>
      <x:c r="Q13" s="2"/>
    </x:row>
    <x:row r="14" ht="23" customHeight="1">
      <x:c r="A14" s="2"/>
      <x:c r="B14" s="2"/>
      <x:c r="C14" s="2"/>
      <x:c r="D14" s="2"/>
      <x:c r="E14" s="2"/>
      <x:c r="F14" s="2"/>
      <x:c r="G14" s="2"/>
      <x:c r="H14" s="2"/>
      <x:c r="I14" s="2"/>
      <x:c r="J14" s="2"/>
      <x:c r="K14" s="2"/>
      <x:c r="L14" s="2"/>
      <x:c r="M14" s="2"/>
      <x:c r="N14" s="2"/>
      <x:c r="O14" s="2"/>
      <x:c r="P14" s="2"/>
      <x:c r="Q14" s="2"/>
    </x:row>
    <x:row r="15" ht="23" customHeight="1">
      <x:c r="A15" s="2"/>
      <x:c r="B15" s="2"/>
      <x:c r="C15" s="2"/>
      <x:c r="D15" s="2"/>
      <x:c r="E15" s="2"/>
      <x:c r="F15" s="2"/>
      <x:c r="G15" s="2"/>
      <x:c r="H15" s="2"/>
      <x:c r="I15" s="2"/>
      <x:c r="J15" s="2"/>
      <x:c r="K15" s="2"/>
      <x:c r="L15" s="2"/>
      <x:c r="M15" s="2"/>
      <x:c r="N15" s="2"/>
      <x:c r="O15" s="2"/>
      <x:c r="P15" s="2"/>
      <x:c r="Q15" s="2"/>
    </x:row>
    <x:row r="16" ht="23" customHeight="1">
      <x:c r="A16" s="2"/>
      <x:c r="B16" s="2"/>
      <x:c r="C16" s="2"/>
      <x:c r="D16" s="2"/>
      <x:c r="E16" s="2"/>
      <x:c r="F16" s="2"/>
      <x:c r="G16" s="2"/>
      <x:c r="H16" s="2"/>
      <x:c r="I16" s="2"/>
      <x:c r="J16" s="2"/>
      <x:c r="K16" s="2"/>
      <x:c r="L16" s="2"/>
      <x:c r="M16" s="2"/>
      <x:c r="N16" s="2"/>
      <x:c r="O16" s="2"/>
      <x:c r="P16" s="2"/>
      <x:c r="Q16" s="2"/>
    </x:row>
    <x:row r="17" ht="23" customHeight="1">
      <x:c r="A17" s="2"/>
      <x:c r="B17" s="2"/>
      <x:c r="C17" s="2"/>
      <x:c r="D17" s="2"/>
      <x:c r="E17" s="2"/>
      <x:c r="F17" s="2"/>
      <x:c r="G17" s="2"/>
      <x:c r="H17" s="2"/>
      <x:c r="I17" s="2"/>
      <x:c r="J17" s="2"/>
      <x:c r="K17" s="2"/>
      <x:c r="L17" s="2"/>
      <x:c r="M17" s="2"/>
      <x:c r="N17" s="2"/>
      <x:c r="O17" s="2"/>
      <x:c r="P17" s="2"/>
      <x:c r="Q17" s="2"/>
    </x:row>
    <x:row r="18" ht="23" customHeight="1">
      <x:c r="A18" s="2"/>
      <x:c r="B18" s="2"/>
      <x:c r="C18" s="2"/>
      <x:c r="D18" s="2"/>
      <x:c r="E18" s="2"/>
      <x:c r="F18" s="2"/>
      <x:c r="G18" s="2"/>
      <x:c r="H18" s="2"/>
      <x:c r="I18" s="2"/>
      <x:c r="J18" s="2"/>
      <x:c r="K18" s="2"/>
      <x:c r="L18" s="2"/>
      <x:c r="M18" s="2"/>
      <x:c r="N18" s="2"/>
      <x:c r="O18" s="2"/>
      <x:c r="P18" s="2"/>
      <x:c r="Q18" s="2"/>
    </x:row>
    <x:row r="19" ht="40" customHeight="1">
      <x:c r="A19" s="2"/>
      <x:c r="B19" s="2"/>
      <x:c r="C19" s="13" t="str">
        <x:v>Check</x:v>
      </x:c>
      <x:c r="D19" s="13" t="str">
        <x:v>Difference</x:v>
      </x:c>
      <x:c r="E19" s="13" t="str">
        <x:v>Tolerance</x:v>
      </x:c>
      <x:c r="F19" s="2"/>
      <x:c r="G19" s="2"/>
      <x:c r="H19" s="2"/>
      <x:c r="I19" s="2"/>
      <x:c r="J19" s="2"/>
      <x:c r="K19" s="2"/>
      <x:c r="L19" s="2"/>
      <x:c r="M19" s="2"/>
      <x:c r="N19" s="2"/>
      <x:c r="O19" s="2"/>
      <x:c r="P19" s="2"/>
      <x:c r="Q19" s="2"/>
    </x:row>
    <x:row r="20" ht="23" customHeight="1">
      <x:c r="A20" s="2"/>
      <x:c r="B20" s="2"/>
      <x:c r="C20" s="2" t="str">
        <x:v>Initial May base model vs frozen engine</x:v>
      </x:c>
      <x:c r="D20" s="28" t="n">
        <x:f>'Scenario Model'!D14-3624.5391408</x:f>
        <x:v>0</x:v>
      </x:c>
      <x:c r="E20" s="29" t="n">
        <x:v>0.000001</x:v>
      </x:c>
      <x:c r="F20" s="2"/>
      <x:c r="G20" s="2"/>
      <x:c r="H20" s="2"/>
      <x:c r="I20" s="2"/>
      <x:c r="J20" s="2"/>
      <x:c r="K20" s="2"/>
      <x:c r="L20" s="2"/>
      <x:c r="M20" s="2"/>
      <x:c r="N20" s="2"/>
      <x:c r="O20" s="2"/>
      <x:c r="P20" s="2"/>
      <x:c r="Q20" s="2"/>
    </x:row>
    <x:row r="21" ht="23" customHeight="1">
      <x:c r="A21" s="2"/>
      <x:c r="B21" s="2"/>
      <x:c r="C21" s="2"/>
      <x:c r="D21" s="2"/>
      <x:c r="E21" s="2"/>
      <x:c r="F21" s="2"/>
      <x:c r="G21" s="2"/>
      <x:c r="H21" s="2"/>
      <x:c r="I21" s="2"/>
      <x:c r="J21" s="2"/>
      <x:c r="K21" s="2"/>
      <x:c r="L21" s="2"/>
      <x:c r="M21" s="2"/>
      <x:c r="N21" s="2"/>
      <x:c r="O21" s="2"/>
      <x:c r="P21" s="2"/>
      <x:c r="Q21" s="2"/>
    </x:row>
    <x:row r="22" ht="23" customHeight="1">
      <x:c r="A22" s="2"/>
      <x:c r="B22" s="2"/>
      <x:c r="C22" s="2" t="str">
        <x:v>This comparison changes when you edit assumptions; it checks the supplied initial model only.</x:v>
      </x:c>
      <x:c r="D22" s="2"/>
      <x:c r="E22" s="2"/>
      <x:c r="F22" s="2"/>
      <x:c r="G22" s="2"/>
      <x:c r="H22" s="2"/>
      <x:c r="I22" s="2"/>
      <x:c r="J22" s="2"/>
      <x:c r="K22" s="2"/>
      <x:c r="L22" s="2"/>
      <x:c r="M22" s="2"/>
      <x:c r="N22" s="2"/>
      <x:c r="O22" s="2"/>
      <x:c r="P22" s="2"/>
      <x:c r="Q22" s="2"/>
    </x:row>
    <x:row r="23" ht="23" customHeight="1">
      <x:c r="A23" s="2"/>
      <x:c r="B23" s="2"/>
      <x:c r="C23" s="2"/>
      <x:c r="D23" s="2"/>
      <x:c r="E23" s="2"/>
      <x:c r="F23" s="2"/>
      <x:c r="G23" s="2"/>
      <x:c r="H23" s="2"/>
      <x:c r="I23" s="2"/>
      <x:c r="J23" s="2"/>
      <x:c r="K23" s="2"/>
      <x:c r="L23" s="2"/>
      <x:c r="M23" s="2"/>
      <x:c r="N23" s="2"/>
      <x:c r="O23" s="2"/>
      <x:c r="P23" s="2"/>
      <x:c r="Q23" s="2"/>
    </x:row>
    <x:row r="24" ht="23" customHeight="1">
      <x:c r="A24" s="2"/>
      <x:c r="B24" s="2"/>
      <x:c r="C24" s="2" t="str">
        <x:v>Source values are USD millions unless labelled per share, ratio or shares.</x:v>
      </x:c>
      <x:c r="D24" s="2"/>
      <x:c r="E24" s="2"/>
      <x:c r="F24" s="2"/>
      <x:c r="G24" s="2"/>
      <x:c r="H24" s="2"/>
      <x:c r="I24" s="2"/>
      <x:c r="J24" s="2"/>
      <x:c r="K24" s="2"/>
      <x:c r="L24" s="2"/>
      <x:c r="M24" s="2"/>
      <x:c r="N24" s="2"/>
      <x:c r="O24" s="2"/>
      <x:c r="P24" s="2"/>
      <x:c r="Q24" s="2"/>
    </x:row>
    <x:row r="25" ht="23" customHeight="1">
      <x:c r="A25" s="2"/>
      <x:c r="B25" s="2"/>
      <x:c r="C25" s="2"/>
      <x:c r="D25" s="2"/>
      <x:c r="E25" s="2"/>
      <x:c r="F25" s="2"/>
      <x:c r="G25" s="2"/>
      <x:c r="H25" s="2"/>
      <x:c r="I25" s="2"/>
      <x:c r="J25" s="2"/>
      <x:c r="K25" s="2"/>
      <x:c r="L25" s="2"/>
      <x:c r="M25" s="2"/>
      <x:c r="N25" s="2"/>
      <x:c r="O25" s="2"/>
      <x:c r="P25" s="2"/>
      <x:c r="Q25" s="2"/>
    </x:row>
    <x:row r="26" ht="23" customHeight="1">
      <x:c r="A26" s="2"/>
      <x:c r="B26" s="2"/>
      <x:c r="C26" s="2" t="str">
        <x:v>Each historical value retains a source mapping in the accompanying CSV.</x:v>
      </x:c>
      <x:c r="D26" s="2"/>
      <x:c r="E26" s="2"/>
      <x:c r="F26" s="2"/>
      <x:c r="G26" s="2"/>
      <x:c r="H26" s="2"/>
      <x:c r="I26" s="2"/>
      <x:c r="J26" s="2"/>
      <x:c r="K26" s="2"/>
      <x:c r="L26" s="2"/>
      <x:c r="M26" s="2"/>
      <x:c r="N26" s="2"/>
      <x:c r="O26" s="2"/>
      <x:c r="P26" s="2"/>
      <x:c r="Q26" s="2"/>
    </x:row>
    <x:row r="27" ht="23" customHeight="1">
      <x:c r="A27" s="2"/>
      <x:c r="B27" s="2"/>
      <x:c r="C27" s="2"/>
      <x:c r="D27" s="2"/>
      <x:c r="E27" s="2"/>
      <x:c r="F27" s="2"/>
      <x:c r="G27" s="2"/>
      <x:c r="H27" s="2"/>
      <x:c r="I27" s="2"/>
      <x:c r="J27" s="2"/>
      <x:c r="K27" s="2"/>
      <x:c r="L27" s="2"/>
      <x:c r="M27" s="2"/>
      <x:c r="N27" s="2"/>
      <x:c r="O27" s="2"/>
      <x:c r="P27" s="2"/>
      <x:c r="Q27" s="2"/>
    </x:row>
    <x:row r="28" ht="23" customHeight="1">
      <x:c r="A28" s="2"/>
      <x:c r="B28" s="2"/>
      <x:c r="C28" s="2"/>
      <x:c r="D28" s="2"/>
      <x:c r="E28" s="2"/>
      <x:c r="F28" s="2"/>
      <x:c r="G28" s="2"/>
      <x:c r="H28" s="2"/>
      <x:c r="I28" s="2"/>
      <x:c r="J28" s="2"/>
      <x:c r="K28" s="2"/>
      <x:c r="L28" s="2"/>
      <x:c r="M28" s="2"/>
      <x:c r="N28" s="2"/>
      <x:c r="O28" s="2"/>
      <x:c r="P28" s="2"/>
      <x:c r="Q28" s="2"/>
    </x:row>
    <x:row r="29" ht="23" customHeight="1">
      <x:c r="A29" s="2"/>
      <x:c r="B29" s="2"/>
      <x:c r="C29" s="2"/>
      <x:c r="D29" s="2"/>
      <x:c r="E29" s="2"/>
      <x:c r="F29" s="2"/>
      <x:c r="G29" s="2"/>
      <x:c r="H29" s="2"/>
      <x:c r="I29" s="2"/>
      <x:c r="J29" s="2"/>
      <x:c r="K29" s="2"/>
      <x:c r="L29" s="2"/>
      <x:c r="M29" s="2"/>
      <x:c r="N29" s="2"/>
      <x:c r="O29" s="2"/>
      <x:c r="P29" s="2"/>
      <x:c r="Q29" s="2"/>
    </x:row>
    <x:row r="30" ht="23" customHeight="1">
      <x:c r="A30" s="2"/>
      <x:c r="B30" s="2"/>
      <x:c r="C30" s="2"/>
      <x:c r="D30" s="2"/>
      <x:c r="E30" s="2"/>
      <x:c r="F30" s="2"/>
      <x:c r="G30" s="2"/>
      <x:c r="H30" s="2"/>
      <x:c r="I30" s="2"/>
      <x:c r="J30" s="2"/>
      <x:c r="K30" s="2"/>
      <x:c r="L30" s="2"/>
      <x:c r="M30" s="2"/>
      <x:c r="N30" s="2"/>
      <x:c r="O30" s="2"/>
      <x:c r="P30" s="2"/>
      <x:c r="Q30" s="2"/>
    </x:row>
    <x:row r="31" ht="23" customHeight="1">
      <x:c r="A31" s="2"/>
      <x:c r="B31" s="2"/>
      <x:c r="C31" s="2"/>
      <x:c r="D31" s="2"/>
      <x:c r="E31" s="2"/>
      <x:c r="F31" s="2"/>
      <x:c r="G31" s="2"/>
      <x:c r="H31" s="2"/>
      <x:c r="I31" s="2"/>
      <x:c r="J31" s="2"/>
      <x:c r="K31" s="2"/>
      <x:c r="L31" s="2"/>
      <x:c r="M31" s="2"/>
      <x:c r="N31" s="2"/>
      <x:c r="O31" s="2"/>
      <x:c r="P31" s="2"/>
      <x:c r="Q31" s="2"/>
    </x:row>
    <x:row r="32" ht="23" customHeight="1">
      <x:c r="A32" s="2"/>
      <x:c r="B32" s="2"/>
      <x:c r="C32" s="2"/>
      <x:c r="D32" s="2"/>
      <x:c r="E32" s="2"/>
      <x:c r="F32" s="2"/>
      <x:c r="G32" s="2"/>
      <x:c r="H32" s="2"/>
      <x:c r="I32" s="2"/>
      <x:c r="J32" s="2"/>
      <x:c r="K32" s="2"/>
      <x:c r="L32" s="2"/>
      <x:c r="M32" s="2"/>
      <x:c r="N32" s="2"/>
      <x:c r="O32" s="2"/>
      <x:c r="P32" s="2"/>
      <x:c r="Q32" s="2"/>
    </x:row>
    <x:row r="33" ht="23" customHeight="1">
      <x:c r="A33" s="2"/>
      <x:c r="B33" s="2"/>
      <x:c r="C33" s="2"/>
      <x:c r="D33" s="2"/>
      <x:c r="E33" s="2"/>
      <x:c r="F33" s="2"/>
      <x:c r="G33" s="2"/>
      <x:c r="H33" s="2"/>
      <x:c r="I33" s="2"/>
      <x:c r="J33" s="2"/>
      <x:c r="K33" s="2"/>
      <x:c r="L33" s="2"/>
      <x:c r="M33" s="2"/>
      <x:c r="N33" s="2"/>
      <x:c r="O33" s="2"/>
      <x:c r="P33" s="2"/>
      <x:c r="Q33" s="2"/>
    </x:row>
    <x:row r="34" ht="23" customHeight="1">
      <x:c r="A34" s="2"/>
      <x:c r="B34" s="2"/>
      <x:c r="C34" s="2"/>
      <x:c r="D34" s="2"/>
      <x:c r="E34" s="2"/>
      <x:c r="F34" s="2"/>
      <x:c r="G34" s="2"/>
      <x:c r="H34" s="2"/>
      <x:c r="I34" s="2"/>
      <x:c r="J34" s="2"/>
      <x:c r="K34" s="2"/>
      <x:c r="L34" s="2"/>
      <x:c r="M34" s="2"/>
      <x:c r="N34" s="2"/>
      <x:c r="O34" s="2"/>
      <x:c r="P34" s="2"/>
      <x:c r="Q34" s="2"/>
    </x:row>
    <x:row r="35" ht="23" customHeight="1">
      <x:c r="A35" s="2"/>
      <x:c r="B35" s="2"/>
      <x:c r="C35" s="2"/>
      <x:c r="D35" s="2"/>
      <x:c r="E35" s="2"/>
      <x:c r="F35" s="2"/>
      <x:c r="G35" s="2"/>
      <x:c r="H35" s="2"/>
      <x:c r="I35" s="2"/>
      <x:c r="J35" s="2"/>
      <x:c r="K35" s="2"/>
      <x:c r="L35" s="2"/>
      <x:c r="M35" s="2"/>
      <x:c r="N35" s="2"/>
      <x:c r="O35" s="2"/>
      <x:c r="P35" s="2"/>
      <x:c r="Q35" s="2"/>
    </x:row>
    <x:row r="36" ht="23" customHeight="1">
      <x:c r="A36" s="2"/>
      <x:c r="B36" s="2"/>
      <x:c r="C36" s="2"/>
      <x:c r="D36" s="2"/>
      <x:c r="E36" s="2"/>
      <x:c r="F36" s="2"/>
      <x:c r="G36" s="2"/>
      <x:c r="H36" s="2"/>
      <x:c r="I36" s="2"/>
      <x:c r="J36" s="2"/>
      <x:c r="K36" s="2"/>
      <x:c r="L36" s="2"/>
      <x:c r="M36" s="2"/>
      <x:c r="N36" s="2"/>
      <x:c r="O36" s="2"/>
      <x:c r="P36" s="2"/>
      <x:c r="Q36" s="2"/>
    </x:row>
    <x:row r="37" ht="23" customHeight="1">
      <x:c r="A37" s="2"/>
      <x:c r="B37" s="2"/>
      <x:c r="C37" s="2"/>
      <x:c r="D37" s="2"/>
      <x:c r="E37" s="2"/>
      <x:c r="F37" s="2"/>
      <x:c r="G37" s="2"/>
      <x:c r="H37" s="2"/>
      <x:c r="I37" s="2"/>
      <x:c r="J37" s="2"/>
      <x:c r="K37" s="2"/>
      <x:c r="L37" s="2"/>
      <x:c r="M37" s="2"/>
      <x:c r="N37" s="2"/>
      <x:c r="O37" s="2"/>
      <x:c r="P37" s="2"/>
      <x:c r="Q37" s="2"/>
    </x:row>
    <x:row r="38" ht="23" customHeight="1">
      <x:c r="A38" s="2"/>
      <x:c r="B38" s="2"/>
      <x:c r="C38" s="2"/>
      <x:c r="D38" s="2"/>
      <x:c r="E38" s="2"/>
      <x:c r="F38" s="2"/>
      <x:c r="G38" s="2"/>
      <x:c r="H38" s="2"/>
      <x:c r="I38" s="2"/>
      <x:c r="J38" s="2"/>
      <x:c r="K38" s="2"/>
      <x:c r="L38" s="2"/>
      <x:c r="M38" s="2"/>
      <x:c r="N38" s="2"/>
      <x:c r="O38" s="2"/>
      <x:c r="P38" s="2"/>
      <x:c r="Q38" s="2"/>
    </x:row>
    <x:row r="39" ht="23" customHeight="1">
      <x:c r="A39" s="2"/>
      <x:c r="B39" s="2"/>
      <x:c r="C39" s="2"/>
      <x:c r="D39" s="2"/>
      <x:c r="E39" s="2"/>
      <x:c r="F39" s="2"/>
      <x:c r="G39" s="2"/>
      <x:c r="H39" s="2"/>
      <x:c r="I39" s="2"/>
      <x:c r="J39" s="2"/>
      <x:c r="K39" s="2"/>
      <x:c r="L39" s="2"/>
      <x:c r="M39" s="2"/>
      <x:c r="N39" s="2"/>
      <x:c r="O39" s="2"/>
      <x:c r="P39" s="2"/>
      <x:c r="Q39" s="2"/>
    </x:row>
    <x:row r="40" ht="23" customHeight="1">
      <x:c r="A40" s="2"/>
      <x:c r="B40" s="2"/>
      <x:c r="C40" s="2"/>
      <x:c r="D40" s="2"/>
      <x:c r="E40" s="2"/>
      <x:c r="F40" s="2"/>
      <x:c r="G40" s="2"/>
      <x:c r="H40" s="2"/>
      <x:c r="I40" s="2"/>
      <x:c r="J40" s="2"/>
      <x:c r="K40" s="2"/>
      <x:c r="L40" s="2"/>
      <x:c r="M40" s="2"/>
      <x:c r="N40" s="2"/>
      <x:c r="O40" s="2"/>
      <x:c r="P40" s="2"/>
      <x:c r="Q40" s="2"/>
    </x:row>
    <x:row r="41" ht="23" customHeight="1">
      <x:c r="A41" s="2"/>
      <x:c r="B41" s="2"/>
      <x:c r="C41" s="2"/>
      <x:c r="D41" s="2"/>
      <x:c r="E41" s="2"/>
      <x:c r="F41" s="2"/>
      <x:c r="G41" s="2"/>
      <x:c r="H41" s="2"/>
      <x:c r="I41" s="2"/>
      <x:c r="J41" s="2"/>
      <x:c r="K41" s="2"/>
      <x:c r="L41" s="2"/>
      <x:c r="M41" s="2"/>
      <x:c r="N41" s="2"/>
      <x:c r="O41" s="2"/>
      <x:c r="P41" s="2"/>
      <x:c r="Q41" s="2"/>
    </x:row>
    <x:row r="42" ht="23" customHeight="1">
      <x:c r="A42" s="2"/>
      <x:c r="B42" s="2"/>
      <x:c r="C42" s="2"/>
      <x:c r="D42" s="2"/>
      <x:c r="E42" s="2"/>
      <x:c r="F42" s="2"/>
      <x:c r="G42" s="2"/>
      <x:c r="H42" s="2"/>
      <x:c r="I42" s="2"/>
      <x:c r="J42" s="2"/>
      <x:c r="K42" s="2"/>
      <x:c r="L42" s="2"/>
      <x:c r="M42" s="2"/>
      <x:c r="N42" s="2"/>
      <x:c r="O42" s="2"/>
      <x:c r="P42" s="2"/>
      <x:c r="Q42" s="2"/>
    </x:row>
    <x:row r="43" ht="23" customHeight="1">
      <x:c r="A43" s="2"/>
      <x:c r="B43" s="2"/>
      <x:c r="C43" s="2"/>
      <x:c r="D43" s="2"/>
      <x:c r="E43" s="2"/>
      <x:c r="F43" s="2"/>
      <x:c r="G43" s="2"/>
      <x:c r="H43" s="2"/>
      <x:c r="I43" s="2"/>
      <x:c r="J43" s="2"/>
      <x:c r="K43" s="2"/>
      <x:c r="L43" s="2"/>
      <x:c r="M43" s="2"/>
      <x:c r="N43" s="2"/>
      <x:c r="O43" s="2"/>
      <x:c r="P43" s="2"/>
      <x:c r="Q43" s="2"/>
    </x:row>
    <x:row r="44" ht="23" customHeight="1">
      <x:c r="A44" s="2"/>
      <x:c r="B44" s="2"/>
      <x:c r="C44" s="2"/>
      <x:c r="D44" s="2"/>
      <x:c r="E44" s="2"/>
      <x:c r="F44" s="2"/>
      <x:c r="G44" s="2"/>
      <x:c r="H44" s="2"/>
      <x:c r="I44" s="2"/>
      <x:c r="J44" s="2"/>
      <x:c r="K44" s="2"/>
      <x:c r="L44" s="2"/>
      <x:c r="M44" s="2"/>
      <x:c r="N44" s="2"/>
      <x:c r="O44" s="2"/>
      <x:c r="P44" s="2"/>
      <x:c r="Q44" s="2"/>
    </x:row>
    <x:row r="45" ht="23" customHeight="1">
      <x:c r="A45" s="2"/>
      <x:c r="B45" s="2"/>
      <x:c r="C45" s="2"/>
      <x:c r="D45" s="2"/>
      <x:c r="E45" s="2"/>
      <x:c r="F45" s="2"/>
      <x:c r="G45" s="2"/>
      <x:c r="H45" s="2"/>
      <x:c r="I45" s="2"/>
      <x:c r="J45" s="2"/>
      <x:c r="K45" s="2"/>
      <x:c r="L45" s="2"/>
      <x:c r="M45" s="2"/>
      <x:c r="N45" s="2"/>
      <x:c r="O45" s="2"/>
      <x:c r="P45" s="2"/>
      <x:c r="Q45" s="2"/>
    </x:row>
    <x:row r="46" ht="23" customHeight="1">
      <x:c r="A46" s="2"/>
      <x:c r="B46" s="2"/>
      <x:c r="C46" s="2"/>
      <x:c r="D46" s="2"/>
      <x:c r="E46" s="2"/>
      <x:c r="F46" s="2"/>
      <x:c r="G46" s="2"/>
      <x:c r="H46" s="2"/>
      <x:c r="I46" s="2"/>
      <x:c r="J46" s="2"/>
      <x:c r="K46" s="2"/>
      <x:c r="L46" s="2"/>
      <x:c r="M46" s="2"/>
      <x:c r="N46" s="2"/>
      <x:c r="O46" s="2"/>
      <x:c r="P46" s="2"/>
      <x:c r="Q46" s="2"/>
    </x:row>
    <x:row r="47" ht="23" customHeight="1">
      <x:c r="A47" s="2"/>
      <x:c r="B47" s="2"/>
      <x:c r="C47" s="2"/>
      <x:c r="D47" s="2"/>
      <x:c r="E47" s="2"/>
      <x:c r="F47" s="2"/>
      <x:c r="G47" s="2"/>
      <x:c r="H47" s="2"/>
      <x:c r="I47" s="2"/>
      <x:c r="J47" s="2"/>
      <x:c r="K47" s="2"/>
      <x:c r="L47" s="2"/>
      <x:c r="M47" s="2"/>
      <x:c r="N47" s="2"/>
      <x:c r="O47" s="2"/>
      <x:c r="P47" s="2"/>
      <x:c r="Q47" s="2"/>
    </x:row>
    <x:row r="48" ht="23" customHeight="1">
      <x:c r="A48" s="2"/>
      <x:c r="B48" s="2"/>
      <x:c r="C48" s="2"/>
      <x:c r="D48" s="2"/>
      <x:c r="E48" s="2"/>
      <x:c r="F48" s="2"/>
      <x:c r="G48" s="2"/>
      <x:c r="H48" s="2"/>
      <x:c r="I48" s="2"/>
      <x:c r="J48" s="2"/>
      <x:c r="K48" s="2"/>
      <x:c r="L48" s="2"/>
      <x:c r="M48" s="2"/>
      <x:c r="N48" s="2"/>
      <x:c r="O48" s="2"/>
      <x:c r="P48" s="2"/>
      <x:c r="Q48" s="2"/>
    </x:row>
    <x:row r="49" ht="23" customHeight="1">
      <x:c r="A49" s="2"/>
      <x:c r="B49" s="2"/>
      <x:c r="C49" s="2"/>
      <x:c r="D49" s="2"/>
      <x:c r="E49" s="2"/>
      <x:c r="F49" s="2"/>
      <x:c r="G49" s="2"/>
      <x:c r="H49" s="2"/>
      <x:c r="I49" s="2"/>
      <x:c r="J49" s="2"/>
      <x:c r="K49" s="2"/>
      <x:c r="L49" s="2"/>
      <x:c r="M49" s="2"/>
      <x:c r="N49" s="2"/>
      <x:c r="O49" s="2"/>
      <x:c r="P49" s="2"/>
      <x:c r="Q49" s="2"/>
    </x:row>
    <x:row r="50" ht="23" customHeight="1">
      <x:c r="A50" s="2"/>
      <x:c r="B50" s="2"/>
      <x:c r="C50" s="2"/>
      <x:c r="D50" s="2"/>
      <x:c r="E50" s="2"/>
      <x:c r="F50" s="2"/>
      <x:c r="G50" s="2"/>
      <x:c r="H50" s="2"/>
      <x:c r="I50" s="2"/>
      <x:c r="J50" s="2"/>
      <x:c r="K50" s="2"/>
      <x:c r="L50" s="2"/>
      <x:c r="M50" s="2"/>
      <x:c r="N50" s="2"/>
      <x:c r="O50" s="2"/>
      <x:c r="P50" s="2"/>
      <x:c r="Q50" s="2"/>
    </x:row>
    <x:row r="51" ht="23" customHeight="1">
      <x:c r="A51" s="2"/>
      <x:c r="B51" s="2"/>
      <x:c r="C51" s="2"/>
      <x:c r="D51" s="2"/>
      <x:c r="E51" s="2"/>
      <x:c r="F51" s="2"/>
      <x:c r="G51" s="2"/>
      <x:c r="H51" s="2"/>
      <x:c r="I51" s="2"/>
      <x:c r="J51" s="2"/>
      <x:c r="K51" s="2"/>
      <x:c r="L51" s="2"/>
      <x:c r="M51" s="2"/>
      <x:c r="N51" s="2"/>
      <x:c r="O51" s="2"/>
      <x:c r="P51" s="2"/>
      <x:c r="Q51" s="2"/>
    </x:row>
    <x:row r="52" ht="23" customHeight="1">
      <x:c r="A52" s="2"/>
      <x:c r="B52" s="2"/>
      <x:c r="C52" s="2"/>
      <x:c r="D52" s="2"/>
      <x:c r="E52" s="2"/>
      <x:c r="F52" s="2"/>
      <x:c r="G52" s="2"/>
      <x:c r="H52" s="2"/>
      <x:c r="I52" s="2"/>
      <x:c r="J52" s="2"/>
      <x:c r="K52" s="2"/>
      <x:c r="L52" s="2"/>
      <x:c r="M52" s="2"/>
      <x:c r="N52" s="2"/>
      <x:c r="O52" s="2"/>
      <x:c r="P52" s="2"/>
      <x:c r="Q52" s="2"/>
    </x:row>
    <x:row r="53" ht="23" customHeight="1">
      <x:c r="A53" s="2"/>
      <x:c r="B53" s="2"/>
      <x:c r="C53" s="2"/>
      <x:c r="D53" s="2"/>
      <x:c r="E53" s="2"/>
      <x:c r="F53" s="2"/>
      <x:c r="G53" s="2"/>
      <x:c r="H53" s="2"/>
      <x:c r="I53" s="2"/>
      <x:c r="J53" s="2"/>
      <x:c r="K53" s="2"/>
      <x:c r="L53" s="2"/>
      <x:c r="M53" s="2"/>
      <x:c r="N53" s="2"/>
      <x:c r="O53" s="2"/>
      <x:c r="P53" s="2"/>
      <x:c r="Q53" s="2"/>
    </x:row>
    <x:row r="54" ht="23" customHeight="1">
      <x:c r="A54" s="2"/>
      <x:c r="B54" s="2"/>
      <x:c r="C54" s="2"/>
      <x:c r="D54" s="2"/>
      <x:c r="E54" s="2"/>
      <x:c r="F54" s="2"/>
      <x:c r="G54" s="2"/>
      <x:c r="H54" s="2"/>
      <x:c r="I54" s="2"/>
      <x:c r="J54" s="2"/>
      <x:c r="K54" s="2"/>
      <x:c r="L54" s="2"/>
      <x:c r="M54" s="2"/>
      <x:c r="N54" s="2"/>
      <x:c r="O54" s="2"/>
      <x:c r="P54" s="2"/>
      <x:c r="Q54" s="2"/>
    </x:row>
    <x:row r="55" ht="23" customHeight="1">
      <x:c r="A55" s="2"/>
      <x:c r="B55" s="2"/>
      <x:c r="C55" s="2"/>
      <x:c r="D55" s="2"/>
      <x:c r="E55" s="2"/>
      <x:c r="F55" s="2"/>
      <x:c r="G55" s="2"/>
      <x:c r="H55" s="2"/>
      <x:c r="I55" s="2"/>
      <x:c r="J55" s="2"/>
      <x:c r="K55" s="2"/>
      <x:c r="L55" s="2"/>
      <x:c r="M55" s="2"/>
      <x:c r="N55" s="2"/>
      <x:c r="O55" s="2"/>
      <x:c r="P55" s="2"/>
      <x:c r="Q55" s="2"/>
    </x:row>
    <x:row r="56" ht="23" customHeight="1">
      <x:c r="A56" s="2"/>
      <x:c r="B56" s="2"/>
      <x:c r="C56" s="2"/>
      <x:c r="D56" s="2"/>
      <x:c r="E56" s="2"/>
      <x:c r="F56" s="2"/>
      <x:c r="G56" s="2"/>
      <x:c r="H56" s="2"/>
      <x:c r="I56" s="2"/>
      <x:c r="J56" s="2"/>
      <x:c r="K56" s="2"/>
      <x:c r="L56" s="2"/>
      <x:c r="M56" s="2"/>
      <x:c r="N56" s="2"/>
      <x:c r="O56" s="2"/>
      <x:c r="P56" s="2"/>
      <x:c r="Q56" s="2"/>
    </x:row>
    <x:row r="57" ht="23" customHeight="1">
      <x:c r="A57" s="2"/>
      <x:c r="B57" s="2"/>
      <x:c r="C57" s="2"/>
      <x:c r="D57" s="2"/>
      <x:c r="E57" s="2"/>
      <x:c r="F57" s="2"/>
      <x:c r="G57" s="2"/>
      <x:c r="H57" s="2"/>
      <x:c r="I57" s="2"/>
      <x:c r="J57" s="2"/>
      <x:c r="K57" s="2"/>
      <x:c r="L57" s="2"/>
      <x:c r="M57" s="2"/>
      <x:c r="N57" s="2"/>
      <x:c r="O57" s="2"/>
      <x:c r="P57" s="2"/>
      <x:c r="Q57" s="2"/>
    </x:row>
    <x:row r="58" ht="23" customHeight="1">
      <x:c r="A58" s="2"/>
      <x:c r="B58" s="2"/>
      <x:c r="C58" s="2"/>
      <x:c r="D58" s="2"/>
      <x:c r="E58" s="2"/>
      <x:c r="F58" s="2"/>
      <x:c r="G58" s="2"/>
      <x:c r="H58" s="2"/>
      <x:c r="I58" s="2"/>
      <x:c r="J58" s="2"/>
      <x:c r="K58" s="2"/>
      <x:c r="L58" s="2"/>
      <x:c r="M58" s="2"/>
      <x:c r="N58" s="2"/>
      <x:c r="O58" s="2"/>
      <x:c r="P58" s="2"/>
      <x:c r="Q58" s="2"/>
    </x:row>
    <x:row r="59" ht="23" customHeight="1">
      <x:c r="A59" s="2"/>
      <x:c r="B59" s="2"/>
      <x:c r="C59" s="2"/>
      <x:c r="D59" s="2"/>
      <x:c r="E59" s="2"/>
      <x:c r="F59" s="2"/>
      <x:c r="G59" s="2"/>
      <x:c r="H59" s="2"/>
      <x:c r="I59" s="2"/>
      <x:c r="J59" s="2"/>
      <x:c r="K59" s="2"/>
      <x:c r="L59" s="2"/>
      <x:c r="M59" s="2"/>
      <x:c r="N59" s="2"/>
      <x:c r="O59" s="2"/>
      <x:c r="P59" s="2"/>
      <x:c r="Q59" s="2"/>
    </x:row>
    <x:row r="60" ht="23" customHeight="1">
      <x:c r="A60" s="2"/>
      <x:c r="B60" s="2"/>
      <x:c r="C60" s="2"/>
      <x:c r="D60" s="2"/>
      <x:c r="E60" s="2"/>
      <x:c r="F60" s="2"/>
      <x:c r="G60" s="2"/>
      <x:c r="H60" s="2"/>
      <x:c r="I60" s="2"/>
      <x:c r="J60" s="2"/>
      <x:c r="K60" s="2"/>
      <x:c r="L60" s="2"/>
      <x:c r="M60" s="2"/>
      <x:c r="N60" s="2"/>
      <x:c r="O60" s="2"/>
      <x:c r="P60" s="2"/>
      <x:c r="Q60" s="2"/>
    </x:row>
    <x:row r="61" ht="23" customHeight="1">
      <x:c r="A61" s="2"/>
      <x:c r="B61" s="2"/>
      <x:c r="C61" s="2"/>
      <x:c r="D61" s="2"/>
      <x:c r="E61" s="2"/>
      <x:c r="F61" s="2"/>
      <x:c r="G61" s="2"/>
      <x:c r="H61" s="2"/>
      <x:c r="I61" s="2"/>
      <x:c r="J61" s="2"/>
      <x:c r="K61" s="2"/>
      <x:c r="L61" s="2"/>
      <x:c r="M61" s="2"/>
      <x:c r="N61" s="2"/>
      <x:c r="O61" s="2"/>
      <x:c r="P61" s="2"/>
      <x:c r="Q61" s="2"/>
    </x:row>
    <x:row r="62" ht="23" customHeight="1">
      <x:c r="A62" s="2"/>
      <x:c r="B62" s="2"/>
      <x:c r="C62" s="2"/>
      <x:c r="D62" s="2"/>
      <x:c r="E62" s="2"/>
      <x:c r="F62" s="2"/>
      <x:c r="G62" s="2"/>
      <x:c r="H62" s="2"/>
      <x:c r="I62" s="2"/>
      <x:c r="J62" s="2"/>
      <x:c r="K62" s="2"/>
      <x:c r="L62" s="2"/>
      <x:c r="M62" s="2"/>
      <x:c r="N62" s="2"/>
      <x:c r="O62" s="2"/>
      <x:c r="P62" s="2"/>
      <x:c r="Q62" s="2"/>
    </x:row>
    <x:row r="63" ht="23" customHeight="1">
      <x:c r="A63" s="2"/>
      <x:c r="B63" s="2"/>
      <x:c r="C63" s="2"/>
      <x:c r="D63" s="2"/>
      <x:c r="E63" s="2"/>
      <x:c r="F63" s="2"/>
      <x:c r="G63" s="2"/>
      <x:c r="H63" s="2"/>
      <x:c r="I63" s="2"/>
      <x:c r="J63" s="2"/>
      <x:c r="K63" s="2"/>
      <x:c r="L63" s="2"/>
      <x:c r="M63" s="2"/>
      <x:c r="N63" s="2"/>
      <x:c r="O63" s="2"/>
      <x:c r="P63" s="2"/>
      <x:c r="Q63" s="2"/>
    </x:row>
    <x:row r="64" ht="23" customHeight="1">
      <x:c r="A64" s="2"/>
      <x:c r="B64" s="2"/>
      <x:c r="C64" s="2"/>
      <x:c r="D64" s="2"/>
      <x:c r="E64" s="2"/>
      <x:c r="F64" s="2"/>
      <x:c r="G64" s="2"/>
      <x:c r="H64" s="2"/>
      <x:c r="I64" s="2"/>
      <x:c r="J64" s="2"/>
      <x:c r="K64" s="2"/>
      <x:c r="L64" s="2"/>
      <x:c r="M64" s="2"/>
      <x:c r="N64" s="2"/>
      <x:c r="O64" s="2"/>
      <x:c r="P64" s="2"/>
      <x:c r="Q64" s="2"/>
    </x:row>
    <x:row r="65" ht="23" customHeight="1">
      <x:c r="A65" s="2"/>
      <x:c r="B65" s="2"/>
      <x:c r="C65" s="2"/>
      <x:c r="D65" s="2"/>
      <x:c r="E65" s="2"/>
      <x:c r="F65" s="2"/>
      <x:c r="G65" s="2"/>
      <x:c r="H65" s="2"/>
      <x:c r="I65" s="2"/>
      <x:c r="J65" s="2"/>
      <x:c r="K65" s="2"/>
      <x:c r="L65" s="2"/>
      <x:c r="M65" s="2"/>
      <x:c r="N65" s="2"/>
      <x:c r="O65" s="2"/>
      <x:c r="P65" s="2"/>
      <x:c r="Q65" s="2"/>
    </x:row>
    <x:row r="66" ht="23" customHeight="1">
      <x:c r="A66" s="2"/>
      <x:c r="B66" s="2"/>
      <x:c r="C66" s="2"/>
      <x:c r="D66" s="2"/>
      <x:c r="E66" s="2"/>
      <x:c r="F66" s="2"/>
      <x:c r="G66" s="2"/>
      <x:c r="H66" s="2"/>
      <x:c r="I66" s="2"/>
      <x:c r="J66" s="2"/>
      <x:c r="K66" s="2"/>
      <x:c r="L66" s="2"/>
      <x:c r="M66" s="2"/>
      <x:c r="N66" s="2"/>
      <x:c r="O66" s="2"/>
      <x:c r="P66" s="2"/>
      <x:c r="Q66" s="2"/>
    </x:row>
    <x:row r="67" ht="23" customHeight="1">
      <x:c r="A67" s="2"/>
      <x:c r="B67" s="2"/>
      <x:c r="C67" s="2"/>
      <x:c r="D67" s="2"/>
      <x:c r="E67" s="2"/>
      <x:c r="F67" s="2"/>
      <x:c r="G67" s="2"/>
      <x:c r="H67" s="2"/>
      <x:c r="I67" s="2"/>
      <x:c r="J67" s="2"/>
      <x:c r="K67" s="2"/>
      <x:c r="L67" s="2"/>
      <x:c r="M67" s="2"/>
      <x:c r="N67" s="2"/>
      <x:c r="O67" s="2"/>
      <x:c r="P67" s="2"/>
      <x:c r="Q67" s="2"/>
    </x:row>
    <x:row r="68" ht="23" customHeight="1">
      <x:c r="A68" s="2"/>
      <x:c r="B68" s="2"/>
      <x:c r="C68" s="2"/>
      <x:c r="D68" s="2"/>
      <x:c r="E68" s="2"/>
      <x:c r="F68" s="2"/>
      <x:c r="G68" s="2"/>
      <x:c r="H68" s="2"/>
      <x:c r="I68" s="2"/>
      <x:c r="J68" s="2"/>
      <x:c r="K68" s="2"/>
      <x:c r="L68" s="2"/>
      <x:c r="M68" s="2"/>
      <x:c r="N68" s="2"/>
      <x:c r="O68" s="2"/>
      <x:c r="P68" s="2"/>
      <x:c r="Q68" s="2"/>
    </x:row>
    <x:row r="69" ht="23" customHeight="1">
      <x:c r="A69" s="2"/>
      <x:c r="B69" s="2"/>
      <x:c r="C69" s="2"/>
      <x:c r="D69" s="2"/>
      <x:c r="E69" s="2"/>
      <x:c r="F69" s="2"/>
      <x:c r="G69" s="2"/>
      <x:c r="H69" s="2"/>
      <x:c r="I69" s="2"/>
      <x:c r="J69" s="2"/>
      <x:c r="K69" s="2"/>
      <x:c r="L69" s="2"/>
      <x:c r="M69" s="2"/>
      <x:c r="N69" s="2"/>
      <x:c r="O69" s="2"/>
      <x:c r="P69" s="2"/>
      <x:c r="Q69" s="2"/>
    </x:row>
    <x:row r="70" ht="23" customHeight="1">
      <x:c r="A70" s="2"/>
      <x:c r="B70" s="2"/>
      <x:c r="C70" s="2"/>
      <x:c r="D70" s="2"/>
      <x:c r="E70" s="2"/>
      <x:c r="F70" s="2"/>
      <x:c r="G70" s="2"/>
      <x:c r="H70" s="2"/>
      <x:c r="I70" s="2"/>
      <x:c r="J70" s="2"/>
      <x:c r="K70" s="2"/>
      <x:c r="L70" s="2"/>
      <x:c r="M70" s="2"/>
      <x:c r="N70" s="2"/>
      <x:c r="O70" s="2"/>
      <x:c r="P70" s="2"/>
      <x:c r="Q70" s="2"/>
    </x:row>
    <x:row r="71" ht="23" customHeight="1">
      <x:c r="A71" s="2"/>
      <x:c r="B71" s="2"/>
      <x:c r="C71" s="2"/>
      <x:c r="D71" s="2"/>
      <x:c r="E71" s="2"/>
      <x:c r="F71" s="2"/>
      <x:c r="G71" s="2"/>
      <x:c r="H71" s="2"/>
      <x:c r="I71" s="2"/>
      <x:c r="J71" s="2"/>
      <x:c r="K71" s="2"/>
      <x:c r="L71" s="2"/>
      <x:c r="M71" s="2"/>
      <x:c r="N71" s="2"/>
      <x:c r="O71" s="2"/>
      <x:c r="P71" s="2"/>
      <x:c r="Q71" s="2"/>
    </x:row>
    <x:row r="72" ht="23" customHeight="1">
      <x:c r="A72" s="2"/>
      <x:c r="B72" s="2"/>
      <x:c r="C72" s="2"/>
      <x:c r="D72" s="2"/>
      <x:c r="E72" s="2"/>
      <x:c r="F72" s="2"/>
      <x:c r="G72" s="2"/>
      <x:c r="H72" s="2"/>
      <x:c r="I72" s="2"/>
      <x:c r="J72" s="2"/>
      <x:c r="K72" s="2"/>
      <x:c r="L72" s="2"/>
      <x:c r="M72" s="2"/>
      <x:c r="N72" s="2"/>
      <x:c r="O72" s="2"/>
      <x:c r="P72" s="2"/>
      <x:c r="Q72" s="2"/>
    </x:row>
    <x:row r="73" ht="23" customHeight="1">
      <x:c r="A73" s="2"/>
      <x:c r="B73" s="2"/>
      <x:c r="C73" s="2"/>
      <x:c r="D73" s="2"/>
      <x:c r="E73" s="2"/>
      <x:c r="F73" s="2"/>
      <x:c r="G73" s="2"/>
      <x:c r="H73" s="2"/>
      <x:c r="I73" s="2"/>
      <x:c r="J73" s="2"/>
      <x:c r="K73" s="2"/>
      <x:c r="L73" s="2"/>
      <x:c r="M73" s="2"/>
      <x:c r="N73" s="2"/>
      <x:c r="O73" s="2"/>
      <x:c r="P73" s="2"/>
      <x:c r="Q73" s="2"/>
    </x:row>
    <x:row r="74" ht="23" customHeight="1">
      <x:c r="A74" s="2"/>
      <x:c r="B74" s="2"/>
      <x:c r="C74" s="2"/>
      <x:c r="D74" s="2"/>
      <x:c r="E74" s="2"/>
      <x:c r="F74" s="2"/>
      <x:c r="G74" s="2"/>
      <x:c r="H74" s="2"/>
      <x:c r="I74" s="2"/>
      <x:c r="J74" s="2"/>
      <x:c r="K74" s="2"/>
      <x:c r="L74" s="2"/>
      <x:c r="M74" s="2"/>
      <x:c r="N74" s="2"/>
      <x:c r="O74" s="2"/>
      <x:c r="P74" s="2"/>
      <x:c r="Q74" s="2"/>
    </x:row>
    <x:row r="75" ht="23" customHeight="1">
      <x:c r="A75" s="2"/>
      <x:c r="B75" s="2"/>
      <x:c r="C75" s="2"/>
      <x:c r="D75" s="2"/>
      <x:c r="E75" s="2"/>
      <x:c r="F75" s="2"/>
      <x:c r="G75" s="2"/>
      <x:c r="H75" s="2"/>
      <x:c r="I75" s="2"/>
      <x:c r="J75" s="2"/>
      <x:c r="K75" s="2"/>
      <x:c r="L75" s="2"/>
      <x:c r="M75" s="2"/>
      <x:c r="N75" s="2"/>
      <x:c r="O75" s="2"/>
      <x:c r="P75" s="2"/>
      <x:c r="Q75" s="2"/>
    </x:row>
    <x:row r="76" ht="23" customHeight="1">
      <x:c r="A76" s="2"/>
      <x:c r="B76" s="2"/>
      <x:c r="C76" s="2"/>
      <x:c r="D76" s="2"/>
      <x:c r="E76" s="2"/>
      <x:c r="F76" s="2"/>
      <x:c r="G76" s="2"/>
      <x:c r="H76" s="2"/>
      <x:c r="I76" s="2"/>
      <x:c r="J76" s="2"/>
      <x:c r="K76" s="2"/>
      <x:c r="L76" s="2"/>
      <x:c r="M76" s="2"/>
      <x:c r="N76" s="2"/>
      <x:c r="O76" s="2"/>
      <x:c r="P76" s="2"/>
      <x:c r="Q76" s="2"/>
    </x:row>
    <x:row r="77" ht="23" customHeight="1">
      <x:c r="A77" s="2"/>
      <x:c r="B77" s="2"/>
      <x:c r="C77" s="2"/>
      <x:c r="D77" s="2"/>
      <x:c r="E77" s="2"/>
      <x:c r="F77" s="2"/>
      <x:c r="G77" s="2"/>
      <x:c r="H77" s="2"/>
      <x:c r="I77" s="2"/>
      <x:c r="J77" s="2"/>
      <x:c r="K77" s="2"/>
      <x:c r="L77" s="2"/>
      <x:c r="M77" s="2"/>
      <x:c r="N77" s="2"/>
      <x:c r="O77" s="2"/>
      <x:c r="P77" s="2"/>
      <x:c r="Q77" s="2"/>
    </x:row>
    <x:row r="78" ht="23" customHeight="1">
      <x:c r="A78" s="2"/>
      <x:c r="B78" s="2"/>
      <x:c r="C78" s="2"/>
      <x:c r="D78" s="2"/>
      <x:c r="E78" s="2"/>
      <x:c r="F78" s="2"/>
      <x:c r="G78" s="2"/>
      <x:c r="H78" s="2"/>
      <x:c r="I78" s="2"/>
      <x:c r="J78" s="2"/>
      <x:c r="K78" s="2"/>
      <x:c r="L78" s="2"/>
      <x:c r="M78" s="2"/>
      <x:c r="N78" s="2"/>
      <x:c r="O78" s="2"/>
      <x:c r="P78" s="2"/>
      <x:c r="Q78" s="2"/>
    </x:row>
    <x:row r="79" ht="23" customHeight="1">
      <x:c r="A79" s="2"/>
      <x:c r="B79" s="2"/>
      <x:c r="C79" s="2"/>
      <x:c r="D79" s="2"/>
      <x:c r="E79" s="2"/>
      <x:c r="F79" s="2"/>
      <x:c r="G79" s="2"/>
      <x:c r="H79" s="2"/>
      <x:c r="I79" s="2"/>
      <x:c r="J79" s="2"/>
      <x:c r="K79" s="2"/>
      <x:c r="L79" s="2"/>
      <x:c r="M79" s="2"/>
      <x:c r="N79" s="2"/>
      <x:c r="O79" s="2"/>
      <x:c r="P79" s="2"/>
      <x:c r="Q79" s="2"/>
    </x:row>
    <x:row r="80" ht="23" customHeight="1">
      <x:c r="A80" s="2"/>
      <x:c r="B80" s="2"/>
      <x:c r="C80" s="2"/>
      <x:c r="D80" s="2"/>
      <x:c r="E80" s="2"/>
      <x:c r="F80" s="2"/>
      <x:c r="G80" s="2"/>
      <x:c r="H80" s="2"/>
      <x:c r="I80" s="2"/>
      <x:c r="J80" s="2"/>
      <x:c r="K80" s="2"/>
      <x:c r="L80" s="2"/>
      <x:c r="M80" s="2"/>
      <x:c r="N80" s="2"/>
      <x:c r="O80" s="2"/>
      <x:c r="P80" s="2"/>
      <x:c r="Q80" s="2"/>
    </x:row>
    <x:row r="81" ht="23" customHeight="1">
      <x:c r="A81" s="2"/>
      <x:c r="B81" s="2"/>
      <x:c r="C81" s="2"/>
      <x:c r="D81" s="2"/>
      <x:c r="E81" s="2"/>
      <x:c r="F81" s="2"/>
      <x:c r="G81" s="2"/>
      <x:c r="H81" s="2"/>
      <x:c r="I81" s="2"/>
      <x:c r="J81" s="2"/>
      <x:c r="K81" s="2"/>
      <x:c r="L81" s="2"/>
      <x:c r="M81" s="2"/>
      <x:c r="N81" s="2"/>
      <x:c r="O81" s="2"/>
      <x:c r="P81" s="2"/>
      <x:c r="Q81" s="2"/>
    </x:row>
    <x:row r="82" ht="23" customHeight="1">
      <x:c r="A82" s="2"/>
      <x:c r="B82" s="2"/>
      <x:c r="C82" s="2"/>
      <x:c r="D82" s="2"/>
      <x:c r="E82" s="2"/>
      <x:c r="F82" s="2"/>
      <x:c r="G82" s="2"/>
      <x:c r="H82" s="2"/>
      <x:c r="I82" s="2"/>
      <x:c r="J82" s="2"/>
      <x:c r="K82" s="2"/>
      <x:c r="L82" s="2"/>
      <x:c r="M82" s="2"/>
      <x:c r="N82" s="2"/>
      <x:c r="O82" s="2"/>
      <x:c r="P82" s="2"/>
      <x:c r="Q82" s="2"/>
    </x:row>
    <x:row r="83" ht="23" customHeight="1">
      <x:c r="A83" s="2"/>
      <x:c r="B83" s="2"/>
      <x:c r="C83" s="2"/>
      <x:c r="D83" s="2"/>
      <x:c r="E83" s="2"/>
      <x:c r="F83" s="2"/>
      <x:c r="G83" s="2"/>
      <x:c r="H83" s="2"/>
      <x:c r="I83" s="2"/>
      <x:c r="J83" s="2"/>
      <x:c r="K83" s="2"/>
      <x:c r="L83" s="2"/>
      <x:c r="M83" s="2"/>
      <x:c r="N83" s="2"/>
      <x:c r="O83" s="2"/>
      <x:c r="P83" s="2"/>
      <x:c r="Q83" s="2"/>
    </x:row>
    <x:row r="84" ht="23" customHeight="1">
      <x:c r="A84" s="2"/>
      <x:c r="B84" s="2"/>
      <x:c r="C84" s="2"/>
      <x:c r="D84" s="2"/>
      <x:c r="E84" s="2"/>
      <x:c r="F84" s="2"/>
      <x:c r="G84" s="2"/>
      <x:c r="H84" s="2"/>
      <x:c r="I84" s="2"/>
      <x:c r="J84" s="2"/>
      <x:c r="K84" s="2"/>
      <x:c r="L84" s="2"/>
      <x:c r="M84" s="2"/>
      <x:c r="N84" s="2"/>
      <x:c r="O84" s="2"/>
      <x:c r="P84" s="2"/>
      <x:c r="Q84" s="2"/>
    </x:row>
    <x:row r="85" ht="23" customHeight="1">
      <x:c r="A85" s="2"/>
      <x:c r="B85" s="2"/>
      <x:c r="C85" s="2"/>
      <x:c r="D85" s="2"/>
      <x:c r="E85" s="2"/>
      <x:c r="F85" s="2"/>
      <x:c r="G85" s="2"/>
      <x:c r="H85" s="2"/>
      <x:c r="I85" s="2"/>
      <x:c r="J85" s="2"/>
      <x:c r="K85" s="2"/>
      <x:c r="L85" s="2"/>
      <x:c r="M85" s="2"/>
      <x:c r="N85" s="2"/>
      <x:c r="O85" s="2"/>
      <x:c r="P85" s="2"/>
      <x:c r="Q85" s="2"/>
    </x:row>
    <x:row r="86" ht="23" customHeight="1">
      <x:c r="A86" s="2"/>
      <x:c r="B86" s="2"/>
      <x:c r="C86" s="2"/>
      <x:c r="D86" s="2"/>
      <x:c r="E86" s="2"/>
      <x:c r="F86" s="2"/>
      <x:c r="G86" s="2"/>
      <x:c r="H86" s="2"/>
      <x:c r="I86" s="2"/>
      <x:c r="J86" s="2"/>
      <x:c r="K86" s="2"/>
      <x:c r="L86" s="2"/>
      <x:c r="M86" s="2"/>
      <x:c r="N86" s="2"/>
      <x:c r="O86" s="2"/>
      <x:c r="P86" s="2"/>
      <x:c r="Q86" s="2"/>
    </x:row>
    <x:row r="87" ht="23" customHeight="1">
      <x:c r="A87" s="2"/>
      <x:c r="B87" s="2"/>
      <x:c r="C87" s="2"/>
      <x:c r="D87" s="2"/>
      <x:c r="E87" s="2"/>
      <x:c r="F87" s="2"/>
      <x:c r="G87" s="2"/>
      <x:c r="H87" s="2"/>
      <x:c r="I87" s="2"/>
      <x:c r="J87" s="2"/>
      <x:c r="K87" s="2"/>
      <x:c r="L87" s="2"/>
      <x:c r="M87" s="2"/>
      <x:c r="N87" s="2"/>
      <x:c r="O87" s="2"/>
      <x:c r="P87" s="2"/>
      <x:c r="Q87" s="2"/>
    </x:row>
    <x:row r="88" ht="23" customHeight="1">
      <x:c r="A88" s="2"/>
      <x:c r="B88" s="2"/>
      <x:c r="C88" s="2"/>
      <x:c r="D88" s="2"/>
      <x:c r="E88" s="2"/>
      <x:c r="F88" s="2"/>
      <x:c r="G88" s="2"/>
      <x:c r="H88" s="2"/>
      <x:c r="I88" s="2"/>
      <x:c r="J88" s="2"/>
      <x:c r="K88" s="2"/>
      <x:c r="L88" s="2"/>
      <x:c r="M88" s="2"/>
      <x:c r="N88" s="2"/>
      <x:c r="O88" s="2"/>
      <x:c r="P88" s="2"/>
      <x:c r="Q88" s="2"/>
    </x:row>
    <x:row r="89" ht="23" customHeight="1">
      <x:c r="A89" s="2"/>
      <x:c r="B89" s="2"/>
      <x:c r="C89" s="2"/>
      <x:c r="D89" s="2"/>
      <x:c r="E89" s="2"/>
      <x:c r="F89" s="2"/>
      <x:c r="G89" s="2"/>
      <x:c r="H89" s="2"/>
      <x:c r="I89" s="2"/>
      <x:c r="J89" s="2"/>
      <x:c r="K89" s="2"/>
      <x:c r="L89" s="2"/>
      <x:c r="M89" s="2"/>
      <x:c r="N89" s="2"/>
      <x:c r="O89" s="2"/>
      <x:c r="P89" s="2"/>
      <x:c r="Q89" s="2"/>
    </x:row>
    <x:row r="90" ht="23" customHeight="1">
      <x:c r="A90" s="2"/>
      <x:c r="B90" s="2"/>
      <x:c r="C90" s="2"/>
      <x:c r="D90" s="2"/>
      <x:c r="E90" s="2"/>
      <x:c r="F90" s="2"/>
      <x:c r="G90" s="2"/>
      <x:c r="H90" s="2"/>
      <x:c r="I90" s="2"/>
      <x:c r="J90" s="2"/>
      <x:c r="K90" s="2"/>
      <x:c r="L90" s="2"/>
      <x:c r="M90" s="2"/>
      <x:c r="N90" s="2"/>
      <x:c r="O90" s="2"/>
      <x:c r="P90" s="2"/>
      <x:c r="Q90" s="2"/>
    </x:row>
  </x:sheetData>
  <x:conditionalFormatting sqref="D20:D20">
    <x:cfRule type="expression" dxfId="6" priority="1">
      <x:formula>ABS(D20)&gt;E20</x:formula>
    </x:cfRule>
  </x:conditionalFormatting>
  <x:pageMargins left="0.7" right="0.7" top="0.75" bottom="0.75" header="0.3" footer="0.3"/>
</x:worksheet>
</file>