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zhiyimylove/Documents/申请工作/work/pg_external_analysis/outputs/"/>
    </mc:Choice>
  </mc:AlternateContent>
  <xr:revisionPtr revIDLastSave="0" documentId="13_ncr:1_{B24CD592-98EF-114B-B813-44303DDD6057}" xr6:coauthVersionLast="47" xr6:coauthVersionMax="47" xr10:uidLastSave="{00000000-0000-0000-0000-000000000000}"/>
  <bookViews>
    <workbookView xWindow="0" yWindow="500" windowWidth="30240" windowHeight="19640" xr2:uid="{00000000-000D-0000-FFFF-FFFF00000000}"/>
  </bookViews>
  <sheets>
    <sheet name="PG_1_Analysis" sheetId="1" r:id="rId1"/>
    <sheet name="PG_2_Analysis" sheetId="2" r:id="rId2"/>
    <sheet name="PG_3_Analysis" sheetId="3" r:id="rId3"/>
    <sheet name="PG_4_Analysis" sheetId="4" r:id="rId4"/>
    <sheet name="Reported Earnings" sheetId="5" r:id="rId5"/>
    <sheet name="Reported Balance" sheetId="6" r:id="rId6"/>
    <sheet name="Reported Cash" sheetId="7" r:id="rId7"/>
    <sheet name="Reported Driver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C22" i="4" s="1"/>
  <c r="B13" i="4"/>
  <c r="C25" i="3"/>
  <c r="C24" i="3"/>
  <c r="C23" i="3"/>
  <c r="C22" i="3"/>
  <c r="C21" i="3"/>
  <c r="C20" i="3"/>
  <c r="E14" i="3"/>
  <c r="D14" i="3"/>
  <c r="C26" i="3" s="1"/>
  <c r="C14" i="3"/>
  <c r="E12" i="3"/>
  <c r="F12" i="3" s="1"/>
  <c r="D12" i="3"/>
  <c r="C12" i="3"/>
  <c r="B12" i="3"/>
  <c r="D11" i="3"/>
  <c r="E11" i="3" s="1"/>
  <c r="F11" i="3" s="1"/>
  <c r="C11" i="3"/>
  <c r="B11" i="3"/>
  <c r="F10" i="3"/>
  <c r="E10" i="3"/>
  <c r="D10" i="3"/>
  <c r="C10" i="3"/>
  <c r="B10" i="3"/>
  <c r="D9" i="3"/>
  <c r="C9" i="3"/>
  <c r="E9" i="3" s="1"/>
  <c r="F9" i="3" s="1"/>
  <c r="B9" i="3"/>
  <c r="E8" i="3"/>
  <c r="F8" i="3" s="1"/>
  <c r="D8" i="3"/>
  <c r="C8" i="3"/>
  <c r="C16" i="3" s="1"/>
  <c r="B8" i="3"/>
  <c r="E7" i="3"/>
  <c r="F7" i="3" s="1"/>
  <c r="D7" i="3"/>
  <c r="C7" i="3"/>
  <c r="B7" i="3"/>
  <c r="C29" i="2"/>
  <c r="C28" i="2"/>
  <c r="C27" i="2"/>
  <c r="C26" i="2"/>
  <c r="E19" i="2"/>
  <c r="D19" i="2"/>
  <c r="E18" i="2"/>
  <c r="D18" i="2"/>
  <c r="E17" i="2"/>
  <c r="D17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12" i="1"/>
  <c r="F12" i="1" s="1"/>
  <c r="D12" i="1"/>
  <c r="D15" i="1" s="1"/>
  <c r="C12" i="1"/>
  <c r="C15" i="1" s="1"/>
  <c r="E11" i="1"/>
  <c r="F11" i="1" s="1"/>
  <c r="C23" i="1" s="1"/>
  <c r="D11" i="1"/>
  <c r="C11" i="1"/>
  <c r="F10" i="1"/>
  <c r="C25" i="4" s="1"/>
  <c r="E10" i="1"/>
  <c r="D10" i="1"/>
  <c r="C10" i="1"/>
  <c r="E9" i="1"/>
  <c r="F9" i="1" s="1"/>
  <c r="E8" i="1"/>
  <c r="F8" i="1" s="1"/>
  <c r="C21" i="1" s="1"/>
  <c r="D8" i="1"/>
  <c r="C8" i="1"/>
  <c r="E7" i="1"/>
  <c r="D17" i="1" s="1"/>
  <c r="D7" i="1"/>
  <c r="D9" i="1" s="1"/>
  <c r="C7" i="1"/>
  <c r="C9" i="1" s="1"/>
  <c r="C14" i="1" s="1"/>
  <c r="E16" i="3" l="1"/>
  <c r="C7" i="4"/>
  <c r="D14" i="1"/>
  <c r="F14" i="3"/>
  <c r="D7" i="4"/>
  <c r="E7" i="4" s="1"/>
  <c r="C8" i="4"/>
  <c r="D8" i="4"/>
  <c r="E8" i="4" s="1"/>
  <c r="D16" i="3"/>
  <c r="E14" i="1"/>
  <c r="F14" i="1" s="1"/>
  <c r="C9" i="4"/>
  <c r="D9" i="4"/>
  <c r="E15" i="1"/>
  <c r="F15" i="1" s="1"/>
  <c r="F7" i="1"/>
  <c r="C20" i="1" s="1"/>
  <c r="C24" i="1" s="1"/>
  <c r="C26" i="1" s="1"/>
  <c r="F17" i="1"/>
  <c r="C22" i="1"/>
  <c r="E9" i="4" l="1"/>
</calcChain>
</file>

<file path=xl/sharedStrings.xml><?xml version="1.0" encoding="utf-8"?>
<sst xmlns="http://schemas.openxmlformats.org/spreadsheetml/2006/main" count="258" uniqueCount="205">
  <si>
    <t>P&amp;G | Revenue growth and operating profit</t>
  </si>
  <si>
    <t>FY2026 sales grew; operating profit declined. Amounts in USD millions.</t>
  </si>
  <si>
    <t>Metric</t>
  </si>
  <si>
    <t>FY2024</t>
  </si>
  <si>
    <t>FY2025</t>
  </si>
  <si>
    <t>FY2026</t>
  </si>
  <si>
    <t>FY26 vs FY25</t>
  </si>
  <si>
    <t>Net sales</t>
  </si>
  <si>
    <t>Cost of products sold</t>
  </si>
  <si>
    <t>Gross profit</t>
  </si>
  <si>
    <t>SG&amp;A</t>
  </si>
  <si>
    <t>Intangible impairment</t>
  </si>
  <si>
    <t>Operating income</t>
  </si>
  <si>
    <t>Gross margin</t>
  </si>
  <si>
    <t>Operating margin</t>
  </si>
  <si>
    <t>FY2026 growth vs FY2025</t>
  </si>
  <si>
    <t>Revenue</t>
  </si>
  <si>
    <t>Operating profit</t>
  </si>
  <si>
    <t>Operating profit bridge</t>
  </si>
  <si>
    <t>Effect (USD m)</t>
  </si>
  <si>
    <t>Revenue increase</t>
  </si>
  <si>
    <t>Higher cost of products sold</t>
  </si>
  <si>
    <t>Higher SG&amp;A</t>
  </si>
  <si>
    <t>Change in impairment</t>
  </si>
  <si>
    <t>Net operating profit change</t>
  </si>
  <si>
    <t>Bridge less reported operating profit change</t>
  </si>
  <si>
    <t>Reported: source financial amounts. Derived: gross profit, margins and changes.</t>
  </si>
  <si>
    <t>FY2024 includes $1,341m impairment; the FY2025 recovery is not fully recurring.</t>
  </si>
  <si>
    <t>Gross profit uses net sales less cost of products sold; no adjusted series created.</t>
  </si>
  <si>
    <t>P&amp;G | Three-statement checks</t>
  </si>
  <si>
    <t>Difference = calculated amount less reported amount; USD millions.</t>
  </si>
  <si>
    <t>Check</t>
  </si>
  <si>
    <t>Operating income: sales less operating costs</t>
  </si>
  <si>
    <t>Earnings before tax</t>
  </si>
  <si>
    <t>Net earnings: earnings before tax less tax</t>
  </si>
  <si>
    <t>Net earnings: income statement less cash flow</t>
  </si>
  <si>
    <t>Operating cash flow: components less total</t>
  </si>
  <si>
    <t>Investing cash flow: components less total</t>
  </si>
  <si>
    <t>Financing cash flow: components less total</t>
  </si>
  <si>
    <t>Cash change: flows plus FX less reported change</t>
  </si>
  <si>
    <t>Cash roll-forward: opening plus change less close</t>
  </si>
  <si>
    <t>Assets less reported liabilities and equity</t>
  </si>
  <si>
    <t>n.a.</t>
  </si>
  <si>
    <t>Liabilities plus equity less assets</t>
  </si>
  <si>
    <t>Cash flow ending cash less balance sheet cash</t>
  </si>
  <si>
    <t>0.00 = exact agreement; ±1.00 = retained source rounding residual.</t>
  </si>
  <si>
    <t>A residual within $1m is reviewed, not rewritten or presented as an exact tie.</t>
  </si>
  <si>
    <t>FY2024 balance-sheet checks: n.a. because this report shows only FY2025–FY2026.</t>
  </si>
  <si>
    <t>FY2026 cross-statement evidence</t>
  </si>
  <si>
    <t>Amount</t>
  </si>
  <si>
    <t>Net earnings in income statement</t>
  </si>
  <si>
    <t>Net earnings in cash flow</t>
  </si>
  <si>
    <t>Ending cash in cash flow</t>
  </si>
  <si>
    <t>Cash in balance sheet</t>
  </si>
  <si>
    <t>Source: reported statement sheets; Annual Report pp.37, 38 and 40.</t>
  </si>
  <si>
    <t>P&amp;G | Revenue drivers</t>
  </si>
  <si>
    <t>FY2026 vs FY2025. Exact segment dollar changes; approximate company drivers.</t>
  </si>
  <si>
    <t>Segment</t>
  </si>
  <si>
    <t>Change ($m)</t>
  </si>
  <si>
    <t>Share of change</t>
  </si>
  <si>
    <t>Consolidated revenue</t>
  </si>
  <si>
    <t>Segment totals less consolidated sales</t>
  </si>
  <si>
    <t>Total-company driver</t>
  </si>
  <si>
    <t>Contribution</t>
  </si>
  <si>
    <t>Volume</t>
  </si>
  <si>
    <t>Foreign exchange</t>
  </si>
  <si>
    <t>Price</t>
  </si>
  <si>
    <t>Mix</t>
  </si>
  <si>
    <t>Other</t>
  </si>
  <si>
    <t>Sum of approximate contributions</t>
  </si>
  <si>
    <t>Growth from reported dollar values</t>
  </si>
  <si>
    <t>Beauty contributes the largest dollar increase; exact contribution uses segment changes.</t>
  </si>
  <si>
    <t>Driver percentages are rounded company disclosures, not an exact dollar bridge.</t>
  </si>
  <si>
    <t>Source: Annual Report pp.20, 22, 44–45; segment totals retain $1m rounding residuals.</t>
  </si>
  <si>
    <t>P&amp;G | Profit margin drivers</t>
  </si>
  <si>
    <t>FY2026 vs FY2025. Calculated margins and company explanations are shown separately.</t>
  </si>
  <si>
    <t>Calculated metric</t>
  </si>
  <si>
    <t>Change (bps)</t>
  </si>
  <si>
    <t>SG&amp;A / sales</t>
  </si>
  <si>
    <t>Company gross margin explanation</t>
  </si>
  <si>
    <t>Effect (bps)</t>
  </si>
  <si>
    <t>Total explained gross margin change</t>
  </si>
  <si>
    <t>Higher SG&amp;A ($m)</t>
  </si>
  <si>
    <t>Management attributes the SG&amp;A ratio increase primarily to marketing.</t>
  </si>
  <si>
    <t>The narrative does not provide an exact SG&amp;A driver bridge.</t>
  </si>
  <si>
    <t>Do not subtract the stated productivity benefit again: it is already included.</t>
  </si>
  <si>
    <t>Company rounded changes: gross −100 bps; SG&amp;A +60 bps; operating −160 bps.</t>
  </si>
  <si>
    <t>Calculated margins use reported dollar values; rounding explains the difference.</t>
  </si>
  <si>
    <t>Source: Annual Report pp.20–21 and 37. One basis point = 0.01 percentage point.</t>
  </si>
  <si>
    <t>P&amp;G | Reported income statement</t>
  </si>
  <si>
    <t>Fiscal years ended 30 June; USD millions, except EPS</t>
  </si>
  <si>
    <t>Reported metric</t>
  </si>
  <si>
    <t>Classification</t>
  </si>
  <si>
    <t>Reported</t>
  </si>
  <si>
    <t>Selling, general and administrative expense</t>
  </si>
  <si>
    <t>Intangible asset impairment</t>
  </si>
  <si>
    <t>Interest expense</t>
  </si>
  <si>
    <t>Interest income</t>
  </si>
  <si>
    <t>Other non-operating income, net</t>
  </si>
  <si>
    <t>Earnings before income taxes</t>
  </si>
  <si>
    <t>Income taxes</t>
  </si>
  <si>
    <t>Net earnings</t>
  </si>
  <si>
    <t>Net earnings attributable to noncontrolling interests</t>
  </si>
  <si>
    <t>Net earnings attributable to P&amp;G</t>
  </si>
  <si>
    <t>Basic EPS</t>
  </si>
  <si>
    <t>Diluted EPS</t>
  </si>
  <si>
    <t>Source: P&amp;G 2026 Annual Report, printed p.37 (PDF p.49).</t>
  </si>
  <si>
    <t>Company financial spreadsheet: income statement, rows 5–21.</t>
  </si>
  <si>
    <t>Source dashes on impairment are recorded as zero; no adjustments made.</t>
  </si>
  <si>
    <t>Red marks highlight matching evidence, not a positive or negative result.</t>
  </si>
  <si>
    <t>https://s204.q4cdn.com/332108499/files/doc_financials/2026/ar/2026_annual_report.pdf</t>
  </si>
  <si>
    <t>P&amp;G | Reported balance sheet</t>
  </si>
  <si>
    <t>USD millions; as of 30 June</t>
  </si>
  <si>
    <t>Cash and cash equivalents</t>
  </si>
  <si>
    <t>Accounts receivable</t>
  </si>
  <si>
    <t>Materials and supplies</t>
  </si>
  <si>
    <t>Work in process</t>
  </si>
  <si>
    <t>Finished goods</t>
  </si>
  <si>
    <t>Total inventories</t>
  </si>
  <si>
    <t>Prepaid expenses and other current assets</t>
  </si>
  <si>
    <t>TOTAL CURRENT ASSETS</t>
  </si>
  <si>
    <t>PROPERTY, PLANT AND EQUIPMENT, NET</t>
  </si>
  <si>
    <t>GOODWILL</t>
  </si>
  <si>
    <t>TRADEMARKS AND OTHER INTANGIBLE ASSETS, NET</t>
  </si>
  <si>
    <t>OTHER NONCURRENT ASSETS</t>
  </si>
  <si>
    <t>TOTAL ASSETS</t>
  </si>
  <si>
    <t>Accounts payable</t>
  </si>
  <si>
    <t>Accrued and other liabilities</t>
  </si>
  <si>
    <t>Debt due within one year</t>
  </si>
  <si>
    <t>TOTAL CURRENT LIABILITIES</t>
  </si>
  <si>
    <t>LONG-TERM DEBT</t>
  </si>
  <si>
    <t>DEFERRED INCOME TAXES</t>
  </si>
  <si>
    <t>OTHER NONCURRENT LIABILITIES</t>
  </si>
  <si>
    <t>TOTAL LIABILITIES</t>
  </si>
  <si>
    <t>Convertible Class A preferred stock</t>
  </si>
  <si>
    <t>Non-voting Class B preferred stock</t>
  </si>
  <si>
    <t>Common stock</t>
  </si>
  <si>
    <t>Additional paid-in capital</t>
  </si>
  <si>
    <t>Reserve for ESOP debt retirement</t>
  </si>
  <si>
    <t>Accumulated other comprehensive loss</t>
  </si>
  <si>
    <t>Treasury stock</t>
  </si>
  <si>
    <t>Retained earnings</t>
  </si>
  <si>
    <t>Noncontrolling interest</t>
  </si>
  <si>
    <t>TOTAL SHAREHOLDERS' EQUITY</t>
  </si>
  <si>
    <t>TOTAL LIABILITIES AND SHAREHOLDERS' EQUITY</t>
  </si>
  <si>
    <t>Source: P&amp;G 2026 Annual Report, printed p.38. Original amounts retained.</t>
  </si>
  <si>
    <t>FY2024 balance sheet is not included in this source.</t>
  </si>
  <si>
    <t>P&amp;G | Reported cash flow statement</t>
  </si>
  <si>
    <t>USD millions; fiscal years ended 30 June</t>
  </si>
  <si>
    <t>Cash and restricted cash, beginning of year</t>
  </si>
  <si>
    <t>Depreciation and amortization</t>
  </si>
  <si>
    <t>Share-based compensation expense</t>
  </si>
  <si>
    <t>Deferred income taxes</t>
  </si>
  <si>
    <t>(Gain)/loss on sale of assets</t>
  </si>
  <si>
    <t>Intangible impairment charge</t>
  </si>
  <si>
    <t>Change in accounts receivable</t>
  </si>
  <si>
    <t>Change in inventories</t>
  </si>
  <si>
    <t>Change in accounts payable</t>
  </si>
  <si>
    <t>TOTAL OPERATING ACTIVITIES</t>
  </si>
  <si>
    <t>Capital expenditures</t>
  </si>
  <si>
    <t>Proceeds from asset sales</t>
  </si>
  <si>
    <t>Acquisitions, net of cash acquired</t>
  </si>
  <si>
    <t>Other investing activity</t>
  </si>
  <si>
    <t>TOTAL INVESTING ACTIVITIES</t>
  </si>
  <si>
    <t>Dividends to shareholders</t>
  </si>
  <si>
    <t>Short-term debt additions (&gt;3 months)</t>
  </si>
  <si>
    <t>Short-term debt reductions (&gt;3 months)</t>
  </si>
  <si>
    <t>Other short-term debt, net</t>
  </si>
  <si>
    <t>Additions to long-term debt</t>
  </si>
  <si>
    <t>Reductions in long-term debt</t>
  </si>
  <si>
    <t>Treasury stock purchases</t>
  </si>
  <si>
    <t>Impact of stock options and other</t>
  </si>
  <si>
    <t>TOTAL FINANCING ACTIVITIES</t>
  </si>
  <si>
    <t>Exchange-rate effect on cash</t>
  </si>
  <si>
    <t>Change in cash and restricted cash</t>
  </si>
  <si>
    <t>Cash and restricted cash, end of year</t>
  </si>
  <si>
    <t>Cash payments for interest</t>
  </si>
  <si>
    <t>Source: P&amp;G 2026 Annual Report, printed p.40. Original amounts retained.</t>
  </si>
  <si>
    <t>Prior operating cash flow rows were reclassified by the company.</t>
  </si>
  <si>
    <t>P&amp;G | Reported business drivers</t>
  </si>
  <si>
    <t>Company disclosures; percentages are approximate growth contributions.</t>
  </si>
  <si>
    <t>FY2026 vs FY2025</t>
  </si>
  <si>
    <t>FX</t>
  </si>
  <si>
    <t>Growth</t>
  </si>
  <si>
    <t>Beauty</t>
  </si>
  <si>
    <t>Grooming</t>
  </si>
  <si>
    <t>Health Care</t>
  </si>
  <si>
    <t>Fabric &amp; Home Care</t>
  </si>
  <si>
    <t>Baby, Feminine &amp; Family Care</t>
  </si>
  <si>
    <t>Total company</t>
  </si>
  <si>
    <t>Segment sales (USD millions)</t>
  </si>
  <si>
    <t>Corporate</t>
  </si>
  <si>
    <t>Gross margin driver</t>
  </si>
  <si>
    <t>Product mix</t>
  </si>
  <si>
    <t>Product and packaging investment</t>
  </si>
  <si>
    <t>Restructuring</t>
  </si>
  <si>
    <t>Net tariffs</t>
  </si>
  <si>
    <t>Commodities</t>
  </si>
  <si>
    <t>Other and rounding</t>
  </si>
  <si>
    <t>Manufacturing productivity</t>
  </si>
  <si>
    <t>Pricing</t>
  </si>
  <si>
    <t>Sources: Annual Report pp.20–22 (drivers) and pp.44–45 (segment sales).</t>
  </si>
  <si>
    <t>Organic sales growth: 1%. Driver percentages must not be treated as exact dollar effects.</t>
  </si>
  <si>
    <t>Reported gross margin: 51.2% in FY2025; 50.2% in FY2026 (−100 bps).</t>
  </si>
  <si>
    <t>Reported SG&amp;A ratio: 26.9% to 27.5%; operating margin: 24.3% to 22.7%.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</si>
</sst>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\$#,##0;\(\$#,##0\);&quot;–&quot;"/>
    <numFmt numFmtId="177" formatCode="\$0.00"/>
    <numFmt numFmtId="178" formatCode="0.0%;\(0.0%\);&quot;–&quot;"/>
    <numFmt numFmtId="179" formatCode="0.0&quot; bps&quot;;\(0.0\)&quot; bps&quot;;&quot;–&quot;"/>
    <numFmt numFmtId="180" formatCode="0;[Red]\(0\);&quot;–&quot;"/>
    <numFmt numFmtId="181" formatCode="0.00;\(0.00\);0.00"/>
    <numFmt numFmtId="182" formatCode="0.0;\(0.0\);&quot;–&quot;"/>
    <numFmt numFmtId="183" formatCode="0;\(0\);&quot;–&quot;"/>
  </numFmts>
  <fonts count="10">
    <font>
      <sz val="11"/>
      <name val="Carlito"/>
    </font>
    <font>
      <sz val="12"/>
      <name val="Arial"/>
      <family val="2"/>
    </font>
    <font>
      <b/>
      <sz val="18"/>
      <color rgb="FF003DA5"/>
      <name val="Arial"/>
      <family val="2"/>
    </font>
    <font>
      <b/>
      <sz val="12"/>
      <color rgb="FFFFFFFF"/>
      <name val="Arial"/>
      <family val="2"/>
    </font>
    <font>
      <b/>
      <sz val="12"/>
      <color rgb="FFC00000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11"/>
      <color rgb="FFC00000"/>
      <name val="Arial"/>
      <family val="2"/>
    </font>
    <font>
      <sz val="11"/>
      <name val="Carlito"/>
    </font>
    <font>
      <sz val="9"/>
      <name val="FangSong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3DA5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3DA5"/>
      </bottom>
      <diagonal/>
    </border>
  </borders>
  <cellStyleXfs count="2">
    <xf numFmtId="0" fontId="0" fillId="0" borderId="0"/>
    <xf numFmtId="0" fontId="8" fillId="0" borderId="0"/>
  </cellStyleXfs>
  <cellXfs count="24">
    <xf numFmtId="0" fontId="0" fillId="0" borderId="0" xfId="0"/>
    <xf numFmtId="0" fontId="1" fillId="0" borderId="0" xfId="1" applyFont="1"/>
    <xf numFmtId="0" fontId="2" fillId="0" borderId="0" xfId="1" applyFont="1"/>
    <xf numFmtId="0" fontId="1" fillId="0" borderId="1" xfId="1" applyFont="1" applyBorder="1"/>
    <xf numFmtId="0" fontId="3" fillId="2" borderId="0" xfId="1" applyFont="1" applyFill="1"/>
    <xf numFmtId="176" fontId="1" fillId="0" borderId="0" xfId="1" applyNumberFormat="1" applyFont="1"/>
    <xf numFmtId="177" fontId="1" fillId="0" borderId="0" xfId="1" applyNumberFormat="1" applyFont="1"/>
    <xf numFmtId="0" fontId="4" fillId="0" borderId="0" xfId="1" applyFont="1"/>
    <xf numFmtId="176" fontId="4" fillId="0" borderId="0" xfId="1" applyNumberFormat="1" applyFont="1"/>
    <xf numFmtId="0" fontId="5" fillId="0" borderId="0" xfId="1" applyFont="1"/>
    <xf numFmtId="178" fontId="1" fillId="0" borderId="0" xfId="1" applyNumberFormat="1" applyFont="1"/>
    <xf numFmtId="179" fontId="1" fillId="0" borderId="0" xfId="1" applyNumberFormat="1" applyFont="1"/>
    <xf numFmtId="2" fontId="1" fillId="0" borderId="0" xfId="1" applyNumberFormat="1" applyFont="1"/>
    <xf numFmtId="0" fontId="6" fillId="0" borderId="0" xfId="1" applyFont="1"/>
    <xf numFmtId="0" fontId="7" fillId="0" borderId="0" xfId="1" applyFont="1"/>
    <xf numFmtId="9" fontId="1" fillId="0" borderId="0" xfId="1" applyNumberFormat="1" applyFont="1"/>
    <xf numFmtId="9" fontId="4" fillId="0" borderId="0" xfId="1" applyNumberFormat="1" applyFont="1"/>
    <xf numFmtId="180" fontId="1" fillId="0" borderId="0" xfId="1" applyNumberFormat="1" applyFont="1"/>
    <xf numFmtId="180" fontId="4" fillId="0" borderId="0" xfId="1" applyNumberFormat="1" applyFont="1"/>
    <xf numFmtId="181" fontId="1" fillId="0" borderId="0" xfId="1" applyNumberFormat="1" applyFont="1"/>
    <xf numFmtId="178" fontId="4" fillId="0" borderId="0" xfId="1" applyNumberFormat="1" applyFont="1"/>
    <xf numFmtId="182" fontId="4" fillId="0" borderId="0" xfId="1" applyNumberFormat="1" applyFont="1"/>
    <xf numFmtId="183" fontId="1" fillId="0" borderId="0" xfId="1" applyNumberFormat="1" applyFont="1"/>
    <xf numFmtId="183" fontId="4" fillId="0" borderId="0" xfId="1" applyNumberFormat="1" applyFont="1"/>
  </cellXfs>
  <cellStyles count="2">
    <cellStyle name="Normal" xfId="1" xr:uid="{00000000-0005-0000-0000-000000000000}"/>
    <cellStyle name="常规" xfId="0" builtinId="0"/>
  </cellStyles>
  <dxfs count="1">
    <dxf>
      <font>
        <b/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DA5"/>
  </sheetPr>
  <dimension ref="A1:H33"/>
  <sheetViews>
    <sheetView showGridLines="0" showRowColHeaders="0" tabSelected="1" zoomScale="110" zoomScaleNormal="110" workbookViewId="0">
      <selection activeCell="H1" sqref="H1"/>
    </sheetView>
  </sheetViews>
  <sheetFormatPr baseColWidth="10" defaultColWidth="8.83203125" defaultRowHeight="14"/>
  <cols>
    <col min="1" max="1" width="3" customWidth="1"/>
    <col min="2" max="2" width="58" customWidth="1"/>
    <col min="3" max="6" width="17" customWidth="1"/>
    <col min="7" max="8" width="3" customWidth="1"/>
  </cols>
  <sheetData>
    <row r="1" spans="1:8" ht="22" customHeight="1">
      <c r="A1" s="1"/>
      <c r="B1" s="1"/>
      <c r="C1" s="1"/>
      <c r="D1" s="1"/>
      <c r="E1" s="1"/>
      <c r="F1" s="1"/>
      <c r="G1" s="1"/>
      <c r="H1" s="1"/>
    </row>
    <row r="2" spans="1:8" ht="22" customHeight="1">
      <c r="A2" s="1"/>
      <c r="B2" s="2" t="s">
        <v>0</v>
      </c>
      <c r="C2" s="1"/>
      <c r="D2" s="1"/>
      <c r="E2" s="1"/>
      <c r="F2" s="1"/>
      <c r="G2" s="1"/>
      <c r="H2" s="1"/>
    </row>
    <row r="3" spans="1:8" ht="22" customHeight="1">
      <c r="A3" s="1"/>
      <c r="B3" s="3"/>
      <c r="C3" s="3"/>
      <c r="D3" s="3"/>
      <c r="E3" s="3"/>
      <c r="F3" s="3"/>
      <c r="G3" s="1"/>
      <c r="H3" s="1"/>
    </row>
    <row r="4" spans="1:8" ht="22" customHeight="1">
      <c r="A4" s="1"/>
      <c r="B4" s="1" t="s">
        <v>1</v>
      </c>
      <c r="C4" s="1"/>
      <c r="D4" s="1"/>
      <c r="E4" s="1"/>
      <c r="F4" s="1"/>
      <c r="G4" s="1"/>
      <c r="H4" s="1"/>
    </row>
    <row r="5" spans="1:8" ht="22" customHeight="1">
      <c r="A5" s="1"/>
      <c r="B5" s="1"/>
      <c r="C5" s="1"/>
      <c r="D5" s="1"/>
      <c r="E5" s="1"/>
      <c r="F5" s="1"/>
      <c r="G5" s="1"/>
      <c r="H5" s="1"/>
    </row>
    <row r="6" spans="1:8" ht="26" customHeight="1">
      <c r="A6" s="1"/>
      <c r="B6" s="4" t="s">
        <v>2</v>
      </c>
      <c r="C6" s="4" t="s">
        <v>3</v>
      </c>
      <c r="D6" s="4" t="s">
        <v>4</v>
      </c>
      <c r="E6" s="4" t="s">
        <v>5</v>
      </c>
      <c r="F6" s="4" t="s">
        <v>6</v>
      </c>
      <c r="G6" s="1"/>
      <c r="H6" s="1"/>
    </row>
    <row r="7" spans="1:8" ht="22" customHeight="1">
      <c r="A7" s="1"/>
      <c r="B7" s="7" t="s">
        <v>7</v>
      </c>
      <c r="C7" s="8">
        <f>'Reported Earnings'!C7</f>
        <v>84039</v>
      </c>
      <c r="D7" s="8">
        <f>'Reported Earnings'!D7</f>
        <v>84284</v>
      </c>
      <c r="E7" s="8">
        <f>'Reported Earnings'!E7</f>
        <v>87032</v>
      </c>
      <c r="F7" s="8">
        <f t="shared" ref="F7:F12" si="0">E7-D7</f>
        <v>2748</v>
      </c>
      <c r="G7" s="1"/>
      <c r="H7" s="1"/>
    </row>
    <row r="8" spans="1:8" ht="22" customHeight="1">
      <c r="A8" s="1"/>
      <c r="B8" s="1" t="s">
        <v>8</v>
      </c>
      <c r="C8" s="5">
        <f>'Reported Earnings'!C8</f>
        <v>40848</v>
      </c>
      <c r="D8" s="5">
        <f>'Reported Earnings'!D8</f>
        <v>41164</v>
      </c>
      <c r="E8" s="5">
        <f>'Reported Earnings'!E8</f>
        <v>43362</v>
      </c>
      <c r="F8" s="5">
        <f t="shared" si="0"/>
        <v>2198</v>
      </c>
      <c r="G8" s="1"/>
      <c r="H8" s="1"/>
    </row>
    <row r="9" spans="1:8" ht="22" customHeight="1">
      <c r="A9" s="1"/>
      <c r="B9" s="1" t="s">
        <v>9</v>
      </c>
      <c r="C9" s="5">
        <f>C7-C8</f>
        <v>43191</v>
      </c>
      <c r="D9" s="5">
        <f>D7-D8</f>
        <v>43120</v>
      </c>
      <c r="E9" s="5">
        <f>E7-E8</f>
        <v>43670</v>
      </c>
      <c r="F9" s="5">
        <f t="shared" si="0"/>
        <v>550</v>
      </c>
      <c r="G9" s="1"/>
      <c r="H9" s="1"/>
    </row>
    <row r="10" spans="1:8" ht="22" customHeight="1">
      <c r="A10" s="1"/>
      <c r="B10" s="1" t="s">
        <v>10</v>
      </c>
      <c r="C10" s="5">
        <f>'Reported Earnings'!C9</f>
        <v>23305</v>
      </c>
      <c r="D10" s="5">
        <f>'Reported Earnings'!D9</f>
        <v>22669</v>
      </c>
      <c r="E10" s="5">
        <f>'Reported Earnings'!E9</f>
        <v>23922</v>
      </c>
      <c r="F10" s="5">
        <f t="shared" si="0"/>
        <v>1253</v>
      </c>
      <c r="G10" s="1"/>
      <c r="H10" s="1"/>
    </row>
    <row r="11" spans="1:8" ht="22" customHeight="1">
      <c r="A11" s="1"/>
      <c r="B11" s="1" t="s">
        <v>11</v>
      </c>
      <c r="C11" s="5">
        <f>'Reported Earnings'!C10</f>
        <v>1341</v>
      </c>
      <c r="D11" s="5">
        <f>'Reported Earnings'!D10</f>
        <v>0</v>
      </c>
      <c r="E11" s="5">
        <f>'Reported Earnings'!E10</f>
        <v>0</v>
      </c>
      <c r="F11" s="5">
        <f t="shared" si="0"/>
        <v>0</v>
      </c>
      <c r="G11" s="1"/>
      <c r="H11" s="1"/>
    </row>
    <row r="12" spans="1:8" ht="22" customHeight="1">
      <c r="A12" s="1"/>
      <c r="B12" s="7" t="s">
        <v>12</v>
      </c>
      <c r="C12" s="8">
        <f>'Reported Earnings'!C11</f>
        <v>18545</v>
      </c>
      <c r="D12" s="8">
        <f>'Reported Earnings'!D11</f>
        <v>20451</v>
      </c>
      <c r="E12" s="8">
        <f>'Reported Earnings'!E11</f>
        <v>19748</v>
      </c>
      <c r="F12" s="8">
        <f t="shared" si="0"/>
        <v>-703</v>
      </c>
      <c r="G12" s="1"/>
      <c r="H12" s="1"/>
    </row>
    <row r="13" spans="1:8" ht="22" customHeight="1">
      <c r="A13" s="1"/>
      <c r="B13" s="1"/>
      <c r="C13" s="1"/>
      <c r="D13" s="1"/>
      <c r="E13" s="1"/>
      <c r="F13" s="1"/>
      <c r="G13" s="1"/>
      <c r="H13" s="1"/>
    </row>
    <row r="14" spans="1:8" ht="22" customHeight="1">
      <c r="A14" s="1"/>
      <c r="B14" s="1" t="s">
        <v>13</v>
      </c>
      <c r="C14" s="10">
        <f>C9/C7</f>
        <v>0.51393995644879165</v>
      </c>
      <c r="D14" s="10">
        <f>D9/D7</f>
        <v>0.51160362583645769</v>
      </c>
      <c r="E14" s="10">
        <f>E9/E7</f>
        <v>0.50176946410515677</v>
      </c>
      <c r="F14" s="11">
        <f>(E14-D14)*10000</f>
        <v>-98.341617313009166</v>
      </c>
      <c r="G14" s="1"/>
      <c r="H14" s="1"/>
    </row>
    <row r="15" spans="1:8" ht="22" customHeight="1">
      <c r="A15" s="1"/>
      <c r="B15" s="1" t="s">
        <v>14</v>
      </c>
      <c r="C15" s="10">
        <f>C12/C7</f>
        <v>0.22067135496614668</v>
      </c>
      <c r="D15" s="10">
        <f>D12/D7</f>
        <v>0.24264391818138675</v>
      </c>
      <c r="E15" s="10">
        <f>E12/E7</f>
        <v>0.22690504641970768</v>
      </c>
      <c r="F15" s="11">
        <f>(E15-D15)*10000</f>
        <v>-157.38871761679067</v>
      </c>
      <c r="G15" s="1"/>
      <c r="H15" s="1"/>
    </row>
    <row r="16" spans="1:8" ht="22" customHeight="1">
      <c r="A16" s="1"/>
      <c r="B16" s="1"/>
      <c r="C16" s="1"/>
      <c r="D16" s="1"/>
      <c r="E16" s="1"/>
      <c r="F16" s="1"/>
      <c r="G16" s="1"/>
      <c r="H16" s="1"/>
    </row>
    <row r="17" spans="1:8" ht="22" customHeight="1">
      <c r="A17" s="1"/>
      <c r="B17" s="1" t="s">
        <v>15</v>
      </c>
      <c r="C17" s="1" t="s">
        <v>16</v>
      </c>
      <c r="D17" s="10">
        <f>E7/D7-1</f>
        <v>3.2604052963788988E-2</v>
      </c>
      <c r="E17" s="1" t="s">
        <v>17</v>
      </c>
      <c r="F17" s="10">
        <f>E12/D12-1</f>
        <v>-3.4374847195736136E-2</v>
      </c>
      <c r="G17" s="1"/>
      <c r="H17" s="1"/>
    </row>
    <row r="18" spans="1:8" ht="22" customHeight="1">
      <c r="A18" s="1"/>
      <c r="B18" s="1"/>
      <c r="C18" s="1"/>
      <c r="D18" s="1"/>
      <c r="E18" s="1"/>
      <c r="F18" s="1"/>
      <c r="G18" s="1"/>
      <c r="H18" s="1"/>
    </row>
    <row r="19" spans="1:8" ht="26" customHeight="1">
      <c r="A19" s="1"/>
      <c r="B19" s="4" t="s">
        <v>18</v>
      </c>
      <c r="C19" s="4" t="s">
        <v>19</v>
      </c>
      <c r="D19" s="4"/>
      <c r="E19" s="4"/>
      <c r="F19" s="4"/>
      <c r="G19" s="1"/>
      <c r="H19" s="1"/>
    </row>
    <row r="20" spans="1:8" ht="22" customHeight="1">
      <c r="A20" s="1"/>
      <c r="B20" s="1" t="s">
        <v>20</v>
      </c>
      <c r="C20" s="5">
        <f>F7</f>
        <v>2748</v>
      </c>
      <c r="D20" s="1"/>
      <c r="E20" s="1"/>
      <c r="F20" s="1"/>
      <c r="G20" s="1"/>
      <c r="H20" s="1"/>
    </row>
    <row r="21" spans="1:8" ht="22" customHeight="1">
      <c r="A21" s="1"/>
      <c r="B21" s="1" t="s">
        <v>21</v>
      </c>
      <c r="C21" s="5">
        <f>-F8</f>
        <v>-2198</v>
      </c>
      <c r="D21" s="1"/>
      <c r="E21" s="1"/>
      <c r="F21" s="1"/>
      <c r="G21" s="1"/>
      <c r="H21" s="1"/>
    </row>
    <row r="22" spans="1:8" ht="22" customHeight="1">
      <c r="A22" s="1"/>
      <c r="B22" s="1" t="s">
        <v>22</v>
      </c>
      <c r="C22" s="5">
        <f>-F10</f>
        <v>-1253</v>
      </c>
      <c r="D22" s="1"/>
      <c r="E22" s="1"/>
      <c r="F22" s="1"/>
      <c r="G22" s="1"/>
      <c r="H22" s="1"/>
    </row>
    <row r="23" spans="1:8" ht="22" customHeight="1">
      <c r="A23" s="1"/>
      <c r="B23" s="1" t="s">
        <v>23</v>
      </c>
      <c r="C23" s="5">
        <f>-F11</f>
        <v>0</v>
      </c>
      <c r="D23" s="1"/>
      <c r="E23" s="1"/>
      <c r="F23" s="1"/>
      <c r="G23" s="1"/>
      <c r="H23" s="1"/>
    </row>
    <row r="24" spans="1:8" ht="22" customHeight="1">
      <c r="A24" s="1"/>
      <c r="B24" s="1" t="s">
        <v>24</v>
      </c>
      <c r="C24" s="5">
        <f>SUM(C20:C23)</f>
        <v>-703</v>
      </c>
      <c r="D24" s="1"/>
      <c r="E24" s="1"/>
      <c r="F24" s="1"/>
      <c r="G24" s="1"/>
      <c r="H24" s="1"/>
    </row>
    <row r="25" spans="1:8" ht="22" customHeight="1">
      <c r="A25" s="1"/>
      <c r="B25" s="1"/>
      <c r="C25" s="1"/>
      <c r="D25" s="1"/>
      <c r="E25" s="1"/>
      <c r="F25" s="1"/>
      <c r="G25" s="1"/>
      <c r="H25" s="1"/>
    </row>
    <row r="26" spans="1:8" ht="22" customHeight="1">
      <c r="A26" s="1"/>
      <c r="B26" s="1" t="s">
        <v>25</v>
      </c>
      <c r="C26" s="12">
        <f>C24-F12</f>
        <v>0</v>
      </c>
      <c r="D26" s="1"/>
      <c r="E26" s="1"/>
      <c r="F26" s="1"/>
      <c r="G26" s="1"/>
      <c r="H26" s="1"/>
    </row>
    <row r="27" spans="1:8" ht="22" customHeight="1">
      <c r="A27" s="1"/>
      <c r="B27" s="1"/>
      <c r="C27" s="1"/>
      <c r="D27" s="1"/>
      <c r="E27" s="1"/>
      <c r="F27" s="1"/>
      <c r="G27" s="1"/>
      <c r="H27" s="1"/>
    </row>
    <row r="28" spans="1:8" ht="22" customHeight="1">
      <c r="A28" s="1"/>
      <c r="B28" s="1" t="s">
        <v>26</v>
      </c>
      <c r="C28" s="1"/>
      <c r="D28" s="1"/>
      <c r="E28" s="1"/>
      <c r="F28" s="1"/>
      <c r="G28" s="1"/>
      <c r="H28" s="1"/>
    </row>
    <row r="29" spans="1:8" ht="22" customHeight="1">
      <c r="A29" s="1"/>
      <c r="B29" s="1" t="s">
        <v>27</v>
      </c>
      <c r="C29" s="1"/>
      <c r="D29" s="1"/>
      <c r="E29" s="1"/>
      <c r="F29" s="1"/>
      <c r="G29" s="1"/>
      <c r="H29" s="1"/>
    </row>
    <row r="30" spans="1:8" ht="22" customHeight="1">
      <c r="A30" s="1"/>
      <c r="B30" s="1" t="s">
        <v>28</v>
      </c>
      <c r="C30" s="1"/>
      <c r="D30" s="1"/>
      <c r="E30" s="1"/>
      <c r="F30" s="1"/>
      <c r="G30" s="1"/>
      <c r="H30" s="1"/>
    </row>
    <row r="31" spans="1:8" ht="22" customHeight="1">
      <c r="A31" s="1"/>
      <c r="B31" s="1"/>
      <c r="C31" s="1"/>
      <c r="D31" s="1"/>
      <c r="E31" s="1"/>
      <c r="F31" s="1"/>
      <c r="G31" s="1"/>
      <c r="H31" s="1"/>
    </row>
    <row r="32" spans="1:8" ht="22" customHeight="1">
      <c r="A32" s="1"/>
      <c r="B32" s="1"/>
      <c r="C32" s="1"/>
      <c r="D32" s="1"/>
      <c r="E32" s="1"/>
      <c r="F32" s="1"/>
      <c r="G32" s="1"/>
      <c r="H32" s="1"/>
    </row>
    <row r="33" spans="1:8" ht="22" customHeight="1">
      <c r="A33" s="1"/>
      <c r="B33" s="1"/>
      <c r="C33" s="1"/>
      <c r="D33" s="1"/>
      <c r="E33" s="1"/>
      <c r="F33" s="1"/>
      <c r="G33" s="1"/>
      <c r="H33" s="1"/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DA5"/>
  </sheetPr>
  <dimension ref="A1:J38"/>
  <sheetViews>
    <sheetView showGridLines="0" showRowColHeaders="0" workbookViewId="0">
      <selection activeCell="J1" sqref="J1"/>
    </sheetView>
  </sheetViews>
  <sheetFormatPr baseColWidth="10" defaultColWidth="8.83203125" defaultRowHeight="14"/>
  <cols>
    <col min="1" max="1" width="3" customWidth="1"/>
    <col min="2" max="2" width="59" customWidth="1"/>
    <col min="3" max="8" width="17" customWidth="1"/>
  </cols>
  <sheetData>
    <row r="1" spans="1:10" ht="2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1"/>
      <c r="B2" s="2" t="s">
        <v>29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/>
      <c r="C3" s="3"/>
      <c r="D3" s="3"/>
      <c r="E3" s="3"/>
      <c r="F3" s="3"/>
      <c r="G3" s="1"/>
      <c r="H3" s="1"/>
      <c r="I3" s="1"/>
      <c r="J3" s="1"/>
    </row>
    <row r="4" spans="1:10" ht="22" customHeight="1">
      <c r="A4" s="1"/>
      <c r="B4" s="1" t="s">
        <v>30</v>
      </c>
      <c r="C4" s="1"/>
      <c r="D4" s="1"/>
      <c r="E4" s="1"/>
      <c r="F4" s="1"/>
      <c r="G4" s="1"/>
      <c r="H4" s="1"/>
      <c r="I4" s="1"/>
      <c r="J4" s="1"/>
    </row>
    <row r="5" spans="1:10" ht="22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6" customHeight="1">
      <c r="A6" s="1"/>
      <c r="B6" s="4" t="s">
        <v>31</v>
      </c>
      <c r="C6" s="4" t="s">
        <v>3</v>
      </c>
      <c r="D6" s="4" t="s">
        <v>4</v>
      </c>
      <c r="E6" s="4" t="s">
        <v>5</v>
      </c>
      <c r="F6" s="1"/>
      <c r="G6" s="1"/>
      <c r="H6" s="1"/>
      <c r="I6" s="1"/>
      <c r="J6" s="1"/>
    </row>
    <row r="7" spans="1:10" ht="22" customHeight="1">
      <c r="A7" s="1"/>
      <c r="B7" s="1" t="s">
        <v>32</v>
      </c>
      <c r="C7" s="19">
        <f>'Reported Earnings'!C7-SUM('Reported Earnings'!C8:C10)-'Reported Earnings'!C11</f>
        <v>0</v>
      </c>
      <c r="D7" s="19">
        <f>'Reported Earnings'!D7-SUM('Reported Earnings'!D8:D10)-'Reported Earnings'!D11</f>
        <v>0</v>
      </c>
      <c r="E7" s="19">
        <f>'Reported Earnings'!E7-SUM('Reported Earnings'!E8:E10)-'Reported Earnings'!E11</f>
        <v>0</v>
      </c>
      <c r="F7" s="1"/>
      <c r="G7" s="1"/>
      <c r="H7" s="1"/>
      <c r="I7" s="1"/>
      <c r="J7" s="1"/>
    </row>
    <row r="8" spans="1:10" ht="22" customHeight="1">
      <c r="A8" s="1"/>
      <c r="B8" s="1" t="s">
        <v>33</v>
      </c>
      <c r="C8" s="19">
        <f>SUM('Reported Earnings'!C11:C14)-'Reported Earnings'!C15</f>
        <v>0</v>
      </c>
      <c r="D8" s="19">
        <f>SUM('Reported Earnings'!D11:D14)-'Reported Earnings'!D15</f>
        <v>0</v>
      </c>
      <c r="E8" s="19">
        <f>SUM('Reported Earnings'!E11:E14)-'Reported Earnings'!E15</f>
        <v>0</v>
      </c>
      <c r="F8" s="1"/>
      <c r="G8" s="1"/>
      <c r="H8" s="1"/>
      <c r="I8" s="1"/>
      <c r="J8" s="1"/>
    </row>
    <row r="9" spans="1:10" ht="22" customHeight="1">
      <c r="A9" s="1"/>
      <c r="B9" s="1" t="s">
        <v>34</v>
      </c>
      <c r="C9" s="19">
        <f>'Reported Earnings'!C15-'Reported Earnings'!C16-'Reported Earnings'!C17</f>
        <v>0</v>
      </c>
      <c r="D9" s="19">
        <f>'Reported Earnings'!D15-'Reported Earnings'!D16-'Reported Earnings'!D17</f>
        <v>0</v>
      </c>
      <c r="E9" s="19">
        <f>'Reported Earnings'!E15-'Reported Earnings'!E16-'Reported Earnings'!E17</f>
        <v>0</v>
      </c>
      <c r="F9" s="1"/>
      <c r="G9" s="1"/>
      <c r="H9" s="1"/>
      <c r="I9" s="1"/>
      <c r="J9" s="1"/>
    </row>
    <row r="10" spans="1:10" ht="22" customHeight="1">
      <c r="A10" s="1"/>
      <c r="B10" s="1" t="s">
        <v>35</v>
      </c>
      <c r="C10" s="19">
        <f>'Reported Earnings'!C17-'Reported Cash'!C8</f>
        <v>0</v>
      </c>
      <c r="D10" s="19">
        <f>'Reported Earnings'!D17-'Reported Cash'!D8</f>
        <v>0</v>
      </c>
      <c r="E10" s="19">
        <f>'Reported Earnings'!E17-'Reported Cash'!E8</f>
        <v>0</v>
      </c>
      <c r="F10" s="1"/>
      <c r="G10" s="1"/>
      <c r="H10" s="1"/>
      <c r="I10" s="1"/>
      <c r="J10" s="1"/>
    </row>
    <row r="11" spans="1:10" ht="22" customHeight="1">
      <c r="A11" s="1"/>
      <c r="B11" s="1" t="s">
        <v>36</v>
      </c>
      <c r="C11" s="19">
        <f>'Reported Cash'!C8+'Reported Cash'!C9+'Reported Cash'!C10+'Reported Cash'!C11+'Reported Cash'!C12+'Reported Cash'!C13+'Reported Cash'!C14+'Reported Cash'!C15+'Reported Cash'!C16+'Reported Cash'!C17-'Reported Cash'!C18</f>
        <v>1</v>
      </c>
      <c r="D11" s="19">
        <f>'Reported Cash'!D8+'Reported Cash'!D9+'Reported Cash'!D10+'Reported Cash'!D11+'Reported Cash'!D12+'Reported Cash'!D13+'Reported Cash'!D14+'Reported Cash'!D15+'Reported Cash'!D16+'Reported Cash'!D17-'Reported Cash'!D18</f>
        <v>1</v>
      </c>
      <c r="E11" s="19">
        <f>'Reported Cash'!E8+'Reported Cash'!E9+'Reported Cash'!E10+'Reported Cash'!E11+'Reported Cash'!E12+'Reported Cash'!E13+'Reported Cash'!E14+'Reported Cash'!E15+'Reported Cash'!E16+'Reported Cash'!E17-'Reported Cash'!E18</f>
        <v>1</v>
      </c>
      <c r="F11" s="1"/>
      <c r="G11" s="1"/>
      <c r="H11" s="1"/>
      <c r="I11" s="1"/>
      <c r="J11" s="1"/>
    </row>
    <row r="12" spans="1:10" ht="22" customHeight="1">
      <c r="A12" s="1"/>
      <c r="B12" s="1" t="s">
        <v>37</v>
      </c>
      <c r="C12" s="19">
        <f>'Reported Cash'!C19+'Reported Cash'!C20+'Reported Cash'!C21+'Reported Cash'!C22-'Reported Cash'!C23</f>
        <v>0</v>
      </c>
      <c r="D12" s="19">
        <f>'Reported Cash'!D19+'Reported Cash'!D20+'Reported Cash'!D21+'Reported Cash'!D22-'Reported Cash'!D23</f>
        <v>0</v>
      </c>
      <c r="E12" s="19">
        <f>'Reported Cash'!E19+'Reported Cash'!E20+'Reported Cash'!E21+'Reported Cash'!E22-'Reported Cash'!E23</f>
        <v>0</v>
      </c>
      <c r="F12" s="1"/>
      <c r="G12" s="1"/>
      <c r="H12" s="1"/>
      <c r="I12" s="1"/>
      <c r="J12" s="1"/>
    </row>
    <row r="13" spans="1:10" ht="22" customHeight="1">
      <c r="A13" s="1"/>
      <c r="B13" s="1" t="s">
        <v>38</v>
      </c>
      <c r="C13" s="19">
        <f>'Reported Cash'!C24+'Reported Cash'!C25+'Reported Cash'!C26+'Reported Cash'!C27+'Reported Cash'!C28+'Reported Cash'!C29+'Reported Cash'!C30+'Reported Cash'!C31-'Reported Cash'!C32</f>
        <v>0</v>
      </c>
      <c r="D13" s="19">
        <f>'Reported Cash'!D24+'Reported Cash'!D25+'Reported Cash'!D26+'Reported Cash'!D27+'Reported Cash'!D28+'Reported Cash'!D29+'Reported Cash'!D30+'Reported Cash'!D31-'Reported Cash'!D32</f>
        <v>1</v>
      </c>
      <c r="E13" s="19">
        <f>'Reported Cash'!E24+'Reported Cash'!E25+'Reported Cash'!E26+'Reported Cash'!E27+'Reported Cash'!E28+'Reported Cash'!E29+'Reported Cash'!E30+'Reported Cash'!E31-'Reported Cash'!E32</f>
        <v>0</v>
      </c>
      <c r="F13" s="1"/>
      <c r="G13" s="1"/>
      <c r="H13" s="1"/>
      <c r="I13" s="1"/>
      <c r="J13" s="1"/>
    </row>
    <row r="14" spans="1:10" ht="22" customHeight="1">
      <c r="A14" s="1"/>
      <c r="B14" s="1" t="s">
        <v>39</v>
      </c>
      <c r="C14" s="19">
        <f>'Reported Cash'!C18+'Reported Cash'!C23+'Reported Cash'!C32+'Reported Cash'!C33-'Reported Cash'!C34</f>
        <v>1</v>
      </c>
      <c r="D14" s="19">
        <f>'Reported Cash'!D18+'Reported Cash'!D23+'Reported Cash'!D32+'Reported Cash'!D33-'Reported Cash'!D34</f>
        <v>0</v>
      </c>
      <c r="E14" s="19">
        <f>'Reported Cash'!E18+'Reported Cash'!E23+'Reported Cash'!E32+'Reported Cash'!E33-'Reported Cash'!E34</f>
        <v>0</v>
      </c>
      <c r="F14" s="1"/>
      <c r="G14" s="1"/>
      <c r="H14" s="1"/>
      <c r="I14" s="1"/>
      <c r="J14" s="1"/>
    </row>
    <row r="15" spans="1:10" ht="22" customHeight="1">
      <c r="A15" s="1"/>
      <c r="B15" s="1" t="s">
        <v>40</v>
      </c>
      <c r="C15" s="19">
        <f>'Reported Cash'!C7+'Reported Cash'!C34-'Reported Cash'!C35</f>
        <v>-1</v>
      </c>
      <c r="D15" s="19">
        <f>'Reported Cash'!D7+'Reported Cash'!D34-'Reported Cash'!D35</f>
        <v>1</v>
      </c>
      <c r="E15" s="19">
        <f>'Reported Cash'!E7+'Reported Cash'!E34-'Reported Cash'!E35</f>
        <v>0</v>
      </c>
      <c r="F15" s="1"/>
      <c r="G15" s="1"/>
      <c r="H15" s="1"/>
      <c r="I15" s="1"/>
      <c r="J15" s="1"/>
    </row>
    <row r="16" spans="1:10" ht="22" customHeight="1">
      <c r="A16" s="1"/>
      <c r="B16" s="1"/>
      <c r="C16" s="19"/>
      <c r="D16" s="19"/>
      <c r="E16" s="19"/>
      <c r="F16" s="1"/>
      <c r="G16" s="1"/>
      <c r="H16" s="1"/>
      <c r="I16" s="1"/>
      <c r="J16" s="1"/>
    </row>
    <row r="17" spans="1:10" ht="22" customHeight="1">
      <c r="A17" s="1"/>
      <c r="B17" s="1" t="s">
        <v>41</v>
      </c>
      <c r="C17" s="19" t="s">
        <v>42</v>
      </c>
      <c r="D17" s="19">
        <f>'Reported Balance'!C19-'Reported Balance'!C38</f>
        <v>0</v>
      </c>
      <c r="E17" s="19">
        <f>'Reported Balance'!D19-'Reported Balance'!D38</f>
        <v>0</v>
      </c>
      <c r="F17" s="1"/>
      <c r="G17" s="1"/>
      <c r="H17" s="1"/>
      <c r="I17" s="1"/>
      <c r="J17" s="1"/>
    </row>
    <row r="18" spans="1:10" ht="22" customHeight="1">
      <c r="A18" s="1"/>
      <c r="B18" s="1" t="s">
        <v>43</v>
      </c>
      <c r="C18" s="19" t="s">
        <v>42</v>
      </c>
      <c r="D18" s="19">
        <f>'Reported Balance'!C27+'Reported Balance'!C37-'Reported Balance'!C19</f>
        <v>-1</v>
      </c>
      <c r="E18" s="19">
        <f>'Reported Balance'!D27+'Reported Balance'!D37-'Reported Balance'!D19</f>
        <v>0</v>
      </c>
      <c r="F18" s="1"/>
      <c r="G18" s="1"/>
      <c r="H18" s="1"/>
      <c r="I18" s="1"/>
      <c r="J18" s="1"/>
    </row>
    <row r="19" spans="1:10" ht="22" customHeight="1">
      <c r="A19" s="1"/>
      <c r="B19" s="1" t="s">
        <v>44</v>
      </c>
      <c r="C19" s="19" t="s">
        <v>42</v>
      </c>
      <c r="D19" s="19">
        <f>'Reported Cash'!D35-'Reported Balance'!C7</f>
        <v>0</v>
      </c>
      <c r="E19" s="19">
        <f>'Reported Cash'!E35-'Reported Balance'!D7</f>
        <v>0</v>
      </c>
      <c r="F19" s="1"/>
      <c r="G19" s="1"/>
      <c r="H19" s="1"/>
      <c r="I19" s="1"/>
      <c r="J19" s="1"/>
    </row>
    <row r="20" spans="1:10" ht="22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2" customHeight="1">
      <c r="A21" s="1"/>
      <c r="B21" s="1" t="s">
        <v>45</v>
      </c>
      <c r="C21" s="1"/>
      <c r="D21" s="1"/>
      <c r="E21" s="1"/>
      <c r="F21" s="1"/>
      <c r="G21" s="1"/>
      <c r="H21" s="1"/>
      <c r="I21" s="1"/>
      <c r="J21" s="1"/>
    </row>
    <row r="22" spans="1:10" ht="22" customHeight="1">
      <c r="A22" s="1"/>
      <c r="B22" s="1" t="s">
        <v>46</v>
      </c>
      <c r="C22" s="1"/>
      <c r="D22" s="1"/>
      <c r="E22" s="1"/>
      <c r="F22" s="1"/>
      <c r="G22" s="1"/>
      <c r="H22" s="1"/>
      <c r="I22" s="1"/>
      <c r="J22" s="1"/>
    </row>
    <row r="23" spans="1:10" ht="22" customHeight="1">
      <c r="A23" s="1"/>
      <c r="B23" s="1" t="s">
        <v>47</v>
      </c>
      <c r="C23" s="1"/>
      <c r="D23" s="1"/>
      <c r="E23" s="1"/>
      <c r="F23" s="1"/>
      <c r="G23" s="1"/>
      <c r="H23" s="1"/>
      <c r="I23" s="1"/>
      <c r="J23" s="1"/>
    </row>
    <row r="24" spans="1:10" ht="22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6" customHeight="1">
      <c r="A25" s="1"/>
      <c r="B25" s="4" t="s">
        <v>48</v>
      </c>
      <c r="C25" s="4" t="s">
        <v>49</v>
      </c>
      <c r="D25" s="1"/>
      <c r="E25" s="1"/>
      <c r="F25" s="1"/>
      <c r="G25" s="1"/>
      <c r="H25" s="1"/>
      <c r="I25" s="1"/>
      <c r="J25" s="1"/>
    </row>
    <row r="26" spans="1:10" ht="22" customHeight="1">
      <c r="A26" s="1"/>
      <c r="B26" s="7" t="s">
        <v>50</v>
      </c>
      <c r="C26" s="8">
        <f>'Reported Earnings'!E17</f>
        <v>16144</v>
      </c>
      <c r="D26" s="1"/>
      <c r="E26" s="1"/>
      <c r="F26" s="1"/>
      <c r="G26" s="1"/>
      <c r="H26" s="1"/>
      <c r="I26" s="1"/>
      <c r="J26" s="1"/>
    </row>
    <row r="27" spans="1:10" ht="22" customHeight="1">
      <c r="A27" s="1"/>
      <c r="B27" s="7" t="s">
        <v>51</v>
      </c>
      <c r="C27" s="8">
        <f>'Reported Cash'!E8</f>
        <v>16144</v>
      </c>
      <c r="D27" s="1"/>
      <c r="E27" s="1"/>
      <c r="F27" s="1"/>
      <c r="G27" s="1"/>
      <c r="H27" s="1"/>
      <c r="I27" s="1"/>
      <c r="J27" s="1"/>
    </row>
    <row r="28" spans="1:10" ht="22" customHeight="1">
      <c r="A28" s="1"/>
      <c r="B28" s="7" t="s">
        <v>52</v>
      </c>
      <c r="C28" s="8">
        <f>'Reported Cash'!E35</f>
        <v>9942</v>
      </c>
      <c r="D28" s="1"/>
      <c r="E28" s="1"/>
      <c r="F28" s="1"/>
      <c r="G28" s="1"/>
      <c r="H28" s="1"/>
      <c r="I28" s="1"/>
      <c r="J28" s="1"/>
    </row>
    <row r="29" spans="1:10" ht="22" customHeight="1">
      <c r="A29" s="1"/>
      <c r="B29" s="7" t="s">
        <v>53</v>
      </c>
      <c r="C29" s="8">
        <f>'Reported Balance'!D7</f>
        <v>9942</v>
      </c>
      <c r="D29" s="1"/>
      <c r="E29" s="1"/>
      <c r="F29" s="1"/>
      <c r="G29" s="1"/>
      <c r="H29" s="1"/>
      <c r="I29" s="1"/>
      <c r="J29" s="1"/>
    </row>
    <row r="30" spans="1:1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" customHeight="1">
      <c r="A31" s="1"/>
      <c r="B31" s="1" t="s">
        <v>54</v>
      </c>
      <c r="C31" s="1"/>
      <c r="D31" s="1"/>
      <c r="E31" s="1"/>
      <c r="F31" s="1"/>
      <c r="G31" s="1"/>
      <c r="H31" s="1"/>
      <c r="I31" s="1"/>
      <c r="J31" s="1"/>
    </row>
    <row r="32" spans="1:10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</sheetData>
  <phoneticPr fontId="9" type="noConversion"/>
  <conditionalFormatting sqref="C7:E19">
    <cfRule type="expression" dxfId="0" priority="1">
      <formula>AND(ISNUMBER(C7),ABS(C7)&gt;1)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DA5"/>
  </sheetPr>
  <dimension ref="A1:J35"/>
  <sheetViews>
    <sheetView showGridLines="0" showRowColHeaders="0" workbookViewId="0">
      <selection activeCell="J1" sqref="J1"/>
    </sheetView>
  </sheetViews>
  <sheetFormatPr baseColWidth="10" defaultColWidth="8.83203125" defaultRowHeight="14"/>
  <cols>
    <col min="1" max="1" width="3" customWidth="1"/>
    <col min="2" max="2" width="59" customWidth="1"/>
    <col min="3" max="8" width="17" customWidth="1"/>
  </cols>
  <sheetData>
    <row r="1" spans="1:10" ht="2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1"/>
      <c r="B2" s="2" t="s">
        <v>55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/>
      <c r="C3" s="3"/>
      <c r="D3" s="3"/>
      <c r="E3" s="3"/>
      <c r="F3" s="3"/>
      <c r="G3" s="1"/>
      <c r="H3" s="1"/>
      <c r="I3" s="1"/>
      <c r="J3" s="1"/>
    </row>
    <row r="4" spans="1:10" ht="22" customHeight="1">
      <c r="A4" s="1"/>
      <c r="B4" s="1" t="s">
        <v>56</v>
      </c>
      <c r="C4" s="1"/>
      <c r="D4" s="1"/>
      <c r="E4" s="1"/>
      <c r="F4" s="1"/>
      <c r="G4" s="1"/>
      <c r="H4" s="1"/>
      <c r="I4" s="1"/>
      <c r="J4" s="1"/>
    </row>
    <row r="5" spans="1:10" ht="22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6" customHeight="1">
      <c r="A6" s="1"/>
      <c r="B6" s="4" t="s">
        <v>57</v>
      </c>
      <c r="C6" s="4" t="s">
        <v>4</v>
      </c>
      <c r="D6" s="4" t="s">
        <v>5</v>
      </c>
      <c r="E6" s="4" t="s">
        <v>58</v>
      </c>
      <c r="F6" s="4" t="s">
        <v>59</v>
      </c>
      <c r="G6" s="1"/>
      <c r="H6" s="1"/>
      <c r="I6" s="1"/>
      <c r="J6" s="1"/>
    </row>
    <row r="7" spans="1:10" ht="22" customHeight="1">
      <c r="A7" s="1"/>
      <c r="B7" s="7" t="str">
        <f>'Reported Drivers'!B16</f>
        <v>Beauty</v>
      </c>
      <c r="C7" s="8">
        <f>'Reported Drivers'!C16</f>
        <v>14964</v>
      </c>
      <c r="D7" s="8">
        <f>'Reported Drivers'!D16</f>
        <v>16023</v>
      </c>
      <c r="E7" s="8">
        <f t="shared" ref="E7:E12" si="0">D7-C7</f>
        <v>1059</v>
      </c>
      <c r="F7" s="20">
        <f t="shared" ref="F7:F12" si="1">E7/$E$14</f>
        <v>0.38537117903930129</v>
      </c>
      <c r="G7" s="1"/>
      <c r="H7" s="1"/>
      <c r="I7" s="1"/>
      <c r="J7" s="1"/>
    </row>
    <row r="8" spans="1:10" ht="22" customHeight="1">
      <c r="A8" s="1"/>
      <c r="B8" s="1" t="str">
        <f>'Reported Drivers'!B17</f>
        <v>Grooming</v>
      </c>
      <c r="C8" s="5">
        <f>'Reported Drivers'!C17</f>
        <v>6662</v>
      </c>
      <c r="D8" s="5">
        <f>'Reported Drivers'!D17</f>
        <v>6918</v>
      </c>
      <c r="E8" s="5">
        <f t="shared" si="0"/>
        <v>256</v>
      </c>
      <c r="F8" s="10">
        <f t="shared" si="1"/>
        <v>9.3158660844250368E-2</v>
      </c>
      <c r="G8" s="1"/>
      <c r="H8" s="1"/>
      <c r="I8" s="1"/>
      <c r="J8" s="1"/>
    </row>
    <row r="9" spans="1:10" ht="22" customHeight="1">
      <c r="A9" s="1"/>
      <c r="B9" s="1" t="str">
        <f>'Reported Drivers'!B18</f>
        <v>Health Care</v>
      </c>
      <c r="C9" s="5">
        <f>'Reported Drivers'!C18</f>
        <v>11998</v>
      </c>
      <c r="D9" s="5">
        <f>'Reported Drivers'!D18</f>
        <v>12456</v>
      </c>
      <c r="E9" s="5">
        <f t="shared" si="0"/>
        <v>458</v>
      </c>
      <c r="F9" s="10">
        <f t="shared" si="1"/>
        <v>0.16666666666666666</v>
      </c>
      <c r="G9" s="1"/>
      <c r="H9" s="1"/>
      <c r="I9" s="1"/>
      <c r="J9" s="1"/>
    </row>
    <row r="10" spans="1:10" ht="22" customHeight="1">
      <c r="A10" s="1"/>
      <c r="B10" s="1" t="str">
        <f>'Reported Drivers'!B19</f>
        <v>Fabric &amp; Home Care</v>
      </c>
      <c r="C10" s="5">
        <f>'Reported Drivers'!C19</f>
        <v>29617</v>
      </c>
      <c r="D10" s="5">
        <f>'Reported Drivers'!D19</f>
        <v>30314</v>
      </c>
      <c r="E10" s="5">
        <f t="shared" si="0"/>
        <v>697</v>
      </c>
      <c r="F10" s="10">
        <f t="shared" si="1"/>
        <v>0.25363901018922852</v>
      </c>
      <c r="G10" s="1"/>
      <c r="H10" s="1"/>
      <c r="I10" s="1"/>
      <c r="J10" s="1"/>
    </row>
    <row r="11" spans="1:10" ht="22" customHeight="1">
      <c r="A11" s="1"/>
      <c r="B11" s="1" t="str">
        <f>'Reported Drivers'!B20</f>
        <v>Baby, Feminine &amp; Family Care</v>
      </c>
      <c r="C11" s="5">
        <f>'Reported Drivers'!C20</f>
        <v>20248</v>
      </c>
      <c r="D11" s="5">
        <f>'Reported Drivers'!D20</f>
        <v>20401</v>
      </c>
      <c r="E11" s="5">
        <f t="shared" si="0"/>
        <v>153</v>
      </c>
      <c r="F11" s="10">
        <f t="shared" si="1"/>
        <v>5.5676855895196505E-2</v>
      </c>
      <c r="G11" s="1"/>
      <c r="H11" s="1"/>
      <c r="I11" s="1"/>
      <c r="J11" s="1"/>
    </row>
    <row r="12" spans="1:10" ht="22" customHeight="1">
      <c r="A12" s="1"/>
      <c r="B12" s="1" t="str">
        <f>'Reported Drivers'!B21</f>
        <v>Corporate</v>
      </c>
      <c r="C12" s="5">
        <f>'Reported Drivers'!C21</f>
        <v>794</v>
      </c>
      <c r="D12" s="5">
        <f>'Reported Drivers'!D21</f>
        <v>919</v>
      </c>
      <c r="E12" s="5">
        <f t="shared" si="0"/>
        <v>125</v>
      </c>
      <c r="F12" s="10">
        <f t="shared" si="1"/>
        <v>4.5487627365356623E-2</v>
      </c>
      <c r="G12" s="1"/>
      <c r="H12" s="1"/>
      <c r="I12" s="1"/>
      <c r="J12" s="1"/>
    </row>
    <row r="13" spans="1:10" ht="22" customHeight="1">
      <c r="A13" s="1"/>
      <c r="B13" s="1"/>
      <c r="C13" s="5"/>
      <c r="D13" s="5"/>
      <c r="E13" s="5"/>
      <c r="F13" s="10"/>
      <c r="G13" s="1"/>
      <c r="H13" s="1"/>
      <c r="I13" s="1"/>
      <c r="J13" s="1"/>
    </row>
    <row r="14" spans="1:10" ht="22" customHeight="1">
      <c r="A14" s="1"/>
      <c r="B14" s="1" t="s">
        <v>60</v>
      </c>
      <c r="C14" s="5">
        <f>'Reported Earnings'!D7</f>
        <v>84284</v>
      </c>
      <c r="D14" s="5">
        <f>'Reported Earnings'!E7</f>
        <v>87032</v>
      </c>
      <c r="E14" s="5">
        <f>D14-C14</f>
        <v>2748</v>
      </c>
      <c r="F14" s="10">
        <f>SUM(F7:F12)</f>
        <v>1</v>
      </c>
      <c r="G14" s="1"/>
      <c r="H14" s="1"/>
      <c r="I14" s="1"/>
      <c r="J14" s="1"/>
    </row>
    <row r="15" spans="1:10" ht="22" customHeight="1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2" customHeight="1">
      <c r="A16" s="1"/>
      <c r="B16" s="1" t="s">
        <v>61</v>
      </c>
      <c r="C16" s="19">
        <f>SUM(C7:C12)-C14</f>
        <v>-1</v>
      </c>
      <c r="D16" s="19">
        <f>SUM(D7:D12)-D14</f>
        <v>-1</v>
      </c>
      <c r="E16" s="19">
        <f>SUM(E7:E12)-E14</f>
        <v>0</v>
      </c>
      <c r="F16" s="1"/>
      <c r="G16" s="1"/>
      <c r="H16" s="1"/>
      <c r="I16" s="1"/>
      <c r="J16" s="1"/>
    </row>
    <row r="17" spans="1:10" ht="22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2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6" customHeight="1">
      <c r="A19" s="1"/>
      <c r="B19" s="4" t="s">
        <v>62</v>
      </c>
      <c r="C19" s="4" t="s">
        <v>63</v>
      </c>
      <c r="D19" s="1"/>
      <c r="E19" s="1"/>
      <c r="F19" s="1"/>
      <c r="G19" s="1"/>
      <c r="H19" s="1"/>
      <c r="I19" s="1"/>
      <c r="J19" s="1"/>
    </row>
    <row r="20" spans="1:10" ht="22" customHeight="1">
      <c r="A20" s="1"/>
      <c r="B20" s="1" t="s">
        <v>64</v>
      </c>
      <c r="C20" s="10">
        <f>'Reported Drivers'!C12</f>
        <v>0</v>
      </c>
      <c r="D20" s="1"/>
      <c r="E20" s="1"/>
      <c r="F20" s="1"/>
      <c r="G20" s="1"/>
      <c r="H20" s="1"/>
      <c r="I20" s="1"/>
      <c r="J20" s="1"/>
    </row>
    <row r="21" spans="1:10" ht="22" customHeight="1">
      <c r="A21" s="1"/>
      <c r="B21" s="7" t="s">
        <v>65</v>
      </c>
      <c r="C21" s="20">
        <f>'Reported Drivers'!D12</f>
        <v>0.02</v>
      </c>
      <c r="D21" s="1"/>
      <c r="E21" s="1"/>
      <c r="F21" s="1"/>
      <c r="G21" s="1"/>
      <c r="H21" s="1"/>
      <c r="I21" s="1"/>
      <c r="J21" s="1"/>
    </row>
    <row r="22" spans="1:10" ht="22" customHeight="1">
      <c r="A22" s="1"/>
      <c r="B22" s="7" t="s">
        <v>66</v>
      </c>
      <c r="C22" s="20">
        <f>'Reported Drivers'!E12</f>
        <v>0.01</v>
      </c>
      <c r="D22" s="1"/>
      <c r="E22" s="1"/>
      <c r="F22" s="1"/>
      <c r="G22" s="1"/>
      <c r="H22" s="1"/>
      <c r="I22" s="1"/>
      <c r="J22" s="1"/>
    </row>
    <row r="23" spans="1:10" ht="22" customHeight="1">
      <c r="A23" s="1"/>
      <c r="B23" s="1" t="s">
        <v>67</v>
      </c>
      <c r="C23" s="10">
        <f>'Reported Drivers'!F12</f>
        <v>0</v>
      </c>
      <c r="D23" s="1"/>
      <c r="E23" s="1"/>
      <c r="F23" s="1"/>
      <c r="G23" s="1"/>
      <c r="H23" s="1"/>
      <c r="I23" s="1"/>
      <c r="J23" s="1"/>
    </row>
    <row r="24" spans="1:10" ht="22" customHeight="1">
      <c r="A24" s="1"/>
      <c r="B24" s="1" t="s">
        <v>68</v>
      </c>
      <c r="C24" s="10">
        <f>'Reported Drivers'!G12</f>
        <v>0</v>
      </c>
      <c r="D24" s="1"/>
      <c r="E24" s="1"/>
      <c r="F24" s="1"/>
      <c r="G24" s="1"/>
      <c r="H24" s="1"/>
      <c r="I24" s="1"/>
      <c r="J24" s="1"/>
    </row>
    <row r="25" spans="1:10" ht="22" customHeight="1">
      <c r="A25" s="1"/>
      <c r="B25" s="1" t="s">
        <v>69</v>
      </c>
      <c r="C25" s="10">
        <f>SUM(C20:C24)</f>
        <v>0.03</v>
      </c>
      <c r="D25" s="1"/>
      <c r="E25" s="1"/>
      <c r="F25" s="1"/>
      <c r="G25" s="1"/>
      <c r="H25" s="1"/>
      <c r="I25" s="1"/>
      <c r="J25" s="1"/>
    </row>
    <row r="26" spans="1:10" ht="22" customHeight="1">
      <c r="A26" s="1"/>
      <c r="B26" s="1" t="s">
        <v>70</v>
      </c>
      <c r="C26" s="10">
        <f>D14/C14-1</f>
        <v>3.2604052963788988E-2</v>
      </c>
      <c r="D26" s="1"/>
      <c r="E26" s="1"/>
      <c r="F26" s="1"/>
      <c r="G26" s="1"/>
      <c r="H26" s="1"/>
      <c r="I26" s="1"/>
      <c r="J26" s="1"/>
    </row>
    <row r="27" spans="1:10" ht="22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2" customHeight="1">
      <c r="A28" s="1"/>
      <c r="B28" s="1" t="s">
        <v>71</v>
      </c>
      <c r="C28" s="1"/>
      <c r="D28" s="1"/>
      <c r="E28" s="1"/>
      <c r="F28" s="1"/>
      <c r="G28" s="1"/>
      <c r="H28" s="1"/>
      <c r="I28" s="1"/>
      <c r="J28" s="1"/>
    </row>
    <row r="29" spans="1:10" ht="22" customHeight="1">
      <c r="A29" s="1"/>
      <c r="B29" s="1" t="s">
        <v>72</v>
      </c>
      <c r="C29" s="1"/>
      <c r="D29" s="1"/>
      <c r="E29" s="1"/>
      <c r="F29" s="1"/>
      <c r="G29" s="1"/>
      <c r="H29" s="1"/>
      <c r="I29" s="1"/>
      <c r="J29" s="1"/>
    </row>
    <row r="30" spans="1:10" ht="22" customHeight="1">
      <c r="A30" s="1"/>
      <c r="B30" s="1" t="s">
        <v>73</v>
      </c>
      <c r="C30" s="1"/>
      <c r="D30" s="1"/>
      <c r="E30" s="1"/>
      <c r="F30" s="1"/>
      <c r="G30" s="1"/>
      <c r="H30" s="1"/>
      <c r="I30" s="1"/>
      <c r="J30" s="1"/>
    </row>
    <row r="31" spans="1:10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spans="1:10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3DA5"/>
  </sheetPr>
  <dimension ref="A1:J37"/>
  <sheetViews>
    <sheetView showGridLines="0" showRowColHeaders="0" workbookViewId="0">
      <selection activeCell="J1" sqref="J1"/>
    </sheetView>
  </sheetViews>
  <sheetFormatPr baseColWidth="10" defaultColWidth="8.83203125" defaultRowHeight="14"/>
  <cols>
    <col min="1" max="1" width="3" customWidth="1"/>
    <col min="2" max="2" width="59" customWidth="1"/>
    <col min="3" max="8" width="17" customWidth="1"/>
  </cols>
  <sheetData>
    <row r="1" spans="1:10" ht="2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1"/>
      <c r="B2" s="2" t="s">
        <v>74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/>
      <c r="C3" s="3"/>
      <c r="D3" s="3"/>
      <c r="E3" s="3"/>
      <c r="F3" s="3"/>
      <c r="G3" s="1"/>
      <c r="H3" s="1"/>
      <c r="I3" s="1"/>
      <c r="J3" s="1"/>
    </row>
    <row r="4" spans="1:10" ht="22" customHeight="1">
      <c r="A4" s="1"/>
      <c r="B4" s="1" t="s">
        <v>75</v>
      </c>
      <c r="C4" s="1"/>
      <c r="D4" s="1"/>
      <c r="E4" s="1"/>
      <c r="F4" s="1"/>
      <c r="G4" s="1"/>
      <c r="H4" s="1"/>
      <c r="I4" s="1"/>
      <c r="J4" s="1"/>
    </row>
    <row r="5" spans="1:10" ht="22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6" customHeight="1">
      <c r="A6" s="1"/>
      <c r="B6" s="4" t="s">
        <v>76</v>
      </c>
      <c r="C6" s="4" t="s">
        <v>4</v>
      </c>
      <c r="D6" s="4" t="s">
        <v>5</v>
      </c>
      <c r="E6" s="4" t="s">
        <v>77</v>
      </c>
      <c r="F6" s="1"/>
      <c r="G6" s="1"/>
      <c r="H6" s="1"/>
      <c r="I6" s="1"/>
      <c r="J6" s="1"/>
    </row>
    <row r="7" spans="1:10" ht="22" customHeight="1">
      <c r="A7" s="1"/>
      <c r="B7" s="7" t="s">
        <v>13</v>
      </c>
      <c r="C7" s="20">
        <f>PG_1_Analysis!D9/PG_1_Analysis!D7</f>
        <v>0.51160362583645769</v>
      </c>
      <c r="D7" s="20">
        <f>PG_1_Analysis!E9/PG_1_Analysis!E7</f>
        <v>0.50176946410515677</v>
      </c>
      <c r="E7" s="21">
        <f>(D7-C7)*10000</f>
        <v>-98.341617313009166</v>
      </c>
      <c r="F7" s="1"/>
      <c r="G7" s="1"/>
      <c r="H7" s="1"/>
      <c r="I7" s="1"/>
      <c r="J7" s="1"/>
    </row>
    <row r="8" spans="1:10" ht="22" customHeight="1">
      <c r="A8" s="1"/>
      <c r="B8" s="7" t="s">
        <v>78</v>
      </c>
      <c r="C8" s="20">
        <f>PG_1_Analysis!D10/PG_1_Analysis!D7</f>
        <v>0.26895970765507093</v>
      </c>
      <c r="D8" s="20">
        <f>PG_1_Analysis!E10/PG_1_Analysis!E7</f>
        <v>0.274864417685449</v>
      </c>
      <c r="E8" s="21">
        <f>(D8-C8)*10000</f>
        <v>59.047100303780688</v>
      </c>
      <c r="F8" s="1"/>
      <c r="G8" s="1"/>
      <c r="H8" s="1"/>
      <c r="I8" s="1"/>
      <c r="J8" s="1"/>
    </row>
    <row r="9" spans="1:10" ht="22" customHeight="1">
      <c r="A9" s="1"/>
      <c r="B9" s="7" t="s">
        <v>14</v>
      </c>
      <c r="C9" s="20">
        <f>PG_1_Analysis!D12/PG_1_Analysis!D7</f>
        <v>0.24264391818138675</v>
      </c>
      <c r="D9" s="20">
        <f>PG_1_Analysis!E12/PG_1_Analysis!E7</f>
        <v>0.22690504641970768</v>
      </c>
      <c r="E9" s="21">
        <f>(D9-C9)*10000</f>
        <v>-157.38871761679067</v>
      </c>
      <c r="F9" s="1"/>
      <c r="G9" s="1"/>
      <c r="H9" s="1"/>
      <c r="I9" s="1"/>
      <c r="J9" s="1"/>
    </row>
    <row r="10" spans="1:10" ht="22" customHeight="1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ht="22" customHeight="1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ht="26" customHeight="1">
      <c r="A12" s="1"/>
      <c r="B12" s="4" t="s">
        <v>79</v>
      </c>
      <c r="C12" s="4" t="s">
        <v>80</v>
      </c>
      <c r="D12" s="1"/>
      <c r="E12" s="1"/>
      <c r="F12" s="1"/>
      <c r="G12" s="1"/>
      <c r="H12" s="1"/>
      <c r="I12" s="1"/>
      <c r="J12" s="1"/>
    </row>
    <row r="13" spans="1:10" ht="22" customHeight="1">
      <c r="A13" s="1"/>
      <c r="B13" s="7" t="str">
        <f>'Reported Drivers'!B25</f>
        <v>Product mix</v>
      </c>
      <c r="C13" s="23">
        <f>'Reported Drivers'!C25</f>
        <v>-120</v>
      </c>
      <c r="D13" s="1"/>
      <c r="E13" s="1"/>
      <c r="F13" s="1"/>
      <c r="G13" s="1"/>
      <c r="H13" s="1"/>
      <c r="I13" s="1"/>
      <c r="J13" s="1"/>
    </row>
    <row r="14" spans="1:10" ht="22" customHeight="1">
      <c r="A14" s="1"/>
      <c r="B14" s="7" t="str">
        <f>'Reported Drivers'!B26</f>
        <v>Product and packaging investment</v>
      </c>
      <c r="C14" s="23">
        <f>'Reported Drivers'!C26</f>
        <v>-70</v>
      </c>
      <c r="D14" s="1"/>
      <c r="E14" s="1"/>
      <c r="F14" s="1"/>
      <c r="G14" s="1"/>
      <c r="H14" s="1"/>
      <c r="I14" s="1"/>
      <c r="J14" s="1"/>
    </row>
    <row r="15" spans="1:10" ht="22" customHeight="1">
      <c r="A15" s="1"/>
      <c r="B15" s="7" t="str">
        <f>'Reported Drivers'!B27</f>
        <v>Restructuring</v>
      </c>
      <c r="C15" s="23">
        <f>'Reported Drivers'!C27</f>
        <v>-60</v>
      </c>
      <c r="D15" s="1"/>
      <c r="E15" s="1"/>
      <c r="F15" s="1"/>
      <c r="G15" s="1"/>
      <c r="H15" s="1"/>
      <c r="I15" s="1"/>
      <c r="J15" s="1"/>
    </row>
    <row r="16" spans="1:10" ht="22" customHeight="1">
      <c r="A16" s="1"/>
      <c r="B16" s="1" t="str">
        <f>'Reported Drivers'!B28</f>
        <v>Net tariffs</v>
      </c>
      <c r="C16" s="22">
        <f>'Reported Drivers'!C28</f>
        <v>-30</v>
      </c>
      <c r="D16" s="1"/>
      <c r="E16" s="1"/>
      <c r="F16" s="1"/>
      <c r="G16" s="1"/>
      <c r="H16" s="1"/>
      <c r="I16" s="1"/>
      <c r="J16" s="1"/>
    </row>
    <row r="17" spans="1:10" ht="22" customHeight="1">
      <c r="A17" s="1"/>
      <c r="B17" s="1" t="str">
        <f>'Reported Drivers'!B29</f>
        <v>Commodities</v>
      </c>
      <c r="C17" s="22">
        <f>'Reported Drivers'!C29</f>
        <v>-20</v>
      </c>
      <c r="D17" s="1"/>
      <c r="E17" s="1"/>
      <c r="F17" s="1"/>
      <c r="G17" s="1"/>
      <c r="H17" s="1"/>
      <c r="I17" s="1"/>
      <c r="J17" s="1"/>
    </row>
    <row r="18" spans="1:10" ht="22" customHeight="1">
      <c r="A18" s="1"/>
      <c r="B18" s="1" t="str">
        <f>'Reported Drivers'!B30</f>
        <v>Foreign exchange</v>
      </c>
      <c r="C18" s="22">
        <f>'Reported Drivers'!C30</f>
        <v>-10</v>
      </c>
      <c r="D18" s="1"/>
      <c r="E18" s="1"/>
      <c r="F18" s="1"/>
      <c r="G18" s="1"/>
      <c r="H18" s="1"/>
      <c r="I18" s="1"/>
      <c r="J18" s="1"/>
    </row>
    <row r="19" spans="1:10" ht="22" customHeight="1">
      <c r="A19" s="1"/>
      <c r="B19" s="1" t="str">
        <f>'Reported Drivers'!B31</f>
        <v>Other and rounding</v>
      </c>
      <c r="C19" s="22">
        <f>'Reported Drivers'!C31</f>
        <v>-10</v>
      </c>
      <c r="D19" s="1"/>
      <c r="E19" s="1"/>
      <c r="F19" s="1"/>
      <c r="G19" s="1"/>
      <c r="H19" s="1"/>
      <c r="I19" s="1"/>
      <c r="J19" s="1"/>
    </row>
    <row r="20" spans="1:10" ht="22" customHeight="1">
      <c r="A20" s="1"/>
      <c r="B20" s="7" t="str">
        <f>'Reported Drivers'!B32</f>
        <v>Manufacturing productivity</v>
      </c>
      <c r="C20" s="23">
        <f>'Reported Drivers'!C32</f>
        <v>180</v>
      </c>
      <c r="D20" s="1"/>
      <c r="E20" s="1"/>
      <c r="F20" s="1"/>
      <c r="G20" s="1"/>
      <c r="H20" s="1"/>
      <c r="I20" s="1"/>
      <c r="J20" s="1"/>
    </row>
    <row r="21" spans="1:10" ht="22" customHeight="1">
      <c r="A21" s="1"/>
      <c r="B21" s="7" t="str">
        <f>'Reported Drivers'!B33</f>
        <v>Pricing</v>
      </c>
      <c r="C21" s="23">
        <f>'Reported Drivers'!C33</f>
        <v>40</v>
      </c>
      <c r="D21" s="1"/>
      <c r="E21" s="1"/>
      <c r="F21" s="1"/>
      <c r="G21" s="1"/>
      <c r="H21" s="1"/>
      <c r="I21" s="1"/>
      <c r="J21" s="1"/>
    </row>
    <row r="22" spans="1:10" ht="22" customHeight="1">
      <c r="A22" s="1"/>
      <c r="B22" s="7" t="s">
        <v>81</v>
      </c>
      <c r="C22" s="23">
        <f>SUM(C13:C21)</f>
        <v>-100</v>
      </c>
      <c r="D22" s="1"/>
      <c r="E22" s="1"/>
      <c r="F22" s="1"/>
      <c r="G22" s="1"/>
      <c r="H22" s="1"/>
      <c r="I22" s="1"/>
      <c r="J22" s="1"/>
    </row>
    <row r="23" spans="1:10" ht="22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2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2" customHeight="1">
      <c r="A25" s="1"/>
      <c r="B25" s="1" t="s">
        <v>82</v>
      </c>
      <c r="C25" s="5">
        <f>PG_1_Analysis!F10</f>
        <v>1253</v>
      </c>
      <c r="D25" s="1"/>
      <c r="E25" s="1"/>
      <c r="F25" s="1"/>
      <c r="G25" s="1"/>
      <c r="H25" s="1"/>
      <c r="I25" s="1"/>
      <c r="J25" s="1"/>
    </row>
    <row r="26" spans="1:10" ht="22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2" customHeight="1">
      <c r="A27" s="1"/>
      <c r="B27" s="1" t="s">
        <v>83</v>
      </c>
      <c r="C27" s="1"/>
      <c r="D27" s="1"/>
      <c r="E27" s="1"/>
      <c r="F27" s="1"/>
      <c r="G27" s="1"/>
      <c r="H27" s="1"/>
      <c r="I27" s="1"/>
      <c r="J27" s="1"/>
    </row>
    <row r="28" spans="1:10" ht="22" customHeight="1">
      <c r="A28" s="1"/>
      <c r="B28" s="1" t="s">
        <v>84</v>
      </c>
      <c r="C28" s="1"/>
      <c r="D28" s="1"/>
      <c r="E28" s="1"/>
      <c r="F28" s="1"/>
      <c r="G28" s="1"/>
      <c r="H28" s="1"/>
      <c r="I28" s="1"/>
      <c r="J28" s="1"/>
    </row>
    <row r="29" spans="1:10" ht="22" customHeight="1">
      <c r="A29" s="1"/>
      <c r="B29" s="1" t="s">
        <v>85</v>
      </c>
      <c r="C29" s="1"/>
      <c r="D29" s="1"/>
      <c r="E29" s="1"/>
      <c r="F29" s="1"/>
      <c r="G29" s="1"/>
      <c r="H29" s="1"/>
      <c r="I29" s="1"/>
      <c r="J29" s="1"/>
    </row>
    <row r="30" spans="1:1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2" customHeight="1">
      <c r="A31" s="1"/>
      <c r="B31" s="1" t="s">
        <v>86</v>
      </c>
      <c r="C31" s="1"/>
      <c r="D31" s="1"/>
      <c r="E31" s="1"/>
      <c r="F31" s="1"/>
      <c r="G31" s="1"/>
      <c r="H31" s="1"/>
      <c r="I31" s="1"/>
      <c r="J31" s="1"/>
    </row>
    <row r="32" spans="1:10" ht="22" customHeight="1">
      <c r="A32" s="1"/>
      <c r="B32" s="1" t="s">
        <v>87</v>
      </c>
      <c r="C32" s="1"/>
      <c r="D32" s="1"/>
      <c r="E32" s="1"/>
      <c r="F32" s="1"/>
      <c r="G32" s="1"/>
      <c r="H32" s="1"/>
      <c r="I32" s="1"/>
      <c r="J32" s="1"/>
    </row>
    <row r="33" spans="1:10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spans="1:10" ht="22" customHeight="1">
      <c r="A34" s="1"/>
      <c r="B34" s="1" t="s">
        <v>88</v>
      </c>
      <c r="C34" s="1"/>
      <c r="D34" s="1"/>
      <c r="E34" s="1"/>
      <c r="F34" s="1"/>
      <c r="G34" s="1"/>
      <c r="H34" s="1"/>
      <c r="I34" s="1"/>
      <c r="J34" s="1"/>
    </row>
    <row r="35" spans="1:10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FC9A3"/>
  </sheetPr>
  <dimension ref="A1:H33"/>
  <sheetViews>
    <sheetView showGridLines="0" showRowColHeaders="0" zoomScale="110" zoomScaleNormal="110" workbookViewId="0">
      <selection activeCell="H1" sqref="H1"/>
    </sheetView>
  </sheetViews>
  <sheetFormatPr baseColWidth="10" defaultColWidth="8.83203125" defaultRowHeight="14"/>
  <cols>
    <col min="1" max="1" width="3" customWidth="1"/>
    <col min="2" max="2" width="58" customWidth="1"/>
    <col min="3" max="6" width="17" customWidth="1"/>
    <col min="7" max="8" width="3" customWidth="1"/>
  </cols>
  <sheetData>
    <row r="1" spans="1:8" ht="22" customHeight="1">
      <c r="A1" s="1"/>
      <c r="B1" s="1"/>
      <c r="C1" s="1"/>
      <c r="D1" s="1"/>
      <c r="E1" s="1"/>
      <c r="F1" s="1"/>
      <c r="G1" s="1"/>
      <c r="H1" s="1"/>
    </row>
    <row r="2" spans="1:8" ht="22" customHeight="1">
      <c r="A2" s="1"/>
      <c r="B2" s="2" t="s">
        <v>89</v>
      </c>
      <c r="C2" s="1"/>
      <c r="D2" s="1"/>
      <c r="E2" s="1"/>
      <c r="F2" s="1"/>
      <c r="G2" s="1"/>
      <c r="H2" s="1"/>
    </row>
    <row r="3" spans="1:8" ht="22" customHeight="1">
      <c r="A3" s="1"/>
      <c r="B3" s="3"/>
      <c r="C3" s="3"/>
      <c r="D3" s="3"/>
      <c r="E3" s="3"/>
      <c r="F3" s="3"/>
      <c r="G3" s="1"/>
      <c r="H3" s="1"/>
    </row>
    <row r="4" spans="1:8" ht="22" customHeight="1">
      <c r="A4" s="1"/>
      <c r="B4" s="1" t="s">
        <v>90</v>
      </c>
      <c r="C4" s="1"/>
      <c r="D4" s="1"/>
      <c r="E4" s="1"/>
      <c r="F4" s="1"/>
      <c r="G4" s="1"/>
      <c r="H4" s="1"/>
    </row>
    <row r="5" spans="1:8" ht="22" customHeight="1">
      <c r="A5" s="1"/>
      <c r="B5" s="1"/>
      <c r="C5" s="1"/>
      <c r="D5" s="1"/>
      <c r="E5" s="1"/>
      <c r="F5" s="1"/>
      <c r="G5" s="1"/>
      <c r="H5" s="1"/>
    </row>
    <row r="6" spans="1:8" ht="26" customHeight="1">
      <c r="A6" s="1"/>
      <c r="B6" s="4" t="s">
        <v>91</v>
      </c>
      <c r="C6" s="4" t="s">
        <v>3</v>
      </c>
      <c r="D6" s="4" t="s">
        <v>4</v>
      </c>
      <c r="E6" s="4" t="s">
        <v>5</v>
      </c>
      <c r="F6" s="4" t="s">
        <v>92</v>
      </c>
      <c r="G6" s="1"/>
      <c r="H6" s="1"/>
    </row>
    <row r="7" spans="1:8" ht="22" customHeight="1">
      <c r="A7" s="1"/>
      <c r="B7" s="7" t="s">
        <v>7</v>
      </c>
      <c r="C7" s="8">
        <v>84039</v>
      </c>
      <c r="D7" s="8">
        <v>84284</v>
      </c>
      <c r="E7" s="8">
        <v>87032</v>
      </c>
      <c r="F7" s="1" t="s">
        <v>93</v>
      </c>
      <c r="G7" s="1"/>
      <c r="H7" s="1"/>
    </row>
    <row r="8" spans="1:8" ht="22" customHeight="1">
      <c r="A8" s="1"/>
      <c r="B8" s="1" t="s">
        <v>8</v>
      </c>
      <c r="C8" s="5">
        <v>40848</v>
      </c>
      <c r="D8" s="5">
        <v>41164</v>
      </c>
      <c r="E8" s="5">
        <v>43362</v>
      </c>
      <c r="F8" s="1" t="s">
        <v>93</v>
      </c>
      <c r="G8" s="1"/>
      <c r="H8" s="1"/>
    </row>
    <row r="9" spans="1:8" ht="22" customHeight="1">
      <c r="A9" s="1"/>
      <c r="B9" s="1" t="s">
        <v>94</v>
      </c>
      <c r="C9" s="5">
        <v>23305</v>
      </c>
      <c r="D9" s="5">
        <v>22669</v>
      </c>
      <c r="E9" s="5">
        <v>23922</v>
      </c>
      <c r="F9" s="1" t="s">
        <v>93</v>
      </c>
      <c r="G9" s="1"/>
      <c r="H9" s="1"/>
    </row>
    <row r="10" spans="1:8" ht="22" customHeight="1">
      <c r="A10" s="1"/>
      <c r="B10" s="1" t="s">
        <v>95</v>
      </c>
      <c r="C10" s="5">
        <v>1341</v>
      </c>
      <c r="D10" s="5">
        <v>0</v>
      </c>
      <c r="E10" s="5">
        <v>0</v>
      </c>
      <c r="F10" s="1" t="s">
        <v>93</v>
      </c>
      <c r="G10" s="1"/>
      <c r="H10" s="1"/>
    </row>
    <row r="11" spans="1:8" ht="22" customHeight="1">
      <c r="A11" s="1"/>
      <c r="B11" s="7" t="s">
        <v>12</v>
      </c>
      <c r="C11" s="8">
        <v>18545</v>
      </c>
      <c r="D11" s="8">
        <v>20451</v>
      </c>
      <c r="E11" s="8">
        <v>19748</v>
      </c>
      <c r="F11" s="1" t="s">
        <v>93</v>
      </c>
      <c r="G11" s="1"/>
      <c r="H11" s="1"/>
    </row>
    <row r="12" spans="1:8" ht="22" customHeight="1">
      <c r="A12" s="1"/>
      <c r="B12" s="1" t="s">
        <v>96</v>
      </c>
      <c r="C12" s="5">
        <v>-925</v>
      </c>
      <c r="D12" s="5">
        <v>-907</v>
      </c>
      <c r="E12" s="5">
        <v>-877</v>
      </c>
      <c r="F12" s="1" t="s">
        <v>93</v>
      </c>
      <c r="G12" s="1"/>
      <c r="H12" s="1"/>
    </row>
    <row r="13" spans="1:8" ht="22" customHeight="1">
      <c r="A13" s="1"/>
      <c r="B13" s="1" t="s">
        <v>97</v>
      </c>
      <c r="C13" s="5">
        <v>473</v>
      </c>
      <c r="D13" s="5">
        <v>469</v>
      </c>
      <c r="E13" s="5">
        <v>430</v>
      </c>
      <c r="F13" s="1" t="s">
        <v>93</v>
      </c>
      <c r="G13" s="1"/>
      <c r="H13" s="1"/>
    </row>
    <row r="14" spans="1:8" ht="22" customHeight="1">
      <c r="A14" s="1"/>
      <c r="B14" s="1" t="s">
        <v>98</v>
      </c>
      <c r="C14" s="5">
        <v>668</v>
      </c>
      <c r="D14" s="5">
        <v>154</v>
      </c>
      <c r="E14" s="5">
        <v>1076</v>
      </c>
      <c r="F14" s="1" t="s">
        <v>93</v>
      </c>
      <c r="G14" s="1"/>
      <c r="H14" s="1"/>
    </row>
    <row r="15" spans="1:8" ht="22" customHeight="1">
      <c r="A15" s="1"/>
      <c r="B15" s="1" t="s">
        <v>99</v>
      </c>
      <c r="C15" s="5">
        <v>18761</v>
      </c>
      <c r="D15" s="5">
        <v>20167</v>
      </c>
      <c r="E15" s="5">
        <v>20377</v>
      </c>
      <c r="F15" s="1" t="s">
        <v>93</v>
      </c>
      <c r="G15" s="1"/>
      <c r="H15" s="1"/>
    </row>
    <row r="16" spans="1:8" ht="22" customHeight="1">
      <c r="A16" s="1"/>
      <c r="B16" s="1" t="s">
        <v>100</v>
      </c>
      <c r="C16" s="5">
        <v>3787</v>
      </c>
      <c r="D16" s="5">
        <v>4102</v>
      </c>
      <c r="E16" s="5">
        <v>4233</v>
      </c>
      <c r="F16" s="1" t="s">
        <v>93</v>
      </c>
      <c r="G16" s="1"/>
      <c r="H16" s="1"/>
    </row>
    <row r="17" spans="1:8" ht="22" customHeight="1">
      <c r="A17" s="1"/>
      <c r="B17" s="1" t="s">
        <v>101</v>
      </c>
      <c r="C17" s="5">
        <v>14974</v>
      </c>
      <c r="D17" s="5">
        <v>16065</v>
      </c>
      <c r="E17" s="5">
        <v>16144</v>
      </c>
      <c r="F17" s="1" t="s">
        <v>93</v>
      </c>
      <c r="G17" s="1"/>
      <c r="H17" s="1"/>
    </row>
    <row r="18" spans="1:8" ht="22" customHeight="1">
      <c r="A18" s="1"/>
      <c r="B18" s="1" t="s">
        <v>102</v>
      </c>
      <c r="C18" s="5">
        <v>95</v>
      </c>
      <c r="D18" s="5">
        <v>91</v>
      </c>
      <c r="E18" s="5">
        <v>98</v>
      </c>
      <c r="F18" s="1" t="s">
        <v>93</v>
      </c>
      <c r="G18" s="1"/>
      <c r="H18" s="1"/>
    </row>
    <row r="19" spans="1:8" ht="22" customHeight="1">
      <c r="A19" s="1"/>
      <c r="B19" s="1" t="s">
        <v>103</v>
      </c>
      <c r="C19" s="5">
        <v>14879</v>
      </c>
      <c r="D19" s="5">
        <v>15974</v>
      </c>
      <c r="E19" s="5">
        <v>16046</v>
      </c>
      <c r="F19" s="1" t="s">
        <v>93</v>
      </c>
      <c r="G19" s="1"/>
      <c r="H19" s="1"/>
    </row>
    <row r="20" spans="1:8" ht="22" customHeight="1">
      <c r="A20" s="1"/>
      <c r="B20" s="1" t="s">
        <v>104</v>
      </c>
      <c r="C20" s="6">
        <v>6.18</v>
      </c>
      <c r="D20" s="6">
        <v>6.67</v>
      </c>
      <c r="E20" s="6">
        <v>6.75</v>
      </c>
      <c r="F20" s="1" t="s">
        <v>93</v>
      </c>
      <c r="G20" s="1"/>
      <c r="H20" s="1"/>
    </row>
    <row r="21" spans="1:8" ht="22" customHeight="1">
      <c r="A21" s="1"/>
      <c r="B21" s="1" t="s">
        <v>105</v>
      </c>
      <c r="C21" s="6">
        <v>6.02</v>
      </c>
      <c r="D21" s="6">
        <v>6.51</v>
      </c>
      <c r="E21" s="6">
        <v>6.62</v>
      </c>
      <c r="F21" s="1" t="s">
        <v>93</v>
      </c>
      <c r="G21" s="1"/>
      <c r="H21" s="1"/>
    </row>
    <row r="22" spans="1:8" ht="22" customHeight="1">
      <c r="A22" s="1"/>
      <c r="B22" s="1"/>
      <c r="C22" s="1"/>
      <c r="D22" s="1"/>
      <c r="E22" s="1"/>
      <c r="F22" s="1"/>
      <c r="G22" s="1"/>
      <c r="H22" s="1"/>
    </row>
    <row r="23" spans="1:8" ht="22" customHeight="1">
      <c r="A23" s="1"/>
      <c r="B23" s="1" t="s">
        <v>106</v>
      </c>
      <c r="C23" s="1"/>
      <c r="D23" s="1"/>
      <c r="E23" s="1"/>
      <c r="F23" s="1"/>
      <c r="G23" s="1"/>
      <c r="H23" s="1"/>
    </row>
    <row r="24" spans="1:8" ht="22" customHeight="1">
      <c r="A24" s="1"/>
      <c r="B24" s="1" t="s">
        <v>107</v>
      </c>
      <c r="C24" s="1"/>
      <c r="D24" s="1"/>
      <c r="E24" s="1"/>
      <c r="F24" s="1"/>
      <c r="G24" s="1"/>
      <c r="H24" s="1"/>
    </row>
    <row r="25" spans="1:8" ht="22" customHeight="1">
      <c r="A25" s="1"/>
      <c r="B25" s="1" t="s">
        <v>108</v>
      </c>
      <c r="C25" s="1"/>
      <c r="D25" s="1"/>
      <c r="E25" s="1"/>
      <c r="F25" s="1"/>
      <c r="G25" s="1"/>
      <c r="H25" s="1"/>
    </row>
    <row r="26" spans="1:8" ht="22" customHeight="1">
      <c r="A26" s="1"/>
      <c r="B26" s="1" t="s">
        <v>109</v>
      </c>
      <c r="C26" s="1"/>
      <c r="D26" s="1"/>
      <c r="E26" s="1"/>
      <c r="F26" s="1"/>
      <c r="G26" s="1"/>
      <c r="H26" s="1"/>
    </row>
    <row r="27" spans="1:8" ht="22" customHeight="1">
      <c r="A27" s="1"/>
      <c r="B27" s="1"/>
      <c r="C27" s="1"/>
      <c r="D27" s="1"/>
      <c r="E27" s="1"/>
      <c r="F27" s="1"/>
      <c r="G27" s="1"/>
      <c r="H27" s="1"/>
    </row>
    <row r="28" spans="1:8" ht="22" customHeight="1">
      <c r="A28" s="1"/>
      <c r="B28" s="9" t="s">
        <v>110</v>
      </c>
      <c r="C28" s="1"/>
      <c r="D28" s="1"/>
      <c r="E28" s="1"/>
      <c r="F28" s="1"/>
      <c r="G28" s="1"/>
      <c r="H28" s="1"/>
    </row>
    <row r="29" spans="1:8" ht="22" customHeight="1">
      <c r="A29" s="1"/>
      <c r="B29" s="1"/>
      <c r="C29" s="1"/>
      <c r="D29" s="1"/>
      <c r="E29" s="1"/>
      <c r="F29" s="1"/>
      <c r="G29" s="1"/>
      <c r="H29" s="1"/>
    </row>
    <row r="30" spans="1:8" ht="22" customHeight="1">
      <c r="A30" s="1"/>
      <c r="B30" s="1"/>
      <c r="C30" s="1"/>
      <c r="D30" s="1"/>
      <c r="E30" s="1"/>
      <c r="F30" s="1"/>
      <c r="G30" s="1"/>
      <c r="H30" s="1"/>
    </row>
    <row r="31" spans="1:8" ht="22" customHeight="1">
      <c r="A31" s="1"/>
      <c r="B31" s="1"/>
      <c r="C31" s="1"/>
      <c r="D31" s="1"/>
      <c r="E31" s="1"/>
      <c r="F31" s="1"/>
      <c r="G31" s="1"/>
      <c r="H31" s="1"/>
    </row>
    <row r="32" spans="1:8" ht="22" customHeight="1">
      <c r="A32" s="1"/>
      <c r="B32" s="1"/>
      <c r="C32" s="1"/>
      <c r="D32" s="1"/>
      <c r="E32" s="1"/>
      <c r="F32" s="1"/>
      <c r="G32" s="1"/>
      <c r="H32" s="1"/>
    </row>
    <row r="33" spans="1:8" ht="22" customHeight="1">
      <c r="A33" s="1"/>
      <c r="B33" s="1"/>
      <c r="C33" s="1"/>
      <c r="D33" s="1"/>
      <c r="E33" s="1"/>
      <c r="F33" s="1"/>
      <c r="G33" s="1"/>
      <c r="H33" s="1"/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FC9A3"/>
  </sheetPr>
  <dimension ref="A1:J46"/>
  <sheetViews>
    <sheetView showGridLines="0" showRowColHeaders="0" zoomScale="80" zoomScaleNormal="80" workbookViewId="0">
      <selection activeCell="J1" sqref="J1"/>
    </sheetView>
  </sheetViews>
  <sheetFormatPr baseColWidth="10" defaultColWidth="8.83203125" defaultRowHeight="14"/>
  <cols>
    <col min="1" max="1" width="3" customWidth="1"/>
    <col min="2" max="2" width="59" customWidth="1"/>
    <col min="3" max="8" width="17" customWidth="1"/>
  </cols>
  <sheetData>
    <row r="1" spans="1:10" ht="2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1"/>
      <c r="B2" s="2" t="s">
        <v>111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/>
      <c r="C3" s="3"/>
      <c r="D3" s="3"/>
      <c r="E3" s="3"/>
      <c r="F3" s="3"/>
      <c r="G3" s="1"/>
      <c r="H3" s="1"/>
      <c r="I3" s="1"/>
      <c r="J3" s="1"/>
    </row>
    <row r="4" spans="1:10" ht="22" customHeight="1">
      <c r="A4" s="1"/>
      <c r="B4" s="1" t="s">
        <v>112</v>
      </c>
      <c r="C4" s="1"/>
      <c r="D4" s="1"/>
      <c r="E4" s="1"/>
      <c r="F4" s="1"/>
      <c r="G4" s="1"/>
      <c r="H4" s="1"/>
      <c r="I4" s="1"/>
      <c r="J4" s="1"/>
    </row>
    <row r="5" spans="1:10" ht="22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6" customHeight="1">
      <c r="A6" s="1"/>
      <c r="B6" s="4" t="s">
        <v>91</v>
      </c>
      <c r="C6" s="4" t="s">
        <v>4</v>
      </c>
      <c r="D6" s="4" t="s">
        <v>5</v>
      </c>
      <c r="E6" s="1"/>
      <c r="F6" s="1"/>
      <c r="G6" s="1"/>
      <c r="H6" s="1"/>
      <c r="I6" s="1"/>
      <c r="J6" s="1"/>
    </row>
    <row r="7" spans="1:10" ht="22" customHeight="1">
      <c r="A7" s="1"/>
      <c r="B7" s="14" t="s">
        <v>113</v>
      </c>
      <c r="C7" s="8">
        <v>9556</v>
      </c>
      <c r="D7" s="8">
        <v>9942</v>
      </c>
      <c r="E7" s="1"/>
      <c r="F7" s="1"/>
      <c r="G7" s="1"/>
      <c r="H7" s="1"/>
      <c r="I7" s="1"/>
      <c r="J7" s="1"/>
    </row>
    <row r="8" spans="1:10" ht="22" customHeight="1">
      <c r="A8" s="1"/>
      <c r="B8" s="13" t="s">
        <v>114</v>
      </c>
      <c r="C8" s="5">
        <v>6185</v>
      </c>
      <c r="D8" s="5">
        <v>6056</v>
      </c>
      <c r="E8" s="1"/>
      <c r="F8" s="1"/>
      <c r="G8" s="1"/>
      <c r="H8" s="1"/>
      <c r="I8" s="1"/>
      <c r="J8" s="1"/>
    </row>
    <row r="9" spans="1:10" ht="22" customHeight="1">
      <c r="A9" s="1"/>
      <c r="B9" s="13" t="s">
        <v>115</v>
      </c>
      <c r="C9" s="5">
        <v>2022</v>
      </c>
      <c r="D9" s="5">
        <v>2143</v>
      </c>
      <c r="E9" s="1"/>
      <c r="F9" s="1"/>
      <c r="G9" s="1"/>
      <c r="H9" s="1"/>
      <c r="I9" s="1"/>
      <c r="J9" s="1"/>
    </row>
    <row r="10" spans="1:10" ht="22" customHeight="1">
      <c r="A10" s="1"/>
      <c r="B10" s="13" t="s">
        <v>116</v>
      </c>
      <c r="C10" s="5">
        <v>1012</v>
      </c>
      <c r="D10" s="5">
        <v>1105</v>
      </c>
      <c r="E10" s="1"/>
      <c r="F10" s="1"/>
      <c r="G10" s="1"/>
      <c r="H10" s="1"/>
      <c r="I10" s="1"/>
      <c r="J10" s="1"/>
    </row>
    <row r="11" spans="1:10" ht="22" customHeight="1">
      <c r="A11" s="1"/>
      <c r="B11" s="13" t="s">
        <v>117</v>
      </c>
      <c r="C11" s="5">
        <v>4516</v>
      </c>
      <c r="D11" s="5">
        <v>4922</v>
      </c>
      <c r="E11" s="1"/>
      <c r="F11" s="1"/>
      <c r="G11" s="1"/>
      <c r="H11" s="1"/>
      <c r="I11" s="1"/>
      <c r="J11" s="1"/>
    </row>
    <row r="12" spans="1:10" ht="22" customHeight="1">
      <c r="A12" s="1"/>
      <c r="B12" s="13" t="s">
        <v>118</v>
      </c>
      <c r="C12" s="5">
        <v>7551</v>
      </c>
      <c r="D12" s="5">
        <v>8170</v>
      </c>
      <c r="E12" s="1"/>
      <c r="F12" s="1"/>
      <c r="G12" s="1"/>
      <c r="H12" s="1"/>
      <c r="I12" s="1"/>
      <c r="J12" s="1"/>
    </row>
    <row r="13" spans="1:10" ht="22" customHeight="1">
      <c r="A13" s="1"/>
      <c r="B13" s="13" t="s">
        <v>119</v>
      </c>
      <c r="C13" s="5">
        <v>2100</v>
      </c>
      <c r="D13" s="5">
        <v>2040</v>
      </c>
      <c r="E13" s="1"/>
      <c r="F13" s="1"/>
      <c r="G13" s="1"/>
      <c r="H13" s="1"/>
      <c r="I13" s="1"/>
      <c r="J13" s="1"/>
    </row>
    <row r="14" spans="1:10" ht="22" customHeight="1">
      <c r="A14" s="1"/>
      <c r="B14" s="13" t="s">
        <v>120</v>
      </c>
      <c r="C14" s="5">
        <v>25392</v>
      </c>
      <c r="D14" s="5">
        <v>26208</v>
      </c>
      <c r="E14" s="1"/>
      <c r="F14" s="1"/>
      <c r="G14" s="1"/>
      <c r="H14" s="1"/>
      <c r="I14" s="1"/>
      <c r="J14" s="1"/>
    </row>
    <row r="15" spans="1:10" ht="22" customHeight="1">
      <c r="A15" s="1"/>
      <c r="B15" s="13" t="s">
        <v>121</v>
      </c>
      <c r="C15" s="5">
        <v>23897</v>
      </c>
      <c r="D15" s="5">
        <v>25360</v>
      </c>
      <c r="E15" s="1"/>
      <c r="F15" s="1"/>
      <c r="G15" s="1"/>
      <c r="H15" s="1"/>
      <c r="I15" s="1"/>
      <c r="J15" s="1"/>
    </row>
    <row r="16" spans="1:10" ht="22" customHeight="1">
      <c r="A16" s="1"/>
      <c r="B16" s="13" t="s">
        <v>122</v>
      </c>
      <c r="C16" s="5">
        <v>41650</v>
      </c>
      <c r="D16" s="5">
        <v>41276</v>
      </c>
      <c r="E16" s="1"/>
      <c r="F16" s="1"/>
      <c r="G16" s="1"/>
      <c r="H16" s="1"/>
      <c r="I16" s="1"/>
      <c r="J16" s="1"/>
    </row>
    <row r="17" spans="1:10" ht="22" customHeight="1">
      <c r="A17" s="1"/>
      <c r="B17" s="13" t="s">
        <v>123</v>
      </c>
      <c r="C17" s="5">
        <v>21910</v>
      </c>
      <c r="D17" s="5">
        <v>21444</v>
      </c>
      <c r="E17" s="1"/>
      <c r="F17" s="1"/>
      <c r="G17" s="1"/>
      <c r="H17" s="1"/>
      <c r="I17" s="1"/>
      <c r="J17" s="1"/>
    </row>
    <row r="18" spans="1:10" ht="22" customHeight="1">
      <c r="A18" s="1"/>
      <c r="B18" s="13" t="s">
        <v>124</v>
      </c>
      <c r="C18" s="5">
        <v>12381</v>
      </c>
      <c r="D18" s="5">
        <v>12231</v>
      </c>
      <c r="E18" s="1"/>
      <c r="F18" s="1"/>
      <c r="G18" s="1"/>
      <c r="H18" s="1"/>
      <c r="I18" s="1"/>
      <c r="J18" s="1"/>
    </row>
    <row r="19" spans="1:10" ht="22" customHeight="1">
      <c r="A19" s="1"/>
      <c r="B19" s="14" t="s">
        <v>125</v>
      </c>
      <c r="C19" s="8">
        <v>125231</v>
      </c>
      <c r="D19" s="8">
        <v>126521</v>
      </c>
      <c r="E19" s="1"/>
      <c r="F19" s="1"/>
      <c r="G19" s="1"/>
      <c r="H19" s="1"/>
      <c r="I19" s="1"/>
      <c r="J19" s="1"/>
    </row>
    <row r="20" spans="1:10" ht="22" customHeight="1">
      <c r="A20" s="1"/>
      <c r="B20" s="13" t="s">
        <v>126</v>
      </c>
      <c r="C20" s="5">
        <v>15227</v>
      </c>
      <c r="D20" s="5">
        <v>16306</v>
      </c>
      <c r="E20" s="1"/>
      <c r="F20" s="1"/>
      <c r="G20" s="1"/>
      <c r="H20" s="1"/>
      <c r="I20" s="1"/>
      <c r="J20" s="1"/>
    </row>
    <row r="21" spans="1:10" ht="22" customHeight="1">
      <c r="A21" s="1"/>
      <c r="B21" s="13" t="s">
        <v>127</v>
      </c>
      <c r="C21" s="5">
        <v>11318</v>
      </c>
      <c r="D21" s="5">
        <v>11091</v>
      </c>
      <c r="E21" s="1"/>
      <c r="F21" s="1"/>
      <c r="G21" s="1"/>
      <c r="H21" s="1"/>
      <c r="I21" s="1"/>
      <c r="J21" s="1"/>
    </row>
    <row r="22" spans="1:10" ht="22" customHeight="1">
      <c r="A22" s="1"/>
      <c r="B22" s="13" t="s">
        <v>128</v>
      </c>
      <c r="C22" s="5">
        <v>9513</v>
      </c>
      <c r="D22" s="5">
        <v>11296</v>
      </c>
      <c r="E22" s="1"/>
      <c r="F22" s="1"/>
      <c r="G22" s="1"/>
      <c r="H22" s="1"/>
      <c r="I22" s="1"/>
      <c r="J22" s="1"/>
    </row>
    <row r="23" spans="1:10" ht="22" customHeight="1">
      <c r="A23" s="1"/>
      <c r="B23" s="13" t="s">
        <v>129</v>
      </c>
      <c r="C23" s="5">
        <v>36058</v>
      </c>
      <c r="D23" s="5">
        <v>38694</v>
      </c>
      <c r="E23" s="1"/>
      <c r="F23" s="1"/>
      <c r="G23" s="1"/>
      <c r="H23" s="1"/>
      <c r="I23" s="1"/>
      <c r="J23" s="1"/>
    </row>
    <row r="24" spans="1:10" ht="22" customHeight="1">
      <c r="A24" s="1"/>
      <c r="B24" s="13" t="s">
        <v>130</v>
      </c>
      <c r="C24" s="5">
        <v>24995</v>
      </c>
      <c r="D24" s="5">
        <v>22842</v>
      </c>
      <c r="E24" s="1"/>
      <c r="F24" s="1"/>
      <c r="G24" s="1"/>
      <c r="H24" s="1"/>
      <c r="I24" s="1"/>
      <c r="J24" s="1"/>
    </row>
    <row r="25" spans="1:10" ht="22" customHeight="1">
      <c r="A25" s="1"/>
      <c r="B25" s="13" t="s">
        <v>131</v>
      </c>
      <c r="C25" s="5">
        <v>5774</v>
      </c>
      <c r="D25" s="5">
        <v>5760</v>
      </c>
      <c r="E25" s="1"/>
      <c r="F25" s="1"/>
      <c r="G25" s="1"/>
      <c r="H25" s="1"/>
      <c r="I25" s="1"/>
      <c r="J25" s="1"/>
    </row>
    <row r="26" spans="1:10" ht="22" customHeight="1">
      <c r="A26" s="1"/>
      <c r="B26" s="13" t="s">
        <v>132</v>
      </c>
      <c r="C26" s="5">
        <v>6120</v>
      </c>
      <c r="D26" s="5">
        <v>4914</v>
      </c>
      <c r="E26" s="1"/>
      <c r="F26" s="1"/>
      <c r="G26" s="1"/>
      <c r="H26" s="1"/>
      <c r="I26" s="1"/>
      <c r="J26" s="1"/>
    </row>
    <row r="27" spans="1:10" ht="22" customHeight="1">
      <c r="A27" s="1"/>
      <c r="B27" s="14" t="s">
        <v>133</v>
      </c>
      <c r="C27" s="8">
        <v>72946</v>
      </c>
      <c r="D27" s="8">
        <v>72210</v>
      </c>
      <c r="E27" s="1"/>
      <c r="F27" s="1"/>
      <c r="G27" s="1"/>
      <c r="H27" s="1"/>
      <c r="I27" s="1"/>
      <c r="J27" s="1"/>
    </row>
    <row r="28" spans="1:10" ht="22" customHeight="1">
      <c r="A28" s="1"/>
      <c r="B28" s="13" t="s">
        <v>134</v>
      </c>
      <c r="C28" s="5">
        <v>777</v>
      </c>
      <c r="D28" s="5">
        <v>756</v>
      </c>
      <c r="E28" s="1"/>
      <c r="F28" s="1"/>
      <c r="G28" s="1"/>
      <c r="H28" s="1"/>
      <c r="I28" s="1"/>
      <c r="J28" s="1"/>
    </row>
    <row r="29" spans="1:10" ht="22" customHeight="1">
      <c r="A29" s="1"/>
      <c r="B29" s="13" t="s">
        <v>135</v>
      </c>
      <c r="C29" s="5">
        <v>0</v>
      </c>
      <c r="D29" s="5">
        <v>0</v>
      </c>
      <c r="E29" s="1"/>
      <c r="F29" s="1"/>
      <c r="G29" s="1"/>
      <c r="H29" s="1"/>
      <c r="I29" s="1"/>
      <c r="J29" s="1"/>
    </row>
    <row r="30" spans="1:10" ht="22" customHeight="1">
      <c r="A30" s="1"/>
      <c r="B30" s="13" t="s">
        <v>136</v>
      </c>
      <c r="C30" s="5">
        <v>4009</v>
      </c>
      <c r="D30" s="5">
        <v>4009</v>
      </c>
      <c r="E30" s="1"/>
      <c r="F30" s="1"/>
      <c r="G30" s="1"/>
      <c r="H30" s="1"/>
      <c r="I30" s="1"/>
      <c r="J30" s="1"/>
    </row>
    <row r="31" spans="1:10" ht="22" customHeight="1">
      <c r="A31" s="1"/>
      <c r="B31" s="13" t="s">
        <v>137</v>
      </c>
      <c r="C31" s="5">
        <v>68770</v>
      </c>
      <c r="D31" s="5">
        <v>69533</v>
      </c>
      <c r="E31" s="1"/>
      <c r="F31" s="1"/>
      <c r="G31" s="1"/>
      <c r="H31" s="1"/>
      <c r="I31" s="1"/>
      <c r="J31" s="1"/>
    </row>
    <row r="32" spans="1:10" ht="22" customHeight="1">
      <c r="A32" s="1"/>
      <c r="B32" s="13" t="s">
        <v>138</v>
      </c>
      <c r="C32" s="5">
        <v>-672</v>
      </c>
      <c r="D32" s="5">
        <v>-596</v>
      </c>
      <c r="E32" s="1"/>
      <c r="F32" s="1"/>
      <c r="G32" s="1"/>
      <c r="H32" s="1"/>
      <c r="I32" s="1"/>
      <c r="J32" s="1"/>
    </row>
    <row r="33" spans="1:10" ht="22" customHeight="1">
      <c r="A33" s="1"/>
      <c r="B33" s="13" t="s">
        <v>139</v>
      </c>
      <c r="C33" s="5">
        <v>-12143</v>
      </c>
      <c r="D33" s="5">
        <v>-12465</v>
      </c>
      <c r="E33" s="1"/>
      <c r="F33" s="1"/>
      <c r="G33" s="1"/>
      <c r="H33" s="1"/>
      <c r="I33" s="1"/>
      <c r="J33" s="1"/>
    </row>
    <row r="34" spans="1:10" ht="22" customHeight="1">
      <c r="A34" s="1"/>
      <c r="B34" s="13" t="s">
        <v>140</v>
      </c>
      <c r="C34" s="5">
        <v>-138702</v>
      </c>
      <c r="D34" s="5">
        <v>-143008</v>
      </c>
      <c r="E34" s="1"/>
      <c r="F34" s="1"/>
      <c r="G34" s="1"/>
      <c r="H34" s="1"/>
      <c r="I34" s="1"/>
      <c r="J34" s="1"/>
    </row>
    <row r="35" spans="1:10" ht="22" customHeight="1">
      <c r="A35" s="1"/>
      <c r="B35" s="13" t="s">
        <v>141</v>
      </c>
      <c r="C35" s="5">
        <v>129973</v>
      </c>
      <c r="D35" s="5">
        <v>135852</v>
      </c>
      <c r="E35" s="1"/>
      <c r="F35" s="1"/>
      <c r="G35" s="1"/>
      <c r="H35" s="1"/>
      <c r="I35" s="1"/>
      <c r="J35" s="1"/>
    </row>
    <row r="36" spans="1:10" ht="22" customHeight="1">
      <c r="A36" s="1"/>
      <c r="B36" s="13" t="s">
        <v>142</v>
      </c>
      <c r="C36" s="5">
        <v>272</v>
      </c>
      <c r="D36" s="5">
        <v>230</v>
      </c>
      <c r="E36" s="1"/>
      <c r="F36" s="1"/>
      <c r="G36" s="1"/>
      <c r="H36" s="1"/>
      <c r="I36" s="1"/>
      <c r="J36" s="1"/>
    </row>
    <row r="37" spans="1:10" ht="22" customHeight="1">
      <c r="A37" s="1"/>
      <c r="B37" s="14" t="s">
        <v>143</v>
      </c>
      <c r="C37" s="8">
        <v>52284</v>
      </c>
      <c r="D37" s="8">
        <v>54311</v>
      </c>
      <c r="E37" s="1"/>
      <c r="F37" s="1"/>
      <c r="G37" s="1"/>
      <c r="H37" s="1"/>
      <c r="I37" s="1"/>
      <c r="J37" s="1"/>
    </row>
    <row r="38" spans="1:10" ht="22" customHeight="1">
      <c r="A38" s="1"/>
      <c r="B38" s="13" t="s">
        <v>144</v>
      </c>
      <c r="C38" s="5">
        <v>125231</v>
      </c>
      <c r="D38" s="5">
        <v>126521</v>
      </c>
      <c r="E38" s="1"/>
      <c r="F38" s="1"/>
      <c r="G38" s="1"/>
      <c r="H38" s="1"/>
      <c r="I38" s="1"/>
      <c r="J38" s="1"/>
    </row>
    <row r="39" spans="1:10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" customHeight="1">
      <c r="A40" s="1"/>
      <c r="B40" s="1" t="s">
        <v>145</v>
      </c>
      <c r="C40" s="1"/>
      <c r="D40" s="1"/>
      <c r="E40" s="1"/>
      <c r="F40" s="1"/>
      <c r="G40" s="1"/>
      <c r="H40" s="1"/>
      <c r="I40" s="1"/>
      <c r="J40" s="1"/>
    </row>
    <row r="41" spans="1:10" ht="22" customHeight="1">
      <c r="A41" s="1"/>
      <c r="B41" s="1" t="s">
        <v>146</v>
      </c>
      <c r="C41" s="1"/>
      <c r="D41" s="1"/>
      <c r="E41" s="1"/>
      <c r="F41" s="1"/>
      <c r="G41" s="1"/>
      <c r="H41" s="1"/>
      <c r="I41" s="1"/>
      <c r="J41" s="1"/>
    </row>
    <row r="42" spans="1:10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FC9A3"/>
  </sheetPr>
  <dimension ref="A1:J46"/>
  <sheetViews>
    <sheetView showGridLines="0" showRowColHeaders="0" zoomScale="85" zoomScaleNormal="85" workbookViewId="0">
      <selection activeCell="J1" sqref="J1"/>
    </sheetView>
  </sheetViews>
  <sheetFormatPr baseColWidth="10" defaultColWidth="8.83203125" defaultRowHeight="14"/>
  <cols>
    <col min="1" max="1" width="3" customWidth="1"/>
    <col min="2" max="2" width="59" customWidth="1"/>
    <col min="3" max="8" width="17" customWidth="1"/>
  </cols>
  <sheetData>
    <row r="1" spans="1:10" ht="2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1"/>
      <c r="B2" s="2" t="s">
        <v>147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/>
      <c r="C3" s="3"/>
      <c r="D3" s="3"/>
      <c r="E3" s="3"/>
      <c r="F3" s="3"/>
      <c r="G3" s="1"/>
      <c r="H3" s="1"/>
      <c r="I3" s="1"/>
      <c r="J3" s="1"/>
    </row>
    <row r="4" spans="1:10" ht="22" customHeight="1">
      <c r="A4" s="1"/>
      <c r="B4" s="1" t="s">
        <v>148</v>
      </c>
      <c r="C4" s="1"/>
      <c r="D4" s="1"/>
      <c r="E4" s="1"/>
      <c r="F4" s="1"/>
      <c r="G4" s="1"/>
      <c r="H4" s="1"/>
      <c r="I4" s="1"/>
      <c r="J4" s="1"/>
    </row>
    <row r="5" spans="1:10" ht="22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6" customHeight="1">
      <c r="A6" s="1"/>
      <c r="B6" s="4" t="s">
        <v>91</v>
      </c>
      <c r="C6" s="4" t="s">
        <v>3</v>
      </c>
      <c r="D6" s="4" t="s">
        <v>4</v>
      </c>
      <c r="E6" s="4" t="s">
        <v>5</v>
      </c>
      <c r="F6" s="1"/>
      <c r="G6" s="1"/>
      <c r="H6" s="1"/>
      <c r="I6" s="1"/>
      <c r="J6" s="1"/>
    </row>
    <row r="7" spans="1:10" ht="22" customHeight="1">
      <c r="A7" s="1"/>
      <c r="B7" s="13" t="s">
        <v>149</v>
      </c>
      <c r="C7" s="5">
        <v>8246</v>
      </c>
      <c r="D7" s="5">
        <v>9482</v>
      </c>
      <c r="E7" s="5">
        <v>9556</v>
      </c>
      <c r="F7" s="1"/>
      <c r="G7" s="1"/>
      <c r="H7" s="1"/>
      <c r="I7" s="1"/>
      <c r="J7" s="1"/>
    </row>
    <row r="8" spans="1:10" ht="22" customHeight="1">
      <c r="A8" s="1"/>
      <c r="B8" s="14" t="s">
        <v>101</v>
      </c>
      <c r="C8" s="8">
        <v>14974</v>
      </c>
      <c r="D8" s="8">
        <v>16065</v>
      </c>
      <c r="E8" s="8">
        <v>16144</v>
      </c>
      <c r="F8" s="1"/>
      <c r="G8" s="1"/>
      <c r="H8" s="1"/>
      <c r="I8" s="1"/>
      <c r="J8" s="1"/>
    </row>
    <row r="9" spans="1:10" ht="22" customHeight="1">
      <c r="A9" s="1"/>
      <c r="B9" s="13" t="s">
        <v>150</v>
      </c>
      <c r="C9" s="5">
        <v>2896</v>
      </c>
      <c r="D9" s="5">
        <v>2847</v>
      </c>
      <c r="E9" s="5">
        <v>3160</v>
      </c>
      <c r="F9" s="1"/>
      <c r="G9" s="1"/>
      <c r="H9" s="1"/>
      <c r="I9" s="1"/>
      <c r="J9" s="1"/>
    </row>
    <row r="10" spans="1:10" ht="22" customHeight="1">
      <c r="A10" s="1"/>
      <c r="B10" s="13" t="s">
        <v>151</v>
      </c>
      <c r="C10" s="5">
        <v>562</v>
      </c>
      <c r="D10" s="5">
        <v>476</v>
      </c>
      <c r="E10" s="5">
        <v>524</v>
      </c>
      <c r="F10" s="1"/>
      <c r="G10" s="1"/>
      <c r="H10" s="1"/>
      <c r="I10" s="1"/>
      <c r="J10" s="1"/>
    </row>
    <row r="11" spans="1:10" ht="22" customHeight="1">
      <c r="A11" s="1"/>
      <c r="B11" s="13" t="s">
        <v>152</v>
      </c>
      <c r="C11" s="5">
        <v>-244</v>
      </c>
      <c r="D11" s="5">
        <v>149</v>
      </c>
      <c r="E11" s="5">
        <v>51</v>
      </c>
      <c r="F11" s="1"/>
      <c r="G11" s="1"/>
      <c r="H11" s="1"/>
      <c r="I11" s="1"/>
      <c r="J11" s="1"/>
    </row>
    <row r="12" spans="1:10" ht="22" customHeight="1">
      <c r="A12" s="1"/>
      <c r="B12" s="13" t="s">
        <v>153</v>
      </c>
      <c r="C12" s="5">
        <v>-215</v>
      </c>
      <c r="D12" s="5">
        <v>755</v>
      </c>
      <c r="E12" s="5">
        <v>-351</v>
      </c>
      <c r="F12" s="1"/>
      <c r="G12" s="1"/>
      <c r="H12" s="1"/>
      <c r="I12" s="1"/>
      <c r="J12" s="1"/>
    </row>
    <row r="13" spans="1:10" ht="22" customHeight="1">
      <c r="A13" s="1"/>
      <c r="B13" s="13" t="s">
        <v>154</v>
      </c>
      <c r="C13" s="5">
        <v>1341</v>
      </c>
      <c r="D13" s="5">
        <v>0</v>
      </c>
      <c r="E13" s="5">
        <v>0</v>
      </c>
      <c r="F13" s="1"/>
      <c r="G13" s="1"/>
      <c r="H13" s="1"/>
      <c r="I13" s="1"/>
      <c r="J13" s="1"/>
    </row>
    <row r="14" spans="1:10" ht="22" customHeight="1">
      <c r="A14" s="1"/>
      <c r="B14" s="13" t="s">
        <v>155</v>
      </c>
      <c r="C14" s="5">
        <v>-766</v>
      </c>
      <c r="D14" s="5">
        <v>45</v>
      </c>
      <c r="E14" s="5">
        <v>84</v>
      </c>
      <c r="F14" s="1"/>
      <c r="G14" s="1"/>
      <c r="H14" s="1"/>
      <c r="I14" s="1"/>
      <c r="J14" s="1"/>
    </row>
    <row r="15" spans="1:10" ht="22" customHeight="1">
      <c r="A15" s="1"/>
      <c r="B15" s="13" t="s">
        <v>156</v>
      </c>
      <c r="C15" s="5">
        <v>-70</v>
      </c>
      <c r="D15" s="5">
        <v>-324</v>
      </c>
      <c r="E15" s="5">
        <v>-641</v>
      </c>
      <c r="F15" s="1"/>
      <c r="G15" s="1"/>
      <c r="H15" s="1"/>
      <c r="I15" s="1"/>
      <c r="J15" s="1"/>
    </row>
    <row r="16" spans="1:10" ht="22" customHeight="1">
      <c r="A16" s="1"/>
      <c r="B16" s="13" t="s">
        <v>157</v>
      </c>
      <c r="C16" s="5">
        <v>878</v>
      </c>
      <c r="D16" s="5">
        <v>-542</v>
      </c>
      <c r="E16" s="5">
        <v>919</v>
      </c>
      <c r="F16" s="1"/>
      <c r="G16" s="1"/>
      <c r="H16" s="1"/>
      <c r="I16" s="1"/>
      <c r="J16" s="1"/>
    </row>
    <row r="17" spans="1:10" ht="22" customHeight="1">
      <c r="A17" s="1"/>
      <c r="B17" s="13" t="s">
        <v>68</v>
      </c>
      <c r="C17" s="5">
        <v>491</v>
      </c>
      <c r="D17" s="5">
        <v>-1653</v>
      </c>
      <c r="E17" s="5">
        <v>-333</v>
      </c>
      <c r="F17" s="1"/>
      <c r="G17" s="1"/>
      <c r="H17" s="1"/>
      <c r="I17" s="1"/>
      <c r="J17" s="1"/>
    </row>
    <row r="18" spans="1:10" ht="22" customHeight="1">
      <c r="A18" s="1"/>
      <c r="B18" s="14" t="s">
        <v>158</v>
      </c>
      <c r="C18" s="8">
        <v>19846</v>
      </c>
      <c r="D18" s="8">
        <v>17817</v>
      </c>
      <c r="E18" s="8">
        <v>19556</v>
      </c>
      <c r="F18" s="1"/>
      <c r="G18" s="1"/>
      <c r="H18" s="1"/>
      <c r="I18" s="1"/>
      <c r="J18" s="1"/>
    </row>
    <row r="19" spans="1:10" ht="22" customHeight="1">
      <c r="A19" s="1"/>
      <c r="B19" s="13" t="s">
        <v>159</v>
      </c>
      <c r="C19" s="5">
        <v>-3322</v>
      </c>
      <c r="D19" s="5">
        <v>-3773</v>
      </c>
      <c r="E19" s="5">
        <v>-4409</v>
      </c>
      <c r="F19" s="1"/>
      <c r="G19" s="1"/>
      <c r="H19" s="1"/>
      <c r="I19" s="1"/>
      <c r="J19" s="1"/>
    </row>
    <row r="20" spans="1:10" ht="22" customHeight="1">
      <c r="A20" s="1"/>
      <c r="B20" s="13" t="s">
        <v>160</v>
      </c>
      <c r="C20" s="5">
        <v>346</v>
      </c>
      <c r="D20" s="5">
        <v>107</v>
      </c>
      <c r="E20" s="5">
        <v>508</v>
      </c>
      <c r="F20" s="1"/>
      <c r="G20" s="1"/>
      <c r="H20" s="1"/>
      <c r="I20" s="1"/>
      <c r="J20" s="1"/>
    </row>
    <row r="21" spans="1:10" ht="22" customHeight="1">
      <c r="A21" s="1"/>
      <c r="B21" s="13" t="s">
        <v>161</v>
      </c>
      <c r="C21" s="5">
        <v>-21</v>
      </c>
      <c r="D21" s="5">
        <v>-11</v>
      </c>
      <c r="E21" s="5">
        <v>-85</v>
      </c>
      <c r="F21" s="1"/>
      <c r="G21" s="1"/>
      <c r="H21" s="1"/>
      <c r="I21" s="1"/>
      <c r="J21" s="1"/>
    </row>
    <row r="22" spans="1:10" ht="22" customHeight="1">
      <c r="A22" s="1"/>
      <c r="B22" s="13" t="s">
        <v>162</v>
      </c>
      <c r="C22" s="5">
        <v>-507</v>
      </c>
      <c r="D22" s="5">
        <v>-141</v>
      </c>
      <c r="E22" s="5">
        <v>-638</v>
      </c>
      <c r="F22" s="1"/>
      <c r="G22" s="1"/>
      <c r="H22" s="1"/>
      <c r="I22" s="1"/>
      <c r="J22" s="1"/>
    </row>
    <row r="23" spans="1:10" ht="22" customHeight="1">
      <c r="A23" s="1"/>
      <c r="B23" s="13" t="s">
        <v>163</v>
      </c>
      <c r="C23" s="5">
        <v>-3504</v>
      </c>
      <c r="D23" s="5">
        <v>-3818</v>
      </c>
      <c r="E23" s="5">
        <v>-4624</v>
      </c>
      <c r="F23" s="1"/>
      <c r="G23" s="1"/>
      <c r="H23" s="1"/>
      <c r="I23" s="1"/>
      <c r="J23" s="1"/>
    </row>
    <row r="24" spans="1:10" ht="22" customHeight="1">
      <c r="A24" s="1"/>
      <c r="B24" s="13" t="s">
        <v>164</v>
      </c>
      <c r="C24" s="5">
        <v>-9312</v>
      </c>
      <c r="D24" s="5">
        <v>-9872</v>
      </c>
      <c r="E24" s="5">
        <v>-10232</v>
      </c>
      <c r="F24" s="1"/>
      <c r="G24" s="1"/>
      <c r="H24" s="1"/>
      <c r="I24" s="1"/>
      <c r="J24" s="1"/>
    </row>
    <row r="25" spans="1:10" ht="22" customHeight="1">
      <c r="A25" s="1"/>
      <c r="B25" s="13" t="s">
        <v>165</v>
      </c>
      <c r="C25" s="5">
        <v>3528</v>
      </c>
      <c r="D25" s="5">
        <v>8020</v>
      </c>
      <c r="E25" s="5">
        <v>7941</v>
      </c>
      <c r="F25" s="1"/>
      <c r="G25" s="1"/>
      <c r="H25" s="1"/>
      <c r="I25" s="1"/>
      <c r="J25" s="1"/>
    </row>
    <row r="26" spans="1:10" ht="22" customHeight="1">
      <c r="A26" s="1"/>
      <c r="B26" s="13" t="s">
        <v>166</v>
      </c>
      <c r="C26" s="5">
        <v>-7689</v>
      </c>
      <c r="D26" s="5">
        <v>-6512</v>
      </c>
      <c r="E26" s="5">
        <v>-9984</v>
      </c>
      <c r="F26" s="1"/>
      <c r="G26" s="1"/>
      <c r="H26" s="1"/>
      <c r="I26" s="1"/>
      <c r="J26" s="1"/>
    </row>
    <row r="27" spans="1:10" ht="22" customHeight="1">
      <c r="A27" s="1"/>
      <c r="B27" s="13" t="s">
        <v>167</v>
      </c>
      <c r="C27" s="5">
        <v>857</v>
      </c>
      <c r="D27" s="5">
        <v>-1138</v>
      </c>
      <c r="E27" s="5">
        <v>2674</v>
      </c>
      <c r="F27" s="1"/>
      <c r="G27" s="1"/>
      <c r="H27" s="1"/>
      <c r="I27" s="1"/>
      <c r="J27" s="1"/>
    </row>
    <row r="28" spans="1:10" ht="22" customHeight="1">
      <c r="A28" s="1"/>
      <c r="B28" s="13" t="s">
        <v>168</v>
      </c>
      <c r="C28" s="5">
        <v>3197</v>
      </c>
      <c r="D28" s="5">
        <v>2237</v>
      </c>
      <c r="E28" s="5">
        <v>2652</v>
      </c>
      <c r="F28" s="1"/>
      <c r="G28" s="1"/>
      <c r="H28" s="1"/>
      <c r="I28" s="1"/>
      <c r="J28" s="1"/>
    </row>
    <row r="29" spans="1:10" ht="22" customHeight="1">
      <c r="A29" s="1"/>
      <c r="B29" s="13" t="s">
        <v>169</v>
      </c>
      <c r="C29" s="5">
        <v>-2335</v>
      </c>
      <c r="D29" s="5">
        <v>-1977</v>
      </c>
      <c r="E29" s="5">
        <v>-3390</v>
      </c>
      <c r="F29" s="1"/>
      <c r="G29" s="1"/>
      <c r="H29" s="1"/>
      <c r="I29" s="1"/>
      <c r="J29" s="1"/>
    </row>
    <row r="30" spans="1:10" ht="22" customHeight="1">
      <c r="A30" s="1"/>
      <c r="B30" s="13" t="s">
        <v>170</v>
      </c>
      <c r="C30" s="5">
        <v>-5006</v>
      </c>
      <c r="D30" s="5">
        <v>-6500</v>
      </c>
      <c r="E30" s="5">
        <v>-5028</v>
      </c>
      <c r="F30" s="1"/>
      <c r="G30" s="1"/>
      <c r="H30" s="1"/>
      <c r="I30" s="1"/>
      <c r="J30" s="1"/>
    </row>
    <row r="31" spans="1:10" ht="22" customHeight="1">
      <c r="A31" s="1"/>
      <c r="B31" s="13" t="s">
        <v>171</v>
      </c>
      <c r="C31" s="5">
        <v>1905</v>
      </c>
      <c r="D31" s="5">
        <v>1707</v>
      </c>
      <c r="E31" s="5">
        <v>907</v>
      </c>
      <c r="F31" s="1"/>
      <c r="G31" s="1"/>
      <c r="H31" s="1"/>
      <c r="I31" s="1"/>
      <c r="J31" s="1"/>
    </row>
    <row r="32" spans="1:10" ht="22" customHeight="1">
      <c r="A32" s="1"/>
      <c r="B32" s="13" t="s">
        <v>172</v>
      </c>
      <c r="C32" s="5">
        <v>-14855</v>
      </c>
      <c r="D32" s="5">
        <v>-14036</v>
      </c>
      <c r="E32" s="5">
        <v>-14460</v>
      </c>
      <c r="F32" s="1"/>
      <c r="G32" s="1"/>
      <c r="H32" s="1"/>
      <c r="I32" s="1"/>
      <c r="J32" s="1"/>
    </row>
    <row r="33" spans="1:10" ht="22" customHeight="1">
      <c r="A33" s="1"/>
      <c r="B33" s="13" t="s">
        <v>173</v>
      </c>
      <c r="C33" s="5">
        <v>-251</v>
      </c>
      <c r="D33" s="5">
        <v>112</v>
      </c>
      <c r="E33" s="5">
        <v>-86</v>
      </c>
      <c r="F33" s="1"/>
      <c r="G33" s="1"/>
      <c r="H33" s="1"/>
      <c r="I33" s="1"/>
      <c r="J33" s="1"/>
    </row>
    <row r="34" spans="1:10" ht="22" customHeight="1">
      <c r="A34" s="1"/>
      <c r="B34" s="13" t="s">
        <v>174</v>
      </c>
      <c r="C34" s="5">
        <v>1235</v>
      </c>
      <c r="D34" s="5">
        <v>75</v>
      </c>
      <c r="E34" s="5">
        <v>386</v>
      </c>
      <c r="F34" s="1"/>
      <c r="G34" s="1"/>
      <c r="H34" s="1"/>
      <c r="I34" s="1"/>
      <c r="J34" s="1"/>
    </row>
    <row r="35" spans="1:10" ht="22" customHeight="1">
      <c r="A35" s="1"/>
      <c r="B35" s="14" t="s">
        <v>175</v>
      </c>
      <c r="C35" s="8">
        <v>9482</v>
      </c>
      <c r="D35" s="8">
        <v>9556</v>
      </c>
      <c r="E35" s="8">
        <v>9942</v>
      </c>
      <c r="F35" s="1"/>
      <c r="G35" s="1"/>
      <c r="H35" s="1"/>
      <c r="I35" s="1"/>
      <c r="J35" s="1"/>
    </row>
    <row r="36" spans="1:10" ht="22" customHeight="1">
      <c r="A36" s="1"/>
      <c r="B36" s="13" t="s">
        <v>176</v>
      </c>
      <c r="C36" s="5">
        <v>878</v>
      </c>
      <c r="D36" s="5">
        <v>896</v>
      </c>
      <c r="E36" s="5">
        <v>866</v>
      </c>
      <c r="F36" s="1"/>
      <c r="G36" s="1"/>
      <c r="H36" s="1"/>
      <c r="I36" s="1"/>
      <c r="J36" s="1"/>
    </row>
    <row r="37" spans="1:10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ht="22" customHeight="1">
      <c r="A38" s="1"/>
      <c r="B38" s="1" t="s">
        <v>177</v>
      </c>
      <c r="C38" s="1"/>
      <c r="D38" s="1"/>
      <c r="E38" s="1"/>
      <c r="F38" s="1"/>
      <c r="G38" s="1"/>
      <c r="H38" s="1"/>
      <c r="I38" s="1"/>
      <c r="J38" s="1"/>
    </row>
    <row r="39" spans="1:10" ht="22" customHeight="1">
      <c r="A39" s="1"/>
      <c r="B39" s="1" t="s">
        <v>178</v>
      </c>
      <c r="C39" s="1"/>
      <c r="D39" s="1"/>
      <c r="E39" s="1"/>
      <c r="F39" s="1"/>
      <c r="G39" s="1"/>
      <c r="H39" s="1"/>
      <c r="I39" s="1"/>
      <c r="J39" s="1"/>
    </row>
    <row r="40" spans="1:1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FC9A3"/>
  </sheetPr>
  <dimension ref="A1:J43"/>
  <sheetViews>
    <sheetView showGridLines="0" showRowColHeaders="0" zoomScale="85" zoomScaleNormal="85" workbookViewId="0">
      <selection activeCell="J1" sqref="J1"/>
    </sheetView>
  </sheetViews>
  <sheetFormatPr baseColWidth="10" defaultColWidth="8.83203125" defaultRowHeight="14"/>
  <cols>
    <col min="1" max="1" width="3" customWidth="1"/>
    <col min="2" max="2" width="59" customWidth="1"/>
    <col min="3" max="8" width="14" customWidth="1"/>
  </cols>
  <sheetData>
    <row r="1" spans="1:10" ht="22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" customHeight="1">
      <c r="A2" s="1"/>
      <c r="B2" s="2" t="s">
        <v>179</v>
      </c>
      <c r="C2" s="1"/>
      <c r="D2" s="1"/>
      <c r="E2" s="1"/>
      <c r="F2" s="1"/>
      <c r="G2" s="1"/>
      <c r="H2" s="1"/>
      <c r="I2" s="1"/>
      <c r="J2" s="1"/>
    </row>
    <row r="3" spans="1:10" ht="22" customHeight="1">
      <c r="A3" s="1"/>
      <c r="B3" s="3"/>
      <c r="C3" s="3"/>
      <c r="D3" s="3"/>
      <c r="E3" s="3"/>
      <c r="F3" s="3"/>
      <c r="G3" s="1"/>
      <c r="H3" s="1"/>
      <c r="I3" s="1"/>
      <c r="J3" s="1"/>
    </row>
    <row r="4" spans="1:10" ht="22" customHeight="1">
      <c r="A4" s="1"/>
      <c r="B4" s="1" t="s">
        <v>180</v>
      </c>
      <c r="C4" s="1"/>
      <c r="D4" s="1"/>
      <c r="E4" s="1"/>
      <c r="F4" s="1"/>
      <c r="G4" s="1"/>
      <c r="H4" s="1"/>
      <c r="I4" s="1"/>
      <c r="J4" s="1"/>
    </row>
    <row r="5" spans="1:10" ht="22" customHeight="1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26" customHeight="1">
      <c r="A6" s="1"/>
      <c r="B6" s="4" t="s">
        <v>181</v>
      </c>
      <c r="C6" s="4" t="s">
        <v>64</v>
      </c>
      <c r="D6" s="4" t="s">
        <v>182</v>
      </c>
      <c r="E6" s="4" t="s">
        <v>66</v>
      </c>
      <c r="F6" s="4" t="s">
        <v>67</v>
      </c>
      <c r="G6" s="4" t="s">
        <v>68</v>
      </c>
      <c r="H6" s="4" t="s">
        <v>183</v>
      </c>
      <c r="I6" s="1"/>
      <c r="J6" s="1"/>
    </row>
    <row r="7" spans="1:10" ht="22" customHeight="1">
      <c r="A7" s="1"/>
      <c r="B7" s="1" t="s">
        <v>184</v>
      </c>
      <c r="C7" s="15">
        <v>0.04</v>
      </c>
      <c r="D7" s="15">
        <v>0.02</v>
      </c>
      <c r="E7" s="15">
        <v>0.01</v>
      </c>
      <c r="F7" s="15">
        <v>0</v>
      </c>
      <c r="G7" s="15">
        <v>0</v>
      </c>
      <c r="H7" s="15">
        <v>7.0000000000000007E-2</v>
      </c>
      <c r="I7" s="1"/>
      <c r="J7" s="1"/>
    </row>
    <row r="8" spans="1:10" ht="22" customHeight="1">
      <c r="A8" s="1"/>
      <c r="B8" s="1" t="s">
        <v>185</v>
      </c>
      <c r="C8" s="15">
        <v>-0.01</v>
      </c>
      <c r="D8" s="15">
        <v>0.03</v>
      </c>
      <c r="E8" s="15">
        <v>0.02</v>
      </c>
      <c r="F8" s="15">
        <v>0</v>
      </c>
      <c r="G8" s="15">
        <v>0</v>
      </c>
      <c r="H8" s="15">
        <v>0.04</v>
      </c>
      <c r="I8" s="1"/>
      <c r="J8" s="1"/>
    </row>
    <row r="9" spans="1:10" ht="22" customHeight="1">
      <c r="A9" s="1"/>
      <c r="B9" s="1" t="s">
        <v>186</v>
      </c>
      <c r="C9" s="15">
        <v>-0.02</v>
      </c>
      <c r="D9" s="15">
        <v>0.03</v>
      </c>
      <c r="E9" s="15">
        <v>0.02</v>
      </c>
      <c r="F9" s="15">
        <v>0.01</v>
      </c>
      <c r="G9" s="15">
        <v>0</v>
      </c>
      <c r="H9" s="15">
        <v>0.04</v>
      </c>
      <c r="I9" s="1"/>
      <c r="J9" s="1"/>
    </row>
    <row r="10" spans="1:10" ht="22" customHeight="1">
      <c r="A10" s="1"/>
      <c r="B10" s="1" t="s">
        <v>187</v>
      </c>
      <c r="C10" s="15">
        <v>0</v>
      </c>
      <c r="D10" s="15">
        <v>0.01</v>
      </c>
      <c r="E10" s="15">
        <v>0.01</v>
      </c>
      <c r="F10" s="15">
        <v>0</v>
      </c>
      <c r="G10" s="15">
        <v>0</v>
      </c>
      <c r="H10" s="15">
        <v>0.02</v>
      </c>
      <c r="I10" s="1"/>
      <c r="J10" s="1"/>
    </row>
    <row r="11" spans="1:10" ht="22" customHeight="1">
      <c r="A11" s="1"/>
      <c r="B11" s="1" t="s">
        <v>188</v>
      </c>
      <c r="C11" s="15">
        <v>-0.01</v>
      </c>
      <c r="D11" s="15">
        <v>0.02</v>
      </c>
      <c r="E11" s="15">
        <v>0</v>
      </c>
      <c r="F11" s="15">
        <v>0</v>
      </c>
      <c r="G11" s="15">
        <v>0</v>
      </c>
      <c r="H11" s="15">
        <v>0.01</v>
      </c>
      <c r="I11" s="1"/>
      <c r="J11" s="1"/>
    </row>
    <row r="12" spans="1:10" ht="22" customHeight="1">
      <c r="A12" s="1"/>
      <c r="B12" s="7" t="s">
        <v>189</v>
      </c>
      <c r="C12" s="16">
        <v>0</v>
      </c>
      <c r="D12" s="16">
        <v>0.02</v>
      </c>
      <c r="E12" s="16">
        <v>0.01</v>
      </c>
      <c r="F12" s="16">
        <v>0</v>
      </c>
      <c r="G12" s="16">
        <v>0</v>
      </c>
      <c r="H12" s="16">
        <v>0.03</v>
      </c>
      <c r="I12" s="1"/>
      <c r="J12" s="1"/>
    </row>
    <row r="13" spans="1:10" ht="22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2" customHeight="1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6" customHeight="1">
      <c r="A15" s="1"/>
      <c r="B15" s="4" t="s">
        <v>190</v>
      </c>
      <c r="C15" s="4" t="s">
        <v>4</v>
      </c>
      <c r="D15" s="4" t="s">
        <v>5</v>
      </c>
      <c r="E15" s="1"/>
      <c r="F15" s="1"/>
      <c r="G15" s="1"/>
      <c r="H15" s="1"/>
      <c r="I15" s="1"/>
      <c r="J15" s="1"/>
    </row>
    <row r="16" spans="1:10" ht="22" customHeight="1">
      <c r="A16" s="1"/>
      <c r="B16" s="7" t="s">
        <v>184</v>
      </c>
      <c r="C16" s="8">
        <v>14964</v>
      </c>
      <c r="D16" s="8">
        <v>16023</v>
      </c>
      <c r="E16" s="1"/>
      <c r="F16" s="1"/>
      <c r="G16" s="1"/>
      <c r="H16" s="1"/>
      <c r="I16" s="1"/>
      <c r="J16" s="1"/>
    </row>
    <row r="17" spans="1:10" ht="22" customHeight="1">
      <c r="A17" s="1"/>
      <c r="B17" s="1" t="s">
        <v>185</v>
      </c>
      <c r="C17" s="5">
        <v>6662</v>
      </c>
      <c r="D17" s="5">
        <v>6918</v>
      </c>
      <c r="E17" s="1"/>
      <c r="F17" s="1"/>
      <c r="G17" s="1"/>
      <c r="H17" s="1"/>
      <c r="I17" s="1"/>
      <c r="J17" s="1"/>
    </row>
    <row r="18" spans="1:10" ht="22" customHeight="1">
      <c r="A18" s="1"/>
      <c r="B18" s="1" t="s">
        <v>186</v>
      </c>
      <c r="C18" s="5">
        <v>11998</v>
      </c>
      <c r="D18" s="5">
        <v>12456</v>
      </c>
      <c r="E18" s="1"/>
      <c r="F18" s="1"/>
      <c r="G18" s="1"/>
      <c r="H18" s="1"/>
      <c r="I18" s="1"/>
      <c r="J18" s="1"/>
    </row>
    <row r="19" spans="1:10" ht="22" customHeight="1">
      <c r="A19" s="1"/>
      <c r="B19" s="1" t="s">
        <v>187</v>
      </c>
      <c r="C19" s="5">
        <v>29617</v>
      </c>
      <c r="D19" s="5">
        <v>30314</v>
      </c>
      <c r="E19" s="1"/>
      <c r="F19" s="1"/>
      <c r="G19" s="1"/>
      <c r="H19" s="1"/>
      <c r="I19" s="1"/>
      <c r="J19" s="1"/>
    </row>
    <row r="20" spans="1:10" ht="22" customHeight="1">
      <c r="A20" s="1"/>
      <c r="B20" s="1" t="s">
        <v>188</v>
      </c>
      <c r="C20" s="5">
        <v>20248</v>
      </c>
      <c r="D20" s="5">
        <v>20401</v>
      </c>
      <c r="E20" s="1"/>
      <c r="F20" s="1"/>
      <c r="G20" s="1"/>
      <c r="H20" s="1"/>
      <c r="I20" s="1"/>
      <c r="J20" s="1"/>
    </row>
    <row r="21" spans="1:10" ht="22" customHeight="1">
      <c r="A21" s="1"/>
      <c r="B21" s="1" t="s">
        <v>191</v>
      </c>
      <c r="C21" s="5">
        <v>794</v>
      </c>
      <c r="D21" s="5">
        <v>919</v>
      </c>
      <c r="E21" s="1"/>
      <c r="F21" s="1"/>
      <c r="G21" s="1"/>
      <c r="H21" s="1"/>
      <c r="I21" s="1"/>
      <c r="J21" s="1"/>
    </row>
    <row r="22" spans="1:10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2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6" customHeight="1">
      <c r="A24" s="1"/>
      <c r="B24" s="4" t="s">
        <v>192</v>
      </c>
      <c r="C24" s="4" t="s">
        <v>80</v>
      </c>
      <c r="D24" s="1"/>
      <c r="E24" s="1"/>
      <c r="F24" s="1"/>
      <c r="G24" s="1"/>
      <c r="H24" s="1"/>
      <c r="I24" s="1"/>
      <c r="J24" s="1"/>
    </row>
    <row r="25" spans="1:10" ht="22" customHeight="1">
      <c r="A25" s="1"/>
      <c r="B25" s="7" t="s">
        <v>193</v>
      </c>
      <c r="C25" s="18">
        <v>-120</v>
      </c>
      <c r="D25" s="1"/>
      <c r="E25" s="1"/>
      <c r="F25" s="1"/>
      <c r="G25" s="1"/>
      <c r="H25" s="1"/>
      <c r="I25" s="1"/>
      <c r="J25" s="1"/>
    </row>
    <row r="26" spans="1:10" ht="22" customHeight="1">
      <c r="A26" s="1"/>
      <c r="B26" s="7" t="s">
        <v>194</v>
      </c>
      <c r="C26" s="18">
        <v>-70</v>
      </c>
      <c r="D26" s="1"/>
      <c r="E26" s="1"/>
      <c r="F26" s="1"/>
      <c r="G26" s="1"/>
      <c r="H26" s="1"/>
      <c r="I26" s="1"/>
      <c r="J26" s="1"/>
    </row>
    <row r="27" spans="1:10" ht="22" customHeight="1">
      <c r="A27" s="1"/>
      <c r="B27" s="7" t="s">
        <v>195</v>
      </c>
      <c r="C27" s="18">
        <v>-60</v>
      </c>
      <c r="D27" s="1"/>
      <c r="E27" s="1"/>
      <c r="F27" s="1"/>
      <c r="G27" s="1"/>
      <c r="H27" s="1"/>
      <c r="I27" s="1"/>
      <c r="J27" s="1"/>
    </row>
    <row r="28" spans="1:10" ht="22" customHeight="1">
      <c r="A28" s="1"/>
      <c r="B28" s="1" t="s">
        <v>196</v>
      </c>
      <c r="C28" s="17">
        <v>-30</v>
      </c>
      <c r="D28" s="1"/>
      <c r="E28" s="1"/>
      <c r="F28" s="1"/>
      <c r="G28" s="1"/>
      <c r="H28" s="1"/>
      <c r="I28" s="1"/>
      <c r="J28" s="1"/>
    </row>
    <row r="29" spans="1:10" ht="22" customHeight="1">
      <c r="A29" s="1"/>
      <c r="B29" s="1" t="s">
        <v>197</v>
      </c>
      <c r="C29" s="17">
        <v>-20</v>
      </c>
      <c r="D29" s="1"/>
      <c r="E29" s="1"/>
      <c r="F29" s="1"/>
      <c r="G29" s="1"/>
      <c r="H29" s="1"/>
      <c r="I29" s="1"/>
      <c r="J29" s="1"/>
    </row>
    <row r="30" spans="1:10" ht="22" customHeight="1">
      <c r="A30" s="1"/>
      <c r="B30" s="1" t="s">
        <v>65</v>
      </c>
      <c r="C30" s="17">
        <v>-10</v>
      </c>
      <c r="D30" s="1"/>
      <c r="E30" s="1"/>
      <c r="F30" s="1"/>
      <c r="G30" s="1"/>
      <c r="H30" s="1"/>
      <c r="I30" s="1"/>
      <c r="J30" s="1"/>
    </row>
    <row r="31" spans="1:10" ht="22" customHeight="1">
      <c r="A31" s="1"/>
      <c r="B31" s="1" t="s">
        <v>198</v>
      </c>
      <c r="C31" s="17">
        <v>-10</v>
      </c>
      <c r="D31" s="1"/>
      <c r="E31" s="1"/>
      <c r="F31" s="1"/>
      <c r="G31" s="1"/>
      <c r="H31" s="1"/>
      <c r="I31" s="1"/>
      <c r="J31" s="1"/>
    </row>
    <row r="32" spans="1:10" ht="22" customHeight="1">
      <c r="A32" s="1"/>
      <c r="B32" s="7" t="s">
        <v>199</v>
      </c>
      <c r="C32" s="18">
        <v>180</v>
      </c>
      <c r="D32" s="1"/>
      <c r="E32" s="1"/>
      <c r="F32" s="1"/>
      <c r="G32" s="1"/>
      <c r="H32" s="1"/>
      <c r="I32" s="1"/>
      <c r="J32" s="1"/>
    </row>
    <row r="33" spans="1:10" ht="22" customHeight="1">
      <c r="A33" s="1"/>
      <c r="B33" s="7" t="s">
        <v>200</v>
      </c>
      <c r="C33" s="18">
        <v>40</v>
      </c>
      <c r="D33" s="1"/>
      <c r="E33" s="1"/>
      <c r="F33" s="1"/>
      <c r="G33" s="1"/>
      <c r="H33" s="1"/>
      <c r="I33" s="1"/>
      <c r="J33" s="1"/>
    </row>
    <row r="34" spans="1:10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spans="1:10" ht="22" customHeight="1">
      <c r="A35" s="1"/>
      <c r="B35" s="1" t="s">
        <v>201</v>
      </c>
      <c r="C35" s="1"/>
      <c r="D35" s="1"/>
      <c r="E35" s="1"/>
      <c r="F35" s="1"/>
      <c r="G35" s="1"/>
      <c r="H35" s="1"/>
      <c r="I35" s="1"/>
      <c r="J35" s="1"/>
    </row>
    <row r="36" spans="1:10" ht="22" customHeight="1">
      <c r="A36" s="1"/>
      <c r="B36" s="1" t="s">
        <v>202</v>
      </c>
      <c r="C36" s="1"/>
      <c r="D36" s="1"/>
      <c r="E36" s="1"/>
      <c r="F36" s="1"/>
      <c r="G36" s="1"/>
      <c r="H36" s="1"/>
      <c r="I36" s="1"/>
      <c r="J36" s="1"/>
    </row>
    <row r="37" spans="1:10" ht="22" customHeight="1">
      <c r="A37" s="1"/>
      <c r="B37" s="1" t="s">
        <v>203</v>
      </c>
      <c r="C37" s="1"/>
      <c r="D37" s="1"/>
      <c r="E37" s="1"/>
      <c r="F37" s="1"/>
      <c r="G37" s="1"/>
      <c r="H37" s="1"/>
      <c r="I37" s="1"/>
      <c r="J37" s="1"/>
    </row>
    <row r="38" spans="1:10" ht="22" customHeight="1">
      <c r="A38" s="1"/>
      <c r="B38" s="1" t="s">
        <v>204</v>
      </c>
      <c r="C38" s="1"/>
      <c r="D38" s="1"/>
      <c r="E38" s="1"/>
      <c r="F38" s="1"/>
      <c r="G38" s="1"/>
      <c r="H38" s="1"/>
      <c r="I38" s="1"/>
      <c r="J38" s="1"/>
    </row>
    <row r="39" spans="1:10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PG_1_Analysis</vt:lpstr>
      <vt:lpstr>PG_2_Analysis</vt:lpstr>
      <vt:lpstr>PG_3_Analysis</vt:lpstr>
      <vt:lpstr>PG_4_Analysis</vt:lpstr>
      <vt:lpstr>Reported Earnings</vt:lpstr>
      <vt:lpstr>Reported Balance</vt:lpstr>
      <vt:lpstr>Reported Cash</vt:lpstr>
      <vt:lpstr>Reported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PG-Chen, Hoi Chun</cp:lastModifiedBy>
  <dcterms:modified xsi:type="dcterms:W3CDTF">2026-10-02T20:46:36Z</dcterms:modified>
</cp:coreProperties>
</file>