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zhiyimylove/Documents/申请工作/work/pg_external_analysis/outputs/"/>
    </mc:Choice>
  </mc:AlternateContent>
  <xr:revisionPtr revIDLastSave="0" documentId="13_ncr:1_{72D68A74-62EF-1A4B-B41F-7562511F457C}" xr6:coauthVersionLast="47" xr6:coauthVersionMax="47" xr10:uidLastSave="{00000000-0000-0000-0000-000000000000}"/>
  <bookViews>
    <workbookView xWindow="0" yWindow="500" windowWidth="30240" windowHeight="19640" activeTab="1" xr2:uid="{00000000-000D-0000-FFFF-FFFF00000000}"/>
  </bookViews>
  <sheets>
    <sheet name="PG_1_Analysis" sheetId="1" r:id="rId1"/>
    <sheet name="Reported Earn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E12" i="1"/>
  <c r="F12" i="1" s="1"/>
  <c r="D12" i="1"/>
  <c r="C12" i="1"/>
  <c r="E11" i="1"/>
  <c r="F11" i="1" s="1"/>
  <c r="C23" i="1" s="1"/>
  <c r="D11" i="1"/>
  <c r="C11" i="1"/>
  <c r="E10" i="1"/>
  <c r="F10" i="1" s="1"/>
  <c r="C22" i="1" s="1"/>
  <c r="D10" i="1"/>
  <c r="C10" i="1"/>
  <c r="E8" i="1"/>
  <c r="F8" i="1" s="1"/>
  <c r="C21" i="1" s="1"/>
  <c r="D8" i="1"/>
  <c r="C8" i="1"/>
  <c r="E7" i="1"/>
  <c r="E9" i="1" s="1"/>
  <c r="D7" i="1"/>
  <c r="D9" i="1" s="1"/>
  <c r="D14" i="1" s="1"/>
  <c r="C7" i="1"/>
  <c r="C9" i="1" s="1"/>
  <c r="C14" i="1" s="1"/>
  <c r="E14" i="1" l="1"/>
  <c r="F14" i="1" s="1"/>
  <c r="F9" i="1"/>
  <c r="D15" i="1"/>
  <c r="E15" i="1"/>
  <c r="F15" i="1" s="1"/>
  <c r="C15" i="1"/>
  <c r="F7" i="1"/>
  <c r="C20" i="1" s="1"/>
  <c r="C24" i="1" s="1"/>
  <c r="C26" i="1" s="1"/>
  <c r="D17" i="1"/>
</calcChain>
</file>

<file path=xl/sharedStrings.xml><?xml version="1.0" encoding="utf-8"?>
<sst xmlns="http://schemas.openxmlformats.org/spreadsheetml/2006/main" count="71" uniqueCount="51">
  <si>
    <t>P&amp;G | Revenue growth and operating profit</t>
  </si>
  <si>
    <t>FY2026 sales grew; operating profit declined. Amounts in USD millions.</t>
  </si>
  <si>
    <t>Metric</t>
  </si>
  <si>
    <t>FY2024</t>
  </si>
  <si>
    <t>FY2025</t>
  </si>
  <si>
    <t>FY2026</t>
  </si>
  <si>
    <t>FY26 vs FY25</t>
  </si>
  <si>
    <t>Net sales</t>
  </si>
  <si>
    <t>Cost of products sold</t>
  </si>
  <si>
    <t>Gross profit</t>
  </si>
  <si>
    <t>SG&amp;A</t>
  </si>
  <si>
    <t>Intangible impairment</t>
  </si>
  <si>
    <t>Operating income</t>
  </si>
  <si>
    <t>Gross margin</t>
  </si>
  <si>
    <t>Operating margin</t>
  </si>
  <si>
    <t>FY2026 growth vs FY2025</t>
  </si>
  <si>
    <t>Revenue</t>
  </si>
  <si>
    <t>Operating profit</t>
  </si>
  <si>
    <t>Operating profit bridge</t>
  </si>
  <si>
    <t>Effect (USD m)</t>
  </si>
  <si>
    <t>Revenue increase</t>
  </si>
  <si>
    <t>Higher cost of products sold</t>
  </si>
  <si>
    <t>Higher SG&amp;A</t>
  </si>
  <si>
    <t>Change in impairment</t>
  </si>
  <si>
    <t>Net operating profit change</t>
  </si>
  <si>
    <t>Bridge less reported operating profit change</t>
  </si>
  <si>
    <t>Reported: source financial amounts. Derived: gross profit, margins and changes.</t>
  </si>
  <si>
    <t>FY2024 includes $1,341m impairment; the FY2025 recovery is not fully recurring.</t>
  </si>
  <si>
    <t>Gross profit uses net sales less cost of products sold; no adjusted series created.</t>
  </si>
  <si>
    <t>P&amp;G | Reported income statement</t>
  </si>
  <si>
    <t>Fiscal years ended 30 June; USD millions, except EPS</t>
  </si>
  <si>
    <t>Reported metric</t>
  </si>
  <si>
    <t>Classification</t>
  </si>
  <si>
    <t>Reported</t>
  </si>
  <si>
    <t>Selling, general and administrative expense</t>
  </si>
  <si>
    <t>Intangible asset impairment</t>
  </si>
  <si>
    <t>Interest expense</t>
  </si>
  <si>
    <t>Interest income</t>
  </si>
  <si>
    <t>Other non-operating income, net</t>
  </si>
  <si>
    <t>Earnings before income taxes</t>
  </si>
  <si>
    <t>Income taxes</t>
  </si>
  <si>
    <t>Net earnings</t>
  </si>
  <si>
    <t>Net earnings attributable to noncontrolling interests</t>
  </si>
  <si>
    <t>Net earnings attributable to P&amp;G</t>
  </si>
  <si>
    <t>Basic EPS</t>
  </si>
  <si>
    <t>Diluted EPS</t>
  </si>
  <si>
    <t>Source: P&amp;G 2026 Annual Report, printed p.37 (PDF p.49).</t>
  </si>
  <si>
    <t>Company financial spreadsheet: income statement, rows 5–21.</t>
  </si>
  <si>
    <t>Source dashes on impairment are recorded as zero; no adjustments made.</t>
  </si>
  <si>
    <t>Red marks highlight matching evidence, not a positive or negative result.</t>
  </si>
  <si>
    <t>https://s204.q4cdn.com/332108499/files/doc_financials/2026/ar/2026_annual_report.pdf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</si>
</sst>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$#,##0;\(\$#,##0\);&quot;–&quot;"/>
    <numFmt numFmtId="177" formatCode="\$0.00"/>
    <numFmt numFmtId="178" formatCode="0.0%;\(0.0%\);&quot;–&quot;"/>
    <numFmt numFmtId="179" formatCode="0.0&quot; bps&quot;;\(0.0\)&quot; bps&quot;;&quot;–&quot;"/>
  </numFmts>
  <fonts count="8">
    <font>
      <sz val="11"/>
      <name val="Carlito"/>
    </font>
    <font>
      <sz val="12"/>
      <name val="Arial"/>
      <family val="2"/>
    </font>
    <font>
      <b/>
      <sz val="18"/>
      <color rgb="FF003DA5"/>
      <name val="Arial"/>
      <family val="2"/>
    </font>
    <font>
      <b/>
      <sz val="12"/>
      <color rgb="FFFFFFFF"/>
      <name val="Arial"/>
      <family val="2"/>
    </font>
    <font>
      <b/>
      <sz val="12"/>
      <color rgb="FFC00000"/>
      <name val="Arial"/>
      <family val="2"/>
    </font>
    <font>
      <sz val="9"/>
      <name val="Arial"/>
      <family val="2"/>
    </font>
    <font>
      <sz val="11"/>
      <name val="Carlito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3DA5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3DA5"/>
      </bottom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1" fillId="0" borderId="0" xfId="1" applyFont="1"/>
    <xf numFmtId="0" fontId="2" fillId="0" borderId="0" xfId="1" applyFont="1"/>
    <xf numFmtId="0" fontId="1" fillId="0" borderId="1" xfId="1" applyFont="1" applyBorder="1"/>
    <xf numFmtId="0" fontId="3" fillId="2" borderId="0" xfId="1" applyFont="1" applyFill="1"/>
    <xf numFmtId="176" fontId="1" fillId="0" borderId="0" xfId="1" applyNumberFormat="1" applyFont="1"/>
    <xf numFmtId="177" fontId="1" fillId="0" borderId="0" xfId="1" applyNumberFormat="1" applyFont="1"/>
    <xf numFmtId="0" fontId="4" fillId="0" borderId="0" xfId="1" applyFont="1"/>
    <xf numFmtId="176" fontId="4" fillId="0" borderId="0" xfId="1" applyNumberFormat="1" applyFont="1"/>
    <xf numFmtId="0" fontId="5" fillId="0" borderId="0" xfId="1" applyFont="1"/>
    <xf numFmtId="178" fontId="1" fillId="0" borderId="0" xfId="1" applyNumberFormat="1" applyFont="1"/>
    <xf numFmtId="179" fontId="1" fillId="0" borderId="0" xfId="1" applyNumberFormat="1" applyFont="1"/>
    <xf numFmtId="2" fontId="1" fillId="0" borderId="0" xfId="1" applyNumberFormat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DA5"/>
  </sheetPr>
  <dimension ref="A1:H33"/>
  <sheetViews>
    <sheetView showGridLines="0" showRowColHeaders="0" zoomScale="110" zoomScaleNormal="110" workbookViewId="0">
      <selection activeCell="H1" sqref="H1"/>
    </sheetView>
  </sheetViews>
  <sheetFormatPr baseColWidth="10" defaultColWidth="8.83203125" defaultRowHeight="14"/>
  <cols>
    <col min="1" max="1" width="3" customWidth="1"/>
    <col min="2" max="2" width="58" customWidth="1"/>
    <col min="3" max="6" width="17" customWidth="1"/>
    <col min="7" max="8" width="3" customWidth="1"/>
  </cols>
  <sheetData>
    <row r="1" spans="1:8" ht="22" customHeight="1">
      <c r="A1" s="1"/>
      <c r="B1" s="1"/>
      <c r="C1" s="1"/>
      <c r="D1" s="1"/>
      <c r="E1" s="1"/>
      <c r="F1" s="1"/>
      <c r="G1" s="1"/>
      <c r="H1" s="1"/>
    </row>
    <row r="2" spans="1:8" ht="22" customHeight="1">
      <c r="A2" s="1"/>
      <c r="B2" s="2" t="s">
        <v>0</v>
      </c>
      <c r="C2" s="1"/>
      <c r="D2" s="1"/>
      <c r="E2" s="1"/>
      <c r="F2" s="1"/>
      <c r="G2" s="1"/>
      <c r="H2" s="1"/>
    </row>
    <row r="3" spans="1:8" ht="22" customHeight="1">
      <c r="A3" s="1"/>
      <c r="B3" s="3"/>
      <c r="C3" s="3"/>
      <c r="D3" s="3"/>
      <c r="E3" s="3"/>
      <c r="F3" s="3"/>
      <c r="G3" s="1"/>
      <c r="H3" s="1"/>
    </row>
    <row r="4" spans="1:8" ht="22" customHeight="1">
      <c r="A4" s="1"/>
      <c r="B4" s="1" t="s">
        <v>1</v>
      </c>
      <c r="C4" s="1"/>
      <c r="D4" s="1"/>
      <c r="E4" s="1"/>
      <c r="F4" s="1"/>
      <c r="G4" s="1"/>
      <c r="H4" s="1"/>
    </row>
    <row r="5" spans="1:8" ht="22" customHeight="1">
      <c r="A5" s="1"/>
      <c r="B5" s="1"/>
      <c r="C5" s="1"/>
      <c r="D5" s="1"/>
      <c r="E5" s="1"/>
      <c r="F5" s="1"/>
      <c r="G5" s="1"/>
      <c r="H5" s="1"/>
    </row>
    <row r="6" spans="1:8" ht="26" customHeight="1">
      <c r="A6" s="1"/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1"/>
      <c r="H6" s="1"/>
    </row>
    <row r="7" spans="1:8" ht="22" customHeight="1">
      <c r="A7" s="1"/>
      <c r="B7" s="7" t="s">
        <v>7</v>
      </c>
      <c r="C7" s="8">
        <f>'Reported Earnings'!C7</f>
        <v>84039</v>
      </c>
      <c r="D7" s="8">
        <f>'Reported Earnings'!D7</f>
        <v>84284</v>
      </c>
      <c r="E7" s="8">
        <f>'Reported Earnings'!E7</f>
        <v>87032</v>
      </c>
      <c r="F7" s="8">
        <f t="shared" ref="F7:F12" si="0">E7-D7</f>
        <v>2748</v>
      </c>
      <c r="G7" s="1"/>
      <c r="H7" s="1"/>
    </row>
    <row r="8" spans="1:8" ht="22" customHeight="1">
      <c r="A8" s="1"/>
      <c r="B8" s="1" t="s">
        <v>8</v>
      </c>
      <c r="C8" s="5">
        <f>'Reported Earnings'!C8</f>
        <v>40848</v>
      </c>
      <c r="D8" s="5">
        <f>'Reported Earnings'!D8</f>
        <v>41164</v>
      </c>
      <c r="E8" s="5">
        <f>'Reported Earnings'!E8</f>
        <v>43362</v>
      </c>
      <c r="F8" s="5">
        <f t="shared" si="0"/>
        <v>2198</v>
      </c>
      <c r="G8" s="1"/>
      <c r="H8" s="1"/>
    </row>
    <row r="9" spans="1:8" ht="22" customHeight="1">
      <c r="A9" s="1"/>
      <c r="B9" s="1" t="s">
        <v>9</v>
      </c>
      <c r="C9" s="5">
        <f>C7-C8</f>
        <v>43191</v>
      </c>
      <c r="D9" s="5">
        <f>D7-D8</f>
        <v>43120</v>
      </c>
      <c r="E9" s="5">
        <f>E7-E8</f>
        <v>43670</v>
      </c>
      <c r="F9" s="5">
        <f t="shared" si="0"/>
        <v>550</v>
      </c>
      <c r="G9" s="1"/>
      <c r="H9" s="1"/>
    </row>
    <row r="10" spans="1:8" ht="22" customHeight="1">
      <c r="A10" s="1"/>
      <c r="B10" s="1" t="s">
        <v>10</v>
      </c>
      <c r="C10" s="5">
        <f>'Reported Earnings'!C9</f>
        <v>23305</v>
      </c>
      <c r="D10" s="5">
        <f>'Reported Earnings'!D9</f>
        <v>22669</v>
      </c>
      <c r="E10" s="5">
        <f>'Reported Earnings'!E9</f>
        <v>23922</v>
      </c>
      <c r="F10" s="5">
        <f t="shared" si="0"/>
        <v>1253</v>
      </c>
      <c r="G10" s="1"/>
      <c r="H10" s="1"/>
    </row>
    <row r="11" spans="1:8" ht="22" customHeight="1">
      <c r="A11" s="1"/>
      <c r="B11" s="1" t="s">
        <v>11</v>
      </c>
      <c r="C11" s="5">
        <f>'Reported Earnings'!C10</f>
        <v>1341</v>
      </c>
      <c r="D11" s="5">
        <f>'Reported Earnings'!D10</f>
        <v>0</v>
      </c>
      <c r="E11" s="5">
        <f>'Reported Earnings'!E10</f>
        <v>0</v>
      </c>
      <c r="F11" s="5">
        <f t="shared" si="0"/>
        <v>0</v>
      </c>
      <c r="G11" s="1"/>
      <c r="H11" s="1"/>
    </row>
    <row r="12" spans="1:8" ht="22" customHeight="1">
      <c r="A12" s="1"/>
      <c r="B12" s="7" t="s">
        <v>12</v>
      </c>
      <c r="C12" s="8">
        <f>'Reported Earnings'!C11</f>
        <v>18545</v>
      </c>
      <c r="D12" s="8">
        <f>'Reported Earnings'!D11</f>
        <v>20451</v>
      </c>
      <c r="E12" s="8">
        <f>'Reported Earnings'!E11</f>
        <v>19748</v>
      </c>
      <c r="F12" s="8">
        <f t="shared" si="0"/>
        <v>-703</v>
      </c>
      <c r="G12" s="1"/>
      <c r="H12" s="1"/>
    </row>
    <row r="13" spans="1:8" ht="22" customHeight="1">
      <c r="A13" s="1"/>
      <c r="B13" s="1"/>
      <c r="C13" s="1"/>
      <c r="D13" s="1"/>
      <c r="E13" s="1"/>
      <c r="F13" s="1"/>
      <c r="G13" s="1"/>
      <c r="H13" s="1"/>
    </row>
    <row r="14" spans="1:8" ht="22" customHeight="1">
      <c r="A14" s="1"/>
      <c r="B14" s="1" t="s">
        <v>13</v>
      </c>
      <c r="C14" s="10">
        <f>C9/C7</f>
        <v>0.51393995644879165</v>
      </c>
      <c r="D14" s="10">
        <f>D9/D7</f>
        <v>0.51160362583645769</v>
      </c>
      <c r="E14" s="10">
        <f>E9/E7</f>
        <v>0.50176946410515677</v>
      </c>
      <c r="F14" s="11">
        <f>(E14-D14)*10000</f>
        <v>-98.341617313009166</v>
      </c>
      <c r="G14" s="1"/>
      <c r="H14" s="1"/>
    </row>
    <row r="15" spans="1:8" ht="22" customHeight="1">
      <c r="A15" s="1"/>
      <c r="B15" s="1" t="s">
        <v>14</v>
      </c>
      <c r="C15" s="10">
        <f>C12/C7</f>
        <v>0.22067135496614668</v>
      </c>
      <c r="D15" s="10">
        <f>D12/D7</f>
        <v>0.24264391818138675</v>
      </c>
      <c r="E15" s="10">
        <f>E12/E7</f>
        <v>0.22690504641970768</v>
      </c>
      <c r="F15" s="11">
        <f>(E15-D15)*10000</f>
        <v>-157.38871761679067</v>
      </c>
      <c r="G15" s="1"/>
      <c r="H15" s="1"/>
    </row>
    <row r="16" spans="1:8" ht="22" customHeight="1">
      <c r="A16" s="1"/>
      <c r="B16" s="1"/>
      <c r="C16" s="1"/>
      <c r="D16" s="1"/>
      <c r="E16" s="1"/>
      <c r="F16" s="1"/>
      <c r="G16" s="1"/>
      <c r="H16" s="1"/>
    </row>
    <row r="17" spans="1:8" ht="22" customHeight="1">
      <c r="A17" s="1"/>
      <c r="B17" s="1" t="s">
        <v>15</v>
      </c>
      <c r="C17" s="1" t="s">
        <v>16</v>
      </c>
      <c r="D17" s="10">
        <f>E7/D7-1</f>
        <v>3.2604052963788988E-2</v>
      </c>
      <c r="E17" s="1" t="s">
        <v>17</v>
      </c>
      <c r="F17" s="10">
        <f>E12/D12-1</f>
        <v>-3.4374847195736136E-2</v>
      </c>
      <c r="G17" s="1"/>
      <c r="H17" s="1"/>
    </row>
    <row r="18" spans="1:8" ht="22" customHeight="1">
      <c r="A18" s="1"/>
      <c r="B18" s="1"/>
      <c r="C18" s="1"/>
      <c r="D18" s="1"/>
      <c r="E18" s="1"/>
      <c r="F18" s="1"/>
      <c r="G18" s="1"/>
      <c r="H18" s="1"/>
    </row>
    <row r="19" spans="1:8" ht="26" customHeight="1">
      <c r="A19" s="1"/>
      <c r="B19" s="4" t="s">
        <v>18</v>
      </c>
      <c r="C19" s="4" t="s">
        <v>19</v>
      </c>
      <c r="D19" s="4"/>
      <c r="E19" s="4"/>
      <c r="F19" s="4"/>
      <c r="G19" s="1"/>
      <c r="H19" s="1"/>
    </row>
    <row r="20" spans="1:8" ht="22" customHeight="1">
      <c r="A20" s="1"/>
      <c r="B20" s="1" t="s">
        <v>20</v>
      </c>
      <c r="C20" s="5">
        <f>F7</f>
        <v>2748</v>
      </c>
      <c r="D20" s="1"/>
      <c r="E20" s="1"/>
      <c r="F20" s="1"/>
      <c r="G20" s="1"/>
      <c r="H20" s="1"/>
    </row>
    <row r="21" spans="1:8" ht="22" customHeight="1">
      <c r="A21" s="1"/>
      <c r="B21" s="1" t="s">
        <v>21</v>
      </c>
      <c r="C21" s="5">
        <f>-F8</f>
        <v>-2198</v>
      </c>
      <c r="D21" s="1"/>
      <c r="E21" s="1"/>
      <c r="F21" s="1"/>
      <c r="G21" s="1"/>
      <c r="H21" s="1"/>
    </row>
    <row r="22" spans="1:8" ht="22" customHeight="1">
      <c r="A22" s="1"/>
      <c r="B22" s="1" t="s">
        <v>22</v>
      </c>
      <c r="C22" s="5">
        <f>-F10</f>
        <v>-1253</v>
      </c>
      <c r="D22" s="1"/>
      <c r="E22" s="1"/>
      <c r="F22" s="1"/>
      <c r="G22" s="1"/>
      <c r="H22" s="1"/>
    </row>
    <row r="23" spans="1:8" ht="22" customHeight="1">
      <c r="A23" s="1"/>
      <c r="B23" s="1" t="s">
        <v>23</v>
      </c>
      <c r="C23" s="5">
        <f>-F11</f>
        <v>0</v>
      </c>
      <c r="D23" s="1"/>
      <c r="E23" s="1"/>
      <c r="F23" s="1"/>
      <c r="G23" s="1"/>
      <c r="H23" s="1"/>
    </row>
    <row r="24" spans="1:8" ht="22" customHeight="1">
      <c r="A24" s="1"/>
      <c r="B24" s="1" t="s">
        <v>24</v>
      </c>
      <c r="C24" s="5">
        <f>SUM(C20:C23)</f>
        <v>-703</v>
      </c>
      <c r="D24" s="1"/>
      <c r="E24" s="1"/>
      <c r="F24" s="1"/>
      <c r="G24" s="1"/>
      <c r="H24" s="1"/>
    </row>
    <row r="25" spans="1:8" ht="22" customHeight="1">
      <c r="A25" s="1"/>
      <c r="B25" s="1"/>
      <c r="C25" s="1"/>
      <c r="D25" s="1"/>
      <c r="E25" s="1"/>
      <c r="F25" s="1"/>
      <c r="G25" s="1"/>
      <c r="H25" s="1"/>
    </row>
    <row r="26" spans="1:8" ht="22" customHeight="1">
      <c r="A26" s="1"/>
      <c r="B26" s="1" t="s">
        <v>25</v>
      </c>
      <c r="C26" s="12">
        <f>C24-F12</f>
        <v>0</v>
      </c>
      <c r="D26" s="1"/>
      <c r="E26" s="1"/>
      <c r="F26" s="1"/>
      <c r="G26" s="1"/>
      <c r="H26" s="1"/>
    </row>
    <row r="27" spans="1:8" ht="22" customHeight="1">
      <c r="A27" s="1"/>
      <c r="B27" s="1"/>
      <c r="C27" s="1"/>
      <c r="D27" s="1"/>
      <c r="E27" s="1"/>
      <c r="F27" s="1"/>
      <c r="G27" s="1"/>
      <c r="H27" s="1"/>
    </row>
    <row r="28" spans="1:8" ht="22" customHeight="1">
      <c r="A28" s="1"/>
      <c r="B28" s="1" t="s">
        <v>26</v>
      </c>
      <c r="C28" s="1"/>
      <c r="D28" s="1"/>
      <c r="E28" s="1"/>
      <c r="F28" s="1"/>
      <c r="G28" s="1"/>
      <c r="H28" s="1"/>
    </row>
    <row r="29" spans="1:8" ht="22" customHeight="1">
      <c r="A29" s="1"/>
      <c r="B29" s="1" t="s">
        <v>27</v>
      </c>
      <c r="C29" s="1"/>
      <c r="D29" s="1"/>
      <c r="E29" s="1"/>
      <c r="F29" s="1"/>
      <c r="G29" s="1"/>
      <c r="H29" s="1"/>
    </row>
    <row r="30" spans="1:8" ht="22" customHeight="1">
      <c r="A30" s="1"/>
      <c r="B30" s="1" t="s">
        <v>28</v>
      </c>
      <c r="C30" s="1"/>
      <c r="D30" s="1"/>
      <c r="E30" s="1"/>
      <c r="F30" s="1"/>
      <c r="G30" s="1"/>
      <c r="H30" s="1"/>
    </row>
    <row r="31" spans="1:8" ht="22" customHeight="1">
      <c r="A31" s="1"/>
      <c r="B31" s="1"/>
      <c r="C31" s="1"/>
      <c r="D31" s="1"/>
      <c r="E31" s="1"/>
      <c r="F31" s="1"/>
      <c r="G31" s="1"/>
      <c r="H31" s="1"/>
    </row>
    <row r="32" spans="1:8" ht="22" customHeight="1">
      <c r="A32" s="1"/>
      <c r="B32" s="1"/>
      <c r="C32" s="1"/>
      <c r="D32" s="1"/>
      <c r="E32" s="1"/>
      <c r="F32" s="1"/>
      <c r="G32" s="1"/>
      <c r="H32" s="1"/>
    </row>
    <row r="33" spans="1:8" ht="22" customHeight="1">
      <c r="A33" s="1"/>
      <c r="B33" s="1"/>
      <c r="C33" s="1"/>
      <c r="D33" s="1"/>
      <c r="E33" s="1"/>
      <c r="F33" s="1"/>
      <c r="G33" s="1"/>
      <c r="H33" s="1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FC9A3"/>
  </sheetPr>
  <dimension ref="A1:H33"/>
  <sheetViews>
    <sheetView showGridLines="0" showRowColHeaders="0" tabSelected="1" zoomScale="110" zoomScaleNormal="110" workbookViewId="0">
      <selection activeCell="H1" sqref="H1"/>
    </sheetView>
  </sheetViews>
  <sheetFormatPr baseColWidth="10" defaultColWidth="8.83203125" defaultRowHeight="14"/>
  <cols>
    <col min="1" max="1" width="3" customWidth="1"/>
    <col min="2" max="2" width="58" customWidth="1"/>
    <col min="3" max="6" width="17" customWidth="1"/>
    <col min="7" max="8" width="3" customWidth="1"/>
  </cols>
  <sheetData>
    <row r="1" spans="1:8" ht="22" customHeight="1">
      <c r="A1" s="1"/>
      <c r="B1" s="1"/>
      <c r="C1" s="1"/>
      <c r="D1" s="1"/>
      <c r="E1" s="1"/>
      <c r="F1" s="1"/>
      <c r="G1" s="1"/>
      <c r="H1" s="1"/>
    </row>
    <row r="2" spans="1:8" ht="22" customHeight="1">
      <c r="A2" s="1"/>
      <c r="B2" s="2" t="s">
        <v>29</v>
      </c>
      <c r="C2" s="1"/>
      <c r="D2" s="1"/>
      <c r="E2" s="1"/>
      <c r="F2" s="1"/>
      <c r="G2" s="1"/>
      <c r="H2" s="1"/>
    </row>
    <row r="3" spans="1:8" ht="22" customHeight="1">
      <c r="A3" s="1"/>
      <c r="B3" s="3"/>
      <c r="C3" s="3"/>
      <c r="D3" s="3"/>
      <c r="E3" s="3"/>
      <c r="F3" s="3"/>
      <c r="G3" s="1"/>
      <c r="H3" s="1"/>
    </row>
    <row r="4" spans="1:8" ht="22" customHeight="1">
      <c r="A4" s="1"/>
      <c r="B4" s="1" t="s">
        <v>30</v>
      </c>
      <c r="C4" s="1"/>
      <c r="D4" s="1"/>
      <c r="E4" s="1"/>
      <c r="F4" s="1"/>
      <c r="G4" s="1"/>
      <c r="H4" s="1"/>
    </row>
    <row r="5" spans="1:8" ht="22" customHeight="1">
      <c r="A5" s="1"/>
      <c r="B5" s="1"/>
      <c r="C5" s="1"/>
      <c r="D5" s="1"/>
      <c r="E5" s="1"/>
      <c r="F5" s="1"/>
      <c r="G5" s="1"/>
      <c r="H5" s="1"/>
    </row>
    <row r="6" spans="1:8" ht="26" customHeight="1">
      <c r="A6" s="1"/>
      <c r="B6" s="4" t="s">
        <v>31</v>
      </c>
      <c r="C6" s="4" t="s">
        <v>3</v>
      </c>
      <c r="D6" s="4" t="s">
        <v>4</v>
      </c>
      <c r="E6" s="4" t="s">
        <v>5</v>
      </c>
      <c r="F6" s="4" t="s">
        <v>32</v>
      </c>
      <c r="G6" s="1"/>
      <c r="H6" s="1"/>
    </row>
    <row r="7" spans="1:8" ht="22" customHeight="1">
      <c r="A7" s="1"/>
      <c r="B7" s="7" t="s">
        <v>7</v>
      </c>
      <c r="C7" s="8">
        <v>84039</v>
      </c>
      <c r="D7" s="8">
        <v>84284</v>
      </c>
      <c r="E7" s="8">
        <v>87032</v>
      </c>
      <c r="F7" s="1" t="s">
        <v>33</v>
      </c>
      <c r="G7" s="1"/>
      <c r="H7" s="1"/>
    </row>
    <row r="8" spans="1:8" ht="22" customHeight="1">
      <c r="A8" s="1"/>
      <c r="B8" s="1" t="s">
        <v>8</v>
      </c>
      <c r="C8" s="5">
        <v>40848</v>
      </c>
      <c r="D8" s="5">
        <v>41164</v>
      </c>
      <c r="E8" s="5">
        <v>43362</v>
      </c>
      <c r="F8" s="1" t="s">
        <v>33</v>
      </c>
      <c r="G8" s="1"/>
      <c r="H8" s="1"/>
    </row>
    <row r="9" spans="1:8" ht="22" customHeight="1">
      <c r="A9" s="1"/>
      <c r="B9" s="1" t="s">
        <v>34</v>
      </c>
      <c r="C9" s="5">
        <v>23305</v>
      </c>
      <c r="D9" s="5">
        <v>22669</v>
      </c>
      <c r="E9" s="5">
        <v>23922</v>
      </c>
      <c r="F9" s="1" t="s">
        <v>33</v>
      </c>
      <c r="G9" s="1"/>
      <c r="H9" s="1"/>
    </row>
    <row r="10" spans="1:8" ht="22" customHeight="1">
      <c r="A10" s="1"/>
      <c r="B10" s="1" t="s">
        <v>35</v>
      </c>
      <c r="C10" s="5">
        <v>1341</v>
      </c>
      <c r="D10" s="5">
        <v>0</v>
      </c>
      <c r="E10" s="5">
        <v>0</v>
      </c>
      <c r="F10" s="1" t="s">
        <v>33</v>
      </c>
      <c r="G10" s="1"/>
      <c r="H10" s="1"/>
    </row>
    <row r="11" spans="1:8" ht="22" customHeight="1">
      <c r="A11" s="1"/>
      <c r="B11" s="7" t="s">
        <v>12</v>
      </c>
      <c r="C11" s="8">
        <v>18545</v>
      </c>
      <c r="D11" s="8">
        <v>20451</v>
      </c>
      <c r="E11" s="8">
        <v>19748</v>
      </c>
      <c r="F11" s="1" t="s">
        <v>33</v>
      </c>
      <c r="G11" s="1"/>
      <c r="H11" s="1"/>
    </row>
    <row r="12" spans="1:8" ht="22" customHeight="1">
      <c r="A12" s="1"/>
      <c r="B12" s="1" t="s">
        <v>36</v>
      </c>
      <c r="C12" s="5">
        <v>-925</v>
      </c>
      <c r="D12" s="5">
        <v>-907</v>
      </c>
      <c r="E12" s="5">
        <v>-877</v>
      </c>
      <c r="F12" s="1" t="s">
        <v>33</v>
      </c>
      <c r="G12" s="1"/>
      <c r="H12" s="1"/>
    </row>
    <row r="13" spans="1:8" ht="22" customHeight="1">
      <c r="A13" s="1"/>
      <c r="B13" s="1" t="s">
        <v>37</v>
      </c>
      <c r="C13" s="5">
        <v>473</v>
      </c>
      <c r="D13" s="5">
        <v>469</v>
      </c>
      <c r="E13" s="5">
        <v>430</v>
      </c>
      <c r="F13" s="1" t="s">
        <v>33</v>
      </c>
      <c r="G13" s="1"/>
      <c r="H13" s="1"/>
    </row>
    <row r="14" spans="1:8" ht="22" customHeight="1">
      <c r="A14" s="1"/>
      <c r="B14" s="1" t="s">
        <v>38</v>
      </c>
      <c r="C14" s="5">
        <v>668</v>
      </c>
      <c r="D14" s="5">
        <v>154</v>
      </c>
      <c r="E14" s="5">
        <v>1076</v>
      </c>
      <c r="F14" s="1" t="s">
        <v>33</v>
      </c>
      <c r="G14" s="1"/>
      <c r="H14" s="1"/>
    </row>
    <row r="15" spans="1:8" ht="22" customHeight="1">
      <c r="A15" s="1"/>
      <c r="B15" s="1" t="s">
        <v>39</v>
      </c>
      <c r="C15" s="5">
        <v>18761</v>
      </c>
      <c r="D15" s="5">
        <v>20167</v>
      </c>
      <c r="E15" s="5">
        <v>20377</v>
      </c>
      <c r="F15" s="1" t="s">
        <v>33</v>
      </c>
      <c r="G15" s="1"/>
      <c r="H15" s="1"/>
    </row>
    <row r="16" spans="1:8" ht="22" customHeight="1">
      <c r="A16" s="1"/>
      <c r="B16" s="1" t="s">
        <v>40</v>
      </c>
      <c r="C16" s="5">
        <v>3787</v>
      </c>
      <c r="D16" s="5">
        <v>4102</v>
      </c>
      <c r="E16" s="5">
        <v>4233</v>
      </c>
      <c r="F16" s="1" t="s">
        <v>33</v>
      </c>
      <c r="G16" s="1"/>
      <c r="H16" s="1"/>
    </row>
    <row r="17" spans="1:8" ht="22" customHeight="1">
      <c r="A17" s="1"/>
      <c r="B17" s="1" t="s">
        <v>41</v>
      </c>
      <c r="C17" s="5">
        <v>14974</v>
      </c>
      <c r="D17" s="5">
        <v>16065</v>
      </c>
      <c r="E17" s="5">
        <v>16144</v>
      </c>
      <c r="F17" s="1" t="s">
        <v>33</v>
      </c>
      <c r="G17" s="1"/>
      <c r="H17" s="1"/>
    </row>
    <row r="18" spans="1:8" ht="22" customHeight="1">
      <c r="A18" s="1"/>
      <c r="B18" s="1" t="s">
        <v>42</v>
      </c>
      <c r="C18" s="5">
        <v>95</v>
      </c>
      <c r="D18" s="5">
        <v>91</v>
      </c>
      <c r="E18" s="5">
        <v>98</v>
      </c>
      <c r="F18" s="1" t="s">
        <v>33</v>
      </c>
      <c r="G18" s="1"/>
      <c r="H18" s="1"/>
    </row>
    <row r="19" spans="1:8" ht="22" customHeight="1">
      <c r="A19" s="1"/>
      <c r="B19" s="1" t="s">
        <v>43</v>
      </c>
      <c r="C19" s="5">
        <v>14879</v>
      </c>
      <c r="D19" s="5">
        <v>15974</v>
      </c>
      <c r="E19" s="5">
        <v>16046</v>
      </c>
      <c r="F19" s="1" t="s">
        <v>33</v>
      </c>
      <c r="G19" s="1"/>
      <c r="H19" s="1"/>
    </row>
    <row r="20" spans="1:8" ht="22" customHeight="1">
      <c r="A20" s="1"/>
      <c r="B20" s="1" t="s">
        <v>44</v>
      </c>
      <c r="C20" s="6">
        <v>6.18</v>
      </c>
      <c r="D20" s="6">
        <v>6.67</v>
      </c>
      <c r="E20" s="6">
        <v>6.75</v>
      </c>
      <c r="F20" s="1" t="s">
        <v>33</v>
      </c>
      <c r="G20" s="1"/>
      <c r="H20" s="1"/>
    </row>
    <row r="21" spans="1:8" ht="22" customHeight="1">
      <c r="A21" s="1"/>
      <c r="B21" s="1" t="s">
        <v>45</v>
      </c>
      <c r="C21" s="6">
        <v>6.02</v>
      </c>
      <c r="D21" s="6">
        <v>6.51</v>
      </c>
      <c r="E21" s="6">
        <v>6.62</v>
      </c>
      <c r="F21" s="1" t="s">
        <v>33</v>
      </c>
      <c r="G21" s="1"/>
      <c r="H21" s="1"/>
    </row>
    <row r="22" spans="1:8" ht="22" customHeight="1">
      <c r="A22" s="1"/>
      <c r="B22" s="1"/>
      <c r="C22" s="1"/>
      <c r="D22" s="1"/>
      <c r="E22" s="1"/>
      <c r="F22" s="1"/>
      <c r="G22" s="1"/>
      <c r="H22" s="1"/>
    </row>
    <row r="23" spans="1:8" ht="22" customHeight="1">
      <c r="A23" s="1"/>
      <c r="B23" s="1" t="s">
        <v>46</v>
      </c>
      <c r="C23" s="1"/>
      <c r="D23" s="1"/>
      <c r="E23" s="1"/>
      <c r="F23" s="1"/>
      <c r="G23" s="1"/>
      <c r="H23" s="1"/>
    </row>
    <row r="24" spans="1:8" ht="22" customHeight="1">
      <c r="A24" s="1"/>
      <c r="B24" s="1" t="s">
        <v>47</v>
      </c>
      <c r="C24" s="1"/>
      <c r="D24" s="1"/>
      <c r="E24" s="1"/>
      <c r="F24" s="1"/>
      <c r="G24" s="1"/>
      <c r="H24" s="1"/>
    </row>
    <row r="25" spans="1:8" ht="22" customHeight="1">
      <c r="A25" s="1"/>
      <c r="B25" s="1" t="s">
        <v>48</v>
      </c>
      <c r="C25" s="1"/>
      <c r="D25" s="1"/>
      <c r="E25" s="1"/>
      <c r="F25" s="1"/>
      <c r="G25" s="1"/>
      <c r="H25" s="1"/>
    </row>
    <row r="26" spans="1:8" ht="22" customHeight="1">
      <c r="A26" s="1"/>
      <c r="B26" s="1" t="s">
        <v>49</v>
      </c>
      <c r="C26" s="1"/>
      <c r="D26" s="1"/>
      <c r="E26" s="1"/>
      <c r="F26" s="1"/>
      <c r="G26" s="1"/>
      <c r="H26" s="1"/>
    </row>
    <row r="27" spans="1:8" ht="22" customHeight="1">
      <c r="A27" s="1"/>
      <c r="B27" s="1"/>
      <c r="C27" s="1"/>
      <c r="D27" s="1"/>
      <c r="E27" s="1"/>
      <c r="F27" s="1"/>
      <c r="G27" s="1"/>
      <c r="H27" s="1"/>
    </row>
    <row r="28" spans="1:8" ht="22" customHeight="1">
      <c r="A28" s="1"/>
      <c r="B28" s="9" t="s">
        <v>50</v>
      </c>
      <c r="C28" s="1"/>
      <c r="D28" s="1"/>
      <c r="E28" s="1"/>
      <c r="F28" s="1"/>
      <c r="G28" s="1"/>
      <c r="H28" s="1"/>
    </row>
    <row r="29" spans="1:8" ht="22" customHeight="1">
      <c r="A29" s="1"/>
      <c r="B29" s="1"/>
      <c r="C29" s="1"/>
      <c r="D29" s="1"/>
      <c r="E29" s="1"/>
      <c r="F29" s="1"/>
      <c r="G29" s="1"/>
      <c r="H29" s="1"/>
    </row>
    <row r="30" spans="1:8" ht="22" customHeight="1">
      <c r="A30" s="1"/>
      <c r="B30" s="1"/>
      <c r="C30" s="1"/>
      <c r="D30" s="1"/>
      <c r="E30" s="1"/>
      <c r="F30" s="1"/>
      <c r="G30" s="1"/>
      <c r="H30" s="1"/>
    </row>
    <row r="31" spans="1:8" ht="22" customHeight="1">
      <c r="A31" s="1"/>
      <c r="B31" s="1"/>
      <c r="C31" s="1"/>
      <c r="D31" s="1"/>
      <c r="E31" s="1"/>
      <c r="F31" s="1"/>
      <c r="G31" s="1"/>
      <c r="H31" s="1"/>
    </row>
    <row r="32" spans="1:8" ht="22" customHeight="1">
      <c r="A32" s="1"/>
      <c r="B32" s="1"/>
      <c r="C32" s="1"/>
      <c r="D32" s="1"/>
      <c r="E32" s="1"/>
      <c r="F32" s="1"/>
      <c r="G32" s="1"/>
      <c r="H32" s="1"/>
    </row>
    <row r="33" spans="1:8" ht="22" customHeight="1">
      <c r="A33" s="1"/>
      <c r="B33" s="1"/>
      <c r="C33" s="1"/>
      <c r="D33" s="1"/>
      <c r="E33" s="1"/>
      <c r="F33" s="1"/>
      <c r="G33" s="1"/>
      <c r="H33" s="1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PG_1_Analysis</vt:lpstr>
      <vt:lpstr>Reported Earnings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PG-Chen, Hoi Chun</cp:lastModifiedBy>
  <dcterms:modified xsi:type="dcterms:W3CDTF">2026-10-02T20:00:50Z</dcterms:modified>
</cp:coreProperties>
</file>