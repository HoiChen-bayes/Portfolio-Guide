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zhiyimylove/Documents/申请工作/work/financial_scenario_agents/outputs/guide_evidence/"/>
    </mc:Choice>
  </mc:AlternateContent>
  <xr:revisionPtr revIDLastSave="0" documentId="13_ncr:1_{494FE797-D9B3-A840-B164-AD1DFD3084AA}" xr6:coauthVersionLast="47" xr6:coauthVersionMax="47" xr10:uidLastSave="{00000000-0000-0000-0000-000000000000}"/>
  <bookViews>
    <workbookView xWindow="0" yWindow="500" windowWidth="30240" windowHeight="19640" activeTab="3" xr2:uid="{00000000-000D-0000-FFFF-FFFF00000000}"/>
  </bookViews>
  <sheets>
    <sheet name="1 Revenue" sheetId="1" r:id="rId1"/>
    <sheet name="2 Cutoff" sheetId="2" r:id="rId2"/>
    <sheet name="3 Margins" sheetId="3" r:id="rId3"/>
    <sheet name="4 Scenarios" sheetId="4" r:id="rId4"/>
    <sheet name="Provena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3" l="1"/>
  <c r="J12" i="3"/>
  <c r="J10" i="3"/>
  <c r="J13" i="2"/>
  <c r="J11" i="2"/>
</calcChain>
</file>

<file path=xl/sharedStrings.xml><?xml version="1.0" encoding="utf-8"?>
<sst xmlns="http://schemas.openxmlformats.org/spreadsheetml/2006/main" count="123" uniqueCount="97">
  <si>
    <t>01  Choose the quarterly sales baseline</t>
  </si>
  <si>
    <t>P&amp;G • April–June 2025 / FY2025 Q4 • Amounts in USD millions</t>
  </si>
  <si>
    <t>Source data — reported figures</t>
  </si>
  <si>
    <t>Processed data — Finance Agent</t>
  </si>
  <si>
    <t>Quarterly NET SALES</t>
  </si>
  <si>
    <t>Annual NET SALES</t>
  </si>
  <si>
    <t>Baseline period</t>
  </si>
  <si>
    <t>FY2025 Q4</t>
  </si>
  <si>
    <t>The release contains quarterly and annual columns. The Finance Agent selects $20,889M for the same-quarter baseline; $84,284M is the full year.</t>
  </si>
  <si>
    <t>Source: P&amp;G FY2025 Q4 release, 29 July 2025; income statement, NET SALES row. Left side is a transcription, not the original report.</t>
  </si>
  <si>
    <t>02  Use the publication date to test availability</t>
  </si>
  <si>
    <t>P&amp;G • Fiscal FY2026 Q3 is calendar January–March 2026</t>
  </si>
  <si>
    <t>Quarter ended</t>
  </si>
  <si>
    <t>Release published</t>
  </si>
  <si>
    <t>Publication date</t>
  </si>
  <si>
    <t>March information cutoff</t>
  </si>
  <si>
    <t>Available by March?</t>
  </si>
  <si>
    <t>May information cutoff</t>
  </si>
  <si>
    <t>Available by May?</t>
  </si>
  <si>
    <t>A quarter ending in March was published in April. It is excluded from the 31 March version and included in the 15 May version. Cutoff dates are model rules, not company figures.</t>
  </si>
  <si>
    <t>Source: P&amp;G release dated 24 April 2026. Processed history fields: publication_date, eligible_prequarter=false, eligible_midquarter=true.</t>
  </si>
  <si>
    <t>03  Convert reported amounts into model ratios</t>
  </si>
  <si>
    <t>Net sales</t>
  </si>
  <si>
    <t>Sales denominator</t>
  </si>
  <si>
    <t>Gross profit</t>
  </si>
  <si>
    <t>Gross profit input</t>
  </si>
  <si>
    <t>SG&amp;A expense</t>
  </si>
  <si>
    <t>SG&amp;A input</t>
  </si>
  <si>
    <t>Operating income</t>
  </si>
  <si>
    <t>Gross profit less SG&amp;A</t>
  </si>
  <si>
    <t>Gross profit / sales</t>
  </si>
  <si>
    <t>Gross margin</t>
  </si>
  <si>
    <t>SG&amp;A / sales</t>
  </si>
  <si>
    <t>SG&amp;A ratio</t>
  </si>
  <si>
    <t>10,258 ÷ 20,889 → 49.11%; 5,903 ÷ 20,889 → 28.26%. The Finance Agent stores ratios as decimals rounded to four places (0.4911 and 0.2826).</t>
  </si>
  <si>
    <t>Source: P&amp;G FY2025 Q4 income statement. Output: PG_mid_history Finance Agent mappings. Exact reconciliation: 10,258 − 5,903 = 4,355.</t>
  </si>
  <si>
    <t>04  Turn assumptions into starting scenarios</t>
  </si>
  <si>
    <t>P&amp;G • March history-only version • Forecast April–June 2026 • USD millions</t>
  </si>
  <si>
    <t>Scenario assumptions — analyst inputs</t>
  </si>
  <si>
    <t>Frozen forecast results — model output</t>
  </si>
  <si>
    <t>Historical sales baseline</t>
  </si>
  <si>
    <t>bear sales growth</t>
  </si>
  <si>
    <t>bear forecast revenue</t>
  </si>
  <si>
    <t>base sales growth</t>
  </si>
  <si>
    <t>base forecast revenue</t>
  </si>
  <si>
    <t>bull sales growth</t>
  </si>
  <si>
    <t>bull forecast revenue</t>
  </si>
  <si>
    <t>bear gross margin</t>
  </si>
  <si>
    <t>bear forecast net profit</t>
  </si>
  <si>
    <t>base gross margin</t>
  </si>
  <si>
    <t>base forecast net profit</t>
  </si>
  <si>
    <t>bull gross margin</t>
  </si>
  <si>
    <t>bull forecast net profit</t>
  </si>
  <si>
    <t>Base revenue: 20,889 × (1 + 1.5%) = 21,202.3. Base net profit: 3,799.6. Profit also uses expense, tax and other assumptions; sales growth alone does not determine profit.</t>
  </si>
  <si>
    <t>Analyst assumptions, not company guidance. Net profit means net income attributable to P&amp;G. Sources: PG_pre_history Scenario Agent and the unchanged frozen analysis.json.</t>
  </si>
  <si>
    <t>Example</t>
  </si>
  <si>
    <t>Source / output</t>
  </si>
  <si>
    <t>URL or local path</t>
  </si>
  <si>
    <t>Locator / meaning</t>
  </si>
  <si>
    <t>Exact excerpt</t>
  </si>
  <si>
    <t>Red cells</t>
  </si>
  <si>
    <t>Revenue</t>
  </si>
  <si>
    <t>Company release</t>
  </si>
  <si>
    <t>https://www.pginvestor.com/news/news-details/2025/PG-Announces-Fourth-Quarter-and-Fiscal-Year-2025-Results/default.aspx</t>
  </si>
  <si>
    <t>table[2]/row[3] (zero based); NET SALES</t>
  </si>
  <si>
    <t>NET SALES | $ | 20,889 | $ | 20,532 | 2% | $ | 84,284 | $ | 84,039 | —%</t>
  </si>
  <si>
    <t>E7; J7</t>
  </si>
  <si>
    <t>Finance Agent</t>
  </si>
  <si>
    <t>outputs/runs_reviewed/PG_mid_history/finance/output.json</t>
  </si>
  <si>
    <t>mappings: net_sales, FY2025 Q4</t>
  </si>
  <si>
    <t>Reported quarterly baseline for target sales = 20,889*(1+sales_growth). Use the first quarterly column, not fiscal-year sales of 84,284.</t>
  </si>
  <si>
    <t>J7</t>
  </si>
  <si>
    <t>Margins</t>
  </si>
  <si>
    <t>E7:E10; J7:J10; J12:J13</t>
  </si>
  <si>
    <t>table[2]/row[5] (zero based); GROSS PROFIT</t>
  </si>
  <si>
    <t>GROSS PROFIT | 10,258 | 10,183 | 1% | 43,120 | 43,191 | —%</t>
  </si>
  <si>
    <t>table[2]/row[6] (zero based); Selling, general and administrative expense</t>
  </si>
  <si>
    <t>Selling, general and administrative expense | 5,903 | 6,299 | (6)% | 22,669 | 23,305 | (3)%</t>
  </si>
  <si>
    <t>table[2]/row[8] (zero based); OPERATING INCOME</t>
  </si>
  <si>
    <t>OPERATING INCOME | 4,355 | 3,884 | 12% | 20,451 | 18,545 | 10%</t>
  </si>
  <si>
    <t>Cutoff</t>
  </si>
  <si>
    <t>https://www.pginvestor.com/news/news-details/2026/PG-Announces-Fiscal-Year-2026-Third-Quarter-Results/default.aspx</t>
  </si>
  <si>
    <t>publication 2026-04-24; period ended 2026-03-31</t>
  </si>
  <si>
    <t>History flags: false / true</t>
  </si>
  <si>
    <t>E7,E9,E11,E13; J7,J9,J11,J13</t>
  </si>
  <si>
    <t>Scenarios</t>
  </si>
  <si>
    <t>Analyst inputs</t>
  </si>
  <si>
    <t>outputs/runs_reviewed/PG_pre_history/scenario/output.json</t>
  </si>
  <si>
    <t>assumptions</t>
  </si>
  <si>
    <t>All nine model driver assumptions retained in original source; selected rows illustrated</t>
  </si>
  <si>
    <t>E7,E9:E11,E13:E15</t>
  </si>
  <si>
    <t>Frozen forecast results</t>
  </si>
  <si>
    <t>outputs/analysis.json</t>
  </si>
  <si>
    <t>PG.forecasts: vintage=pre_history</t>
  </si>
  <si>
    <t>net_income_attributable; net_sales</t>
  </si>
  <si>
    <t>J7,J9:J11,J13:J15</t>
  </si>
  <si>
    <t>Selected quarterly sales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</si>
</sst>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d\ mmm\ yyyy"/>
    <numFmt numFmtId="177" formatCode="#,##0.0"/>
    <numFmt numFmtId="178" formatCode="0.0%"/>
  </numFmts>
  <fonts count="10">
    <font>
      <sz val="11"/>
      <name val="Carlito"/>
    </font>
    <font>
      <sz val="12"/>
      <color rgb="FF25354A"/>
      <name val="Arial"/>
      <family val="2"/>
    </font>
    <font>
      <b/>
      <sz val="23"/>
      <color rgb="FF09244A"/>
      <name val="Arial"/>
      <family val="2"/>
    </font>
    <font>
      <sz val="11"/>
      <color rgb="FF25354A"/>
      <name val="Arial"/>
      <family val="2"/>
    </font>
    <font>
      <b/>
      <sz val="12"/>
      <color rgb="FFFFFFFF"/>
      <name val="Arial"/>
      <family val="2"/>
    </font>
    <font>
      <b/>
      <sz val="14"/>
      <color rgb="FFC8102E"/>
      <name val="Arial"/>
      <family val="2"/>
    </font>
    <font>
      <b/>
      <sz val="14"/>
      <color rgb="FF25354A"/>
      <name val="Arial"/>
      <family val="2"/>
    </font>
    <font>
      <b/>
      <sz val="12"/>
      <color rgb="FF25354A"/>
      <name val="Arial"/>
      <family val="2"/>
    </font>
    <font>
      <sz val="11"/>
      <name val="Carlito"/>
    </font>
    <font>
      <sz val="9"/>
      <name val="FangSong"/>
      <family val="3"/>
      <charset val="134"/>
    </font>
  </fonts>
  <fills count="4">
    <fill>
      <patternFill patternType="none"/>
    </fill>
    <fill>
      <patternFill patternType="gray125"/>
    </fill>
    <fill>
      <patternFill patternType="solid">
        <fgColor rgb="FFFFFFFF"/>
      </patternFill>
    </fill>
    <fill>
      <patternFill patternType="solid">
        <fgColor rgb="FF09244A"/>
      </patternFill>
    </fill>
  </fills>
  <borders count="1">
    <border>
      <left/>
      <right/>
      <top/>
      <bottom/>
      <diagonal/>
    </border>
  </borders>
  <cellStyleXfs count="2">
    <xf numFmtId="0" fontId="0" fillId="0" borderId="0"/>
    <xf numFmtId="0" fontId="8" fillId="0" borderId="0"/>
  </cellStyleXfs>
  <cellXfs count="16">
    <xf numFmtId="0" fontId="0" fillId="0" borderId="0" xfId="0"/>
    <xf numFmtId="0" fontId="1" fillId="2" borderId="0" xfId="1" applyFont="1" applyFill="1"/>
    <xf numFmtId="3" fontId="5" fillId="2" borderId="0" xfId="1" applyNumberFormat="1" applyFont="1" applyFill="1"/>
    <xf numFmtId="0" fontId="5" fillId="2" borderId="0" xfId="1" applyFont="1" applyFill="1"/>
    <xf numFmtId="3" fontId="6" fillId="2" borderId="0" xfId="1" applyNumberFormat="1" applyFont="1" applyFill="1"/>
    <xf numFmtId="0" fontId="7" fillId="2" borderId="0" xfId="1" applyFont="1" applyFill="1"/>
    <xf numFmtId="176" fontId="5" fillId="2" borderId="0" xfId="1" applyNumberFormat="1" applyFont="1" applyFill="1"/>
    <xf numFmtId="10" fontId="5" fillId="2" borderId="0" xfId="1" applyNumberFormat="1" applyFont="1" applyFill="1"/>
    <xf numFmtId="177" fontId="5" fillId="2" borderId="0" xfId="1" applyNumberFormat="1" applyFont="1" applyFill="1"/>
    <xf numFmtId="178" fontId="5" fillId="2" borderId="0" xfId="1" applyNumberFormat="1" applyFont="1" applyFill="1"/>
    <xf numFmtId="0" fontId="0" fillId="0" borderId="0" xfId="1" applyFont="1" applyAlignment="1">
      <alignment wrapText="1"/>
    </xf>
    <xf numFmtId="0" fontId="2" fillId="2" borderId="0" xfId="1" applyFont="1" applyFill="1"/>
    <xf numFmtId="0" fontId="3" fillId="2" borderId="0" xfId="1" applyFont="1" applyFill="1"/>
    <xf numFmtId="0" fontId="4" fillId="3" borderId="0" xfId="1" applyFont="1" applyFill="1"/>
    <xf numFmtId="0" fontId="1" fillId="2" borderId="0" xfId="1" applyFont="1" applyFill="1"/>
    <xf numFmtId="0" fontId="3" fillId="2" borderId="0" xfId="1" applyFont="1" applyFill="1" applyAlignment="1">
      <alignment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showGridLines="0" showRowColHeaders="0" zoomScale="125" zoomScaleNormal="125" workbookViewId="0">
      <selection activeCell="L1" sqref="L1"/>
    </sheetView>
  </sheetViews>
  <sheetFormatPr baseColWidth="10" defaultColWidth="8.83203125" defaultRowHeight="14"/>
  <cols>
    <col min="1" max="1" width="3" customWidth="1"/>
    <col min="2" max="3" width="18" customWidth="1"/>
    <col min="4" max="4" width="12" customWidth="1"/>
    <col min="5" max="5" width="22" customWidth="1"/>
    <col min="6" max="6" width="4" customWidth="1"/>
    <col min="7" max="8" width="18" customWidth="1"/>
    <col min="9" max="9" width="12" customWidth="1"/>
    <col min="10" max="10" width="22" customWidth="1"/>
    <col min="11" max="11" width="3" customWidth="1"/>
  </cols>
  <sheetData>
    <row r="1" spans="1:11" ht="27" customHeight="1">
      <c r="A1" s="1"/>
      <c r="B1" s="1"/>
      <c r="C1" s="1"/>
      <c r="D1" s="1"/>
      <c r="E1" s="1"/>
      <c r="F1" s="1"/>
      <c r="G1" s="1"/>
      <c r="H1" s="1"/>
      <c r="I1" s="1"/>
      <c r="J1" s="1"/>
      <c r="K1" s="1"/>
    </row>
    <row r="2" spans="1:11" ht="38" customHeight="1">
      <c r="A2" s="1"/>
      <c r="B2" s="11" t="s">
        <v>0</v>
      </c>
      <c r="C2" s="11"/>
      <c r="D2" s="11"/>
      <c r="E2" s="11"/>
      <c r="F2" s="11"/>
      <c r="G2" s="11"/>
      <c r="H2" s="11"/>
      <c r="I2" s="11"/>
      <c r="J2" s="11"/>
      <c r="K2" s="1"/>
    </row>
    <row r="3" spans="1:11" ht="27" customHeight="1">
      <c r="A3" s="1"/>
      <c r="B3" s="12" t="s">
        <v>1</v>
      </c>
      <c r="C3" s="12"/>
      <c r="D3" s="12"/>
      <c r="E3" s="12"/>
      <c r="F3" s="12"/>
      <c r="G3" s="12"/>
      <c r="H3" s="12"/>
      <c r="I3" s="12"/>
      <c r="J3" s="12"/>
      <c r="K3" s="1"/>
    </row>
    <row r="4" spans="1:11" ht="27" customHeight="1">
      <c r="A4" s="1"/>
      <c r="B4" s="1"/>
      <c r="C4" s="1"/>
      <c r="D4" s="1"/>
      <c r="E4" s="1"/>
      <c r="F4" s="1"/>
      <c r="G4" s="1"/>
      <c r="H4" s="1"/>
      <c r="I4" s="1"/>
      <c r="J4" s="1"/>
      <c r="K4" s="1"/>
    </row>
    <row r="5" spans="1:11" ht="32" customHeight="1">
      <c r="A5" s="1"/>
      <c r="B5" s="13" t="s">
        <v>2</v>
      </c>
      <c r="C5" s="13"/>
      <c r="D5" s="13"/>
      <c r="E5" s="13"/>
      <c r="F5" s="1"/>
      <c r="G5" s="13" t="s">
        <v>3</v>
      </c>
      <c r="H5" s="13"/>
      <c r="I5" s="13"/>
      <c r="J5" s="13"/>
      <c r="K5" s="1"/>
    </row>
    <row r="6" spans="1:11" ht="27" customHeight="1">
      <c r="A6" s="1"/>
      <c r="B6" s="1"/>
      <c r="C6" s="1"/>
      <c r="D6" s="1"/>
      <c r="E6" s="1"/>
      <c r="F6" s="1"/>
      <c r="G6" s="1"/>
      <c r="H6" s="1"/>
      <c r="I6" s="1"/>
      <c r="J6" s="1"/>
      <c r="K6" s="1"/>
    </row>
    <row r="7" spans="1:11" ht="27" customHeight="1">
      <c r="A7" s="1"/>
      <c r="B7" s="14" t="s">
        <v>4</v>
      </c>
      <c r="C7" s="14"/>
      <c r="D7" s="14"/>
      <c r="E7" s="2">
        <v>20889</v>
      </c>
      <c r="F7" s="1"/>
      <c r="G7" s="14" t="s">
        <v>96</v>
      </c>
      <c r="H7" s="14"/>
      <c r="I7" s="14"/>
      <c r="J7" s="2">
        <v>20889</v>
      </c>
      <c r="K7" s="1"/>
    </row>
    <row r="8" spans="1:11" ht="27" customHeight="1">
      <c r="A8" s="1"/>
      <c r="B8" s="1"/>
      <c r="C8" s="1"/>
      <c r="D8" s="1"/>
      <c r="E8" s="1"/>
      <c r="F8" s="1"/>
      <c r="G8" s="1"/>
      <c r="H8" s="1"/>
      <c r="I8" s="1"/>
      <c r="J8" s="1"/>
      <c r="K8" s="1"/>
    </row>
    <row r="9" spans="1:11" ht="27" customHeight="1">
      <c r="A9" s="1"/>
      <c r="B9" s="14" t="s">
        <v>5</v>
      </c>
      <c r="C9" s="14"/>
      <c r="D9" s="14"/>
      <c r="E9" s="4">
        <v>84284</v>
      </c>
      <c r="F9" s="1"/>
      <c r="G9" s="14" t="s">
        <v>6</v>
      </c>
      <c r="H9" s="14"/>
      <c r="I9" s="14"/>
      <c r="J9" s="5" t="s">
        <v>7</v>
      </c>
      <c r="K9" s="1"/>
    </row>
    <row r="10" spans="1:11" ht="27" customHeight="1">
      <c r="A10" s="1"/>
      <c r="B10" s="1"/>
      <c r="C10" s="1"/>
      <c r="D10" s="1"/>
      <c r="E10" s="1"/>
      <c r="F10" s="1"/>
      <c r="G10" s="1"/>
      <c r="H10" s="1"/>
      <c r="I10" s="1"/>
      <c r="J10" s="1"/>
      <c r="K10" s="1"/>
    </row>
    <row r="11" spans="1:11" ht="27" customHeight="1">
      <c r="A11" s="1"/>
      <c r="B11" s="1"/>
      <c r="C11" s="1"/>
      <c r="D11" s="1"/>
      <c r="E11" s="1"/>
      <c r="F11" s="1"/>
      <c r="G11" s="1"/>
      <c r="H11" s="1"/>
      <c r="I11" s="1"/>
      <c r="J11" s="1"/>
      <c r="K11" s="1"/>
    </row>
    <row r="12" spans="1:11" ht="27" customHeight="1">
      <c r="A12" s="1"/>
      <c r="B12" s="15" t="s">
        <v>8</v>
      </c>
      <c r="C12" s="15"/>
      <c r="D12" s="15"/>
      <c r="E12" s="15"/>
      <c r="F12" s="15"/>
      <c r="G12" s="15"/>
      <c r="H12" s="15"/>
      <c r="I12" s="15"/>
      <c r="J12" s="15"/>
      <c r="K12" s="1"/>
    </row>
    <row r="13" spans="1:11" ht="27" customHeight="1">
      <c r="A13" s="1"/>
      <c r="B13" s="15"/>
      <c r="C13" s="15"/>
      <c r="D13" s="15"/>
      <c r="E13" s="15"/>
      <c r="F13" s="15"/>
      <c r="G13" s="15"/>
      <c r="H13" s="15"/>
      <c r="I13" s="15"/>
      <c r="J13" s="15"/>
      <c r="K13" s="1"/>
    </row>
    <row r="14" spans="1:11" ht="27" customHeight="1">
      <c r="A14" s="1"/>
      <c r="B14" s="1"/>
      <c r="C14" s="1"/>
      <c r="D14" s="1"/>
      <c r="E14" s="1"/>
      <c r="F14" s="1"/>
      <c r="G14" s="1"/>
      <c r="H14" s="1"/>
      <c r="I14" s="1"/>
      <c r="J14" s="1"/>
      <c r="K14" s="1"/>
    </row>
    <row r="15" spans="1:11" ht="27" customHeight="1">
      <c r="A15" s="1"/>
      <c r="B15" s="15" t="s">
        <v>9</v>
      </c>
      <c r="C15" s="15"/>
      <c r="D15" s="15"/>
      <c r="E15" s="15"/>
      <c r="F15" s="15"/>
      <c r="G15" s="15"/>
      <c r="H15" s="15"/>
      <c r="I15" s="15"/>
      <c r="J15" s="15"/>
      <c r="K15" s="1"/>
    </row>
    <row r="16" spans="1:11" ht="27" customHeight="1">
      <c r="A16" s="1"/>
      <c r="B16" s="15"/>
      <c r="C16" s="15"/>
      <c r="D16" s="15"/>
      <c r="E16" s="15"/>
      <c r="F16" s="15"/>
      <c r="G16" s="15"/>
      <c r="H16" s="15"/>
      <c r="I16" s="15"/>
      <c r="J16" s="15"/>
      <c r="K16" s="1"/>
    </row>
    <row r="17" spans="1:11" ht="27" customHeight="1">
      <c r="A17" s="1"/>
      <c r="B17" s="1"/>
      <c r="C17" s="1"/>
      <c r="D17" s="1"/>
      <c r="E17" s="1"/>
      <c r="F17" s="1"/>
      <c r="G17" s="1"/>
      <c r="H17" s="1"/>
      <c r="I17" s="1"/>
      <c r="J17" s="1"/>
      <c r="K17" s="1"/>
    </row>
    <row r="18" spans="1:11" ht="27" customHeight="1">
      <c r="A18" s="1"/>
      <c r="B18" s="15"/>
      <c r="C18" s="15"/>
      <c r="D18" s="15"/>
      <c r="E18" s="15"/>
      <c r="F18" s="15"/>
      <c r="G18" s="15"/>
      <c r="H18" s="15"/>
      <c r="I18" s="15"/>
      <c r="J18" s="15"/>
      <c r="K18" s="1"/>
    </row>
    <row r="19" spans="1:11" ht="27" customHeight="1">
      <c r="A19" s="1"/>
      <c r="B19" s="15"/>
      <c r="C19" s="15"/>
      <c r="D19" s="15"/>
      <c r="E19" s="15"/>
      <c r="F19" s="15"/>
      <c r="G19" s="15"/>
      <c r="H19" s="15"/>
      <c r="I19" s="15"/>
      <c r="J19" s="15"/>
      <c r="K19" s="1"/>
    </row>
    <row r="20" spans="1:11" ht="27" customHeight="1">
      <c r="A20" s="1"/>
      <c r="B20" s="1"/>
      <c r="C20" s="1"/>
      <c r="D20" s="1"/>
      <c r="E20" s="1"/>
      <c r="F20" s="1"/>
      <c r="G20" s="1"/>
      <c r="H20" s="1"/>
      <c r="I20" s="1"/>
      <c r="J20" s="1"/>
      <c r="K20" s="1"/>
    </row>
    <row r="21" spans="1:11" ht="27" customHeight="1">
      <c r="A21" s="1"/>
      <c r="B21" s="1"/>
      <c r="C21" s="1"/>
      <c r="D21" s="1"/>
      <c r="E21" s="1"/>
      <c r="F21" s="1"/>
      <c r="G21" s="1"/>
      <c r="H21" s="1"/>
      <c r="I21" s="1"/>
      <c r="J21" s="1"/>
      <c r="K21" s="1"/>
    </row>
    <row r="22" spans="1:11" ht="27" customHeight="1">
      <c r="A22" s="1"/>
      <c r="B22" s="1"/>
      <c r="C22" s="1"/>
      <c r="D22" s="1"/>
      <c r="E22" s="1"/>
      <c r="F22" s="1"/>
      <c r="G22" s="1"/>
      <c r="H22" s="1"/>
      <c r="I22" s="1"/>
      <c r="J22" s="1"/>
      <c r="K22" s="1"/>
    </row>
  </sheetData>
  <mergeCells count="11">
    <mergeCell ref="B9:D9"/>
    <mergeCell ref="G9:I9"/>
    <mergeCell ref="B12:J13"/>
    <mergeCell ref="B15:J16"/>
    <mergeCell ref="B18:J19"/>
    <mergeCell ref="B2:J2"/>
    <mergeCell ref="B3:J3"/>
    <mergeCell ref="B5:E5"/>
    <mergeCell ref="G5:J5"/>
    <mergeCell ref="B7:D7"/>
    <mergeCell ref="G7:I7"/>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
  <sheetViews>
    <sheetView showGridLines="0" showRowColHeaders="0" zoomScale="125" zoomScaleNormal="125" workbookViewId="0">
      <selection activeCell="L1" sqref="L1"/>
    </sheetView>
  </sheetViews>
  <sheetFormatPr baseColWidth="10" defaultColWidth="8.83203125" defaultRowHeight="14"/>
  <cols>
    <col min="1" max="1" width="3" customWidth="1"/>
    <col min="2" max="3" width="18" customWidth="1"/>
    <col min="4" max="4" width="12" customWidth="1"/>
    <col min="5" max="5" width="22" customWidth="1"/>
    <col min="6" max="6" width="4" customWidth="1"/>
    <col min="7" max="8" width="18" customWidth="1"/>
    <col min="9" max="9" width="12" customWidth="1"/>
    <col min="10" max="10" width="22" customWidth="1"/>
    <col min="11" max="11" width="3" customWidth="1"/>
  </cols>
  <sheetData>
    <row r="1" spans="1:11" ht="27" customHeight="1">
      <c r="A1" s="1"/>
      <c r="B1" s="1"/>
      <c r="C1" s="1"/>
      <c r="D1" s="1"/>
      <c r="E1" s="1"/>
      <c r="F1" s="1"/>
      <c r="G1" s="1"/>
      <c r="H1" s="1"/>
      <c r="I1" s="1"/>
      <c r="J1" s="1"/>
      <c r="K1" s="1"/>
    </row>
    <row r="2" spans="1:11" ht="38" customHeight="1">
      <c r="A2" s="1"/>
      <c r="B2" s="11" t="s">
        <v>10</v>
      </c>
      <c r="C2" s="11"/>
      <c r="D2" s="11"/>
      <c r="E2" s="11"/>
      <c r="F2" s="11"/>
      <c r="G2" s="11"/>
      <c r="H2" s="11"/>
      <c r="I2" s="11"/>
      <c r="J2" s="11"/>
      <c r="K2" s="1"/>
    </row>
    <row r="3" spans="1:11" ht="27" customHeight="1">
      <c r="A3" s="1"/>
      <c r="B3" s="12" t="s">
        <v>11</v>
      </c>
      <c r="C3" s="12"/>
      <c r="D3" s="12"/>
      <c r="E3" s="12"/>
      <c r="F3" s="12"/>
      <c r="G3" s="12"/>
      <c r="H3" s="12"/>
      <c r="I3" s="12"/>
      <c r="J3" s="12"/>
      <c r="K3" s="1"/>
    </row>
    <row r="4" spans="1:11" ht="27" customHeight="1">
      <c r="A4" s="1"/>
      <c r="B4" s="1"/>
      <c r="C4" s="1"/>
      <c r="D4" s="1"/>
      <c r="E4" s="1"/>
      <c r="F4" s="1"/>
      <c r="G4" s="1"/>
      <c r="H4" s="1"/>
      <c r="I4" s="1"/>
      <c r="J4" s="1"/>
      <c r="K4" s="1"/>
    </row>
    <row r="5" spans="1:11" ht="32" customHeight="1">
      <c r="A5" s="1"/>
      <c r="B5" s="13" t="s">
        <v>2</v>
      </c>
      <c r="C5" s="13"/>
      <c r="D5" s="13"/>
      <c r="E5" s="13"/>
      <c r="F5" s="1"/>
      <c r="G5" s="13" t="s">
        <v>3</v>
      </c>
      <c r="H5" s="13"/>
      <c r="I5" s="13"/>
      <c r="J5" s="13"/>
      <c r="K5" s="1"/>
    </row>
    <row r="6" spans="1:11" ht="27" customHeight="1">
      <c r="A6" s="1"/>
      <c r="B6" s="1"/>
      <c r="C6" s="1"/>
      <c r="D6" s="1"/>
      <c r="E6" s="1"/>
      <c r="F6" s="1"/>
      <c r="G6" s="1"/>
      <c r="H6" s="1"/>
      <c r="I6" s="1"/>
      <c r="J6" s="1"/>
      <c r="K6" s="1"/>
    </row>
    <row r="7" spans="1:11" ht="27" customHeight="1">
      <c r="A7" s="1"/>
      <c r="B7" s="14" t="s">
        <v>12</v>
      </c>
      <c r="C7" s="14"/>
      <c r="D7" s="14"/>
      <c r="E7" s="6">
        <v>46112</v>
      </c>
      <c r="F7" s="1"/>
      <c r="G7" s="14" t="s">
        <v>12</v>
      </c>
      <c r="H7" s="14"/>
      <c r="I7" s="14"/>
      <c r="J7" s="6">
        <v>46112</v>
      </c>
      <c r="K7" s="1"/>
    </row>
    <row r="8" spans="1:11" ht="27" customHeight="1">
      <c r="A8" s="1"/>
      <c r="B8" s="1"/>
      <c r="C8" s="1"/>
      <c r="D8" s="1"/>
      <c r="E8" s="1"/>
      <c r="F8" s="1"/>
      <c r="G8" s="1"/>
      <c r="H8" s="1"/>
      <c r="I8" s="1"/>
      <c r="J8" s="1"/>
      <c r="K8" s="1"/>
    </row>
    <row r="9" spans="1:11" ht="27" customHeight="1">
      <c r="A9" s="1"/>
      <c r="B9" s="14" t="s">
        <v>13</v>
      </c>
      <c r="C9" s="14"/>
      <c r="D9" s="14"/>
      <c r="E9" s="6">
        <v>46136</v>
      </c>
      <c r="F9" s="1"/>
      <c r="G9" s="14" t="s">
        <v>14</v>
      </c>
      <c r="H9" s="14"/>
      <c r="I9" s="14"/>
      <c r="J9" s="6">
        <v>46136</v>
      </c>
      <c r="K9" s="1"/>
    </row>
    <row r="10" spans="1:11" ht="27" customHeight="1">
      <c r="A10" s="1"/>
      <c r="B10" s="1"/>
      <c r="C10" s="1"/>
      <c r="D10" s="1"/>
      <c r="E10" s="1"/>
      <c r="F10" s="1"/>
      <c r="G10" s="1"/>
      <c r="H10" s="1"/>
      <c r="I10" s="1"/>
      <c r="J10" s="1"/>
      <c r="K10" s="1"/>
    </row>
    <row r="11" spans="1:11" ht="27" customHeight="1">
      <c r="A11" s="1"/>
      <c r="B11" s="14" t="s">
        <v>15</v>
      </c>
      <c r="C11" s="14"/>
      <c r="D11" s="14"/>
      <c r="E11" s="6">
        <v>46112</v>
      </c>
      <c r="F11" s="1"/>
      <c r="G11" s="14" t="s">
        <v>16</v>
      </c>
      <c r="H11" s="14"/>
      <c r="I11" s="14"/>
      <c r="J11" s="3" t="str">
        <f>IF(J9&lt;=E11,"Included","Excluded")</f>
        <v>Excluded</v>
      </c>
      <c r="K11" s="1"/>
    </row>
    <row r="12" spans="1:11" ht="27" customHeight="1">
      <c r="A12" s="1"/>
      <c r="B12" s="1"/>
      <c r="C12" s="1"/>
      <c r="D12" s="1"/>
      <c r="E12" s="1"/>
      <c r="F12" s="1"/>
      <c r="G12" s="1"/>
      <c r="H12" s="1"/>
      <c r="I12" s="1"/>
      <c r="J12" s="1"/>
      <c r="K12" s="1"/>
    </row>
    <row r="13" spans="1:11" ht="27" customHeight="1">
      <c r="A13" s="1"/>
      <c r="B13" s="14" t="s">
        <v>17</v>
      </c>
      <c r="C13" s="14"/>
      <c r="D13" s="14"/>
      <c r="E13" s="6">
        <v>46157</v>
      </c>
      <c r="F13" s="1"/>
      <c r="G13" s="14" t="s">
        <v>18</v>
      </c>
      <c r="H13" s="14"/>
      <c r="I13" s="14"/>
      <c r="J13" s="3" t="str">
        <f>IF(J9&lt;=E13,"Included","Excluded")</f>
        <v>Included</v>
      </c>
      <c r="K13" s="1"/>
    </row>
    <row r="14" spans="1:11" ht="27" customHeight="1">
      <c r="A14" s="1"/>
      <c r="B14" s="1"/>
      <c r="C14" s="1"/>
      <c r="D14" s="1"/>
      <c r="E14" s="1"/>
      <c r="F14" s="1"/>
      <c r="G14" s="1"/>
      <c r="H14" s="1"/>
      <c r="I14" s="1"/>
      <c r="J14" s="1"/>
      <c r="K14" s="1"/>
    </row>
    <row r="15" spans="1:11" ht="27" customHeight="1">
      <c r="A15" s="1"/>
      <c r="B15" s="1"/>
      <c r="C15" s="1"/>
      <c r="D15" s="1"/>
      <c r="E15" s="1"/>
      <c r="F15" s="1"/>
      <c r="G15" s="1"/>
      <c r="H15" s="1"/>
      <c r="I15" s="1"/>
      <c r="J15" s="1"/>
      <c r="K15" s="1"/>
    </row>
    <row r="16" spans="1:11" ht="27" customHeight="1">
      <c r="A16" s="1"/>
      <c r="B16" s="15" t="s">
        <v>19</v>
      </c>
      <c r="C16" s="15"/>
      <c r="D16" s="15"/>
      <c r="E16" s="15"/>
      <c r="F16" s="15"/>
      <c r="G16" s="15"/>
      <c r="H16" s="15"/>
      <c r="I16" s="15"/>
      <c r="J16" s="15"/>
      <c r="K16" s="1"/>
    </row>
    <row r="17" spans="1:11" ht="27" customHeight="1">
      <c r="A17" s="1"/>
      <c r="B17" s="15"/>
      <c r="C17" s="15"/>
      <c r="D17" s="15"/>
      <c r="E17" s="15"/>
      <c r="F17" s="15"/>
      <c r="G17" s="15"/>
      <c r="H17" s="15"/>
      <c r="I17" s="15"/>
      <c r="J17" s="15"/>
      <c r="K17" s="1"/>
    </row>
    <row r="18" spans="1:11" ht="27" customHeight="1">
      <c r="A18" s="1"/>
      <c r="B18" s="1"/>
      <c r="C18" s="1"/>
      <c r="D18" s="1"/>
      <c r="E18" s="1"/>
      <c r="F18" s="1"/>
      <c r="G18" s="1"/>
      <c r="H18" s="1"/>
      <c r="I18" s="1"/>
      <c r="J18" s="1"/>
      <c r="K18" s="1"/>
    </row>
    <row r="19" spans="1:11" ht="27" customHeight="1">
      <c r="A19" s="1"/>
      <c r="B19" s="15" t="s">
        <v>20</v>
      </c>
      <c r="C19" s="15"/>
      <c r="D19" s="15"/>
      <c r="E19" s="15"/>
      <c r="F19" s="15"/>
      <c r="G19" s="15"/>
      <c r="H19" s="15"/>
      <c r="I19" s="15"/>
      <c r="J19" s="15"/>
      <c r="K19" s="1"/>
    </row>
    <row r="20" spans="1:11" ht="27" customHeight="1">
      <c r="A20" s="1"/>
      <c r="B20" s="15"/>
      <c r="C20" s="15"/>
      <c r="D20" s="15"/>
      <c r="E20" s="15"/>
      <c r="F20" s="15"/>
      <c r="G20" s="15"/>
      <c r="H20" s="15"/>
      <c r="I20" s="15"/>
      <c r="J20" s="15"/>
      <c r="K20" s="1"/>
    </row>
    <row r="21" spans="1:11" ht="27" customHeight="1">
      <c r="A21" s="1"/>
      <c r="B21" s="1"/>
      <c r="C21" s="1"/>
      <c r="D21" s="1"/>
      <c r="E21" s="1"/>
      <c r="F21" s="1"/>
      <c r="G21" s="1"/>
      <c r="H21" s="1"/>
      <c r="I21" s="1"/>
      <c r="J21" s="1"/>
      <c r="K21" s="1"/>
    </row>
    <row r="22" spans="1:11" ht="27" customHeight="1">
      <c r="A22" s="1"/>
      <c r="B22" s="1"/>
      <c r="C22" s="1"/>
      <c r="D22" s="1"/>
      <c r="E22" s="1"/>
      <c r="F22" s="1"/>
      <c r="G22" s="1"/>
      <c r="H22" s="1"/>
      <c r="I22" s="1"/>
      <c r="J22" s="1"/>
      <c r="K22" s="1"/>
    </row>
  </sheetData>
  <mergeCells count="14">
    <mergeCell ref="B16:J17"/>
    <mergeCell ref="B19:J20"/>
    <mergeCell ref="B9:D9"/>
    <mergeCell ref="G9:I9"/>
    <mergeCell ref="B11:D11"/>
    <mergeCell ref="G11:I11"/>
    <mergeCell ref="B13:D13"/>
    <mergeCell ref="G13:I13"/>
    <mergeCell ref="B2:J2"/>
    <mergeCell ref="B3:J3"/>
    <mergeCell ref="B5:E5"/>
    <mergeCell ref="G5:J5"/>
    <mergeCell ref="B7:D7"/>
    <mergeCell ref="G7:I7"/>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showGridLines="0" showRowColHeaders="0" zoomScale="125" zoomScaleNormal="125" workbookViewId="0">
      <selection activeCell="L1" sqref="L1"/>
    </sheetView>
  </sheetViews>
  <sheetFormatPr baseColWidth="10" defaultColWidth="8.83203125" defaultRowHeight="14"/>
  <cols>
    <col min="1" max="1" width="3" customWidth="1"/>
    <col min="2" max="3" width="18" customWidth="1"/>
    <col min="4" max="4" width="12" customWidth="1"/>
    <col min="5" max="5" width="22" customWidth="1"/>
    <col min="6" max="6" width="4" customWidth="1"/>
    <col min="7" max="8" width="18" customWidth="1"/>
    <col min="9" max="9" width="12" customWidth="1"/>
    <col min="10" max="10" width="22" customWidth="1"/>
    <col min="11" max="11" width="3" customWidth="1"/>
  </cols>
  <sheetData>
    <row r="1" spans="1:11" ht="27" customHeight="1">
      <c r="A1" s="1"/>
      <c r="B1" s="1"/>
      <c r="C1" s="1"/>
      <c r="D1" s="1"/>
      <c r="E1" s="1"/>
      <c r="F1" s="1"/>
      <c r="G1" s="1"/>
      <c r="H1" s="1"/>
      <c r="I1" s="1"/>
      <c r="J1" s="1"/>
      <c r="K1" s="1"/>
    </row>
    <row r="2" spans="1:11" ht="38" customHeight="1">
      <c r="A2" s="1"/>
      <c r="B2" s="11" t="s">
        <v>21</v>
      </c>
      <c r="C2" s="11"/>
      <c r="D2" s="11"/>
      <c r="E2" s="11"/>
      <c r="F2" s="11"/>
      <c r="G2" s="11"/>
      <c r="H2" s="11"/>
      <c r="I2" s="11"/>
      <c r="J2" s="11"/>
      <c r="K2" s="1"/>
    </row>
    <row r="3" spans="1:11" ht="27" customHeight="1">
      <c r="A3" s="1"/>
      <c r="B3" s="12" t="s">
        <v>1</v>
      </c>
      <c r="C3" s="12"/>
      <c r="D3" s="12"/>
      <c r="E3" s="12"/>
      <c r="F3" s="12"/>
      <c r="G3" s="12"/>
      <c r="H3" s="12"/>
      <c r="I3" s="12"/>
      <c r="J3" s="12"/>
      <c r="K3" s="1"/>
    </row>
    <row r="4" spans="1:11" ht="27" customHeight="1">
      <c r="A4" s="1"/>
      <c r="B4" s="1"/>
      <c r="C4" s="1"/>
      <c r="D4" s="1"/>
      <c r="E4" s="1"/>
      <c r="F4" s="1"/>
      <c r="G4" s="1"/>
      <c r="H4" s="1"/>
      <c r="I4" s="1"/>
      <c r="J4" s="1"/>
      <c r="K4" s="1"/>
    </row>
    <row r="5" spans="1:11" ht="32" customHeight="1">
      <c r="A5" s="1"/>
      <c r="B5" s="13" t="s">
        <v>2</v>
      </c>
      <c r="C5" s="13"/>
      <c r="D5" s="13"/>
      <c r="E5" s="13"/>
      <c r="F5" s="1"/>
      <c r="G5" s="13" t="s">
        <v>3</v>
      </c>
      <c r="H5" s="13"/>
      <c r="I5" s="13"/>
      <c r="J5" s="13"/>
      <c r="K5" s="1"/>
    </row>
    <row r="6" spans="1:11" ht="27" customHeight="1">
      <c r="A6" s="1"/>
      <c r="B6" s="1"/>
      <c r="C6" s="1"/>
      <c r="D6" s="1"/>
      <c r="E6" s="1"/>
      <c r="F6" s="1"/>
      <c r="G6" s="1"/>
      <c r="H6" s="1"/>
      <c r="I6" s="1"/>
      <c r="J6" s="1"/>
      <c r="K6" s="1"/>
    </row>
    <row r="7" spans="1:11" ht="27" customHeight="1">
      <c r="A7" s="1"/>
      <c r="B7" s="14" t="s">
        <v>22</v>
      </c>
      <c r="C7" s="14"/>
      <c r="D7" s="14"/>
      <c r="E7" s="2">
        <v>20889</v>
      </c>
      <c r="F7" s="1"/>
      <c r="G7" s="14" t="s">
        <v>23</v>
      </c>
      <c r="H7" s="14"/>
      <c r="I7" s="14"/>
      <c r="J7" s="2">
        <v>20889</v>
      </c>
      <c r="K7" s="1"/>
    </row>
    <row r="8" spans="1:11" ht="27" customHeight="1">
      <c r="A8" s="1"/>
      <c r="B8" s="14" t="s">
        <v>24</v>
      </c>
      <c r="C8" s="14"/>
      <c r="D8" s="14"/>
      <c r="E8" s="2">
        <v>10258</v>
      </c>
      <c r="F8" s="1"/>
      <c r="G8" s="14" t="s">
        <v>25</v>
      </c>
      <c r="H8" s="14"/>
      <c r="I8" s="14"/>
      <c r="J8" s="2">
        <v>10258</v>
      </c>
      <c r="K8" s="1"/>
    </row>
    <row r="9" spans="1:11" ht="27" customHeight="1">
      <c r="A9" s="1"/>
      <c r="B9" s="14" t="s">
        <v>26</v>
      </c>
      <c r="C9" s="14"/>
      <c r="D9" s="14"/>
      <c r="E9" s="2">
        <v>5903</v>
      </c>
      <c r="F9" s="1"/>
      <c r="G9" s="14" t="s">
        <v>27</v>
      </c>
      <c r="H9" s="14"/>
      <c r="I9" s="14"/>
      <c r="J9" s="2">
        <v>5903</v>
      </c>
      <c r="K9" s="1"/>
    </row>
    <row r="10" spans="1:11" ht="27" customHeight="1">
      <c r="A10" s="1"/>
      <c r="B10" s="14" t="s">
        <v>28</v>
      </c>
      <c r="C10" s="14"/>
      <c r="D10" s="14"/>
      <c r="E10" s="2">
        <v>4355</v>
      </c>
      <c r="F10" s="1"/>
      <c r="G10" s="14" t="s">
        <v>29</v>
      </c>
      <c r="H10" s="14"/>
      <c r="I10" s="14"/>
      <c r="J10" s="2">
        <f>J8-J9</f>
        <v>4355</v>
      </c>
      <c r="K10" s="1"/>
    </row>
    <row r="11" spans="1:11" ht="27" customHeight="1">
      <c r="A11" s="1"/>
      <c r="B11" s="1"/>
      <c r="C11" s="1"/>
      <c r="D11" s="1"/>
      <c r="E11" s="1"/>
      <c r="F11" s="1"/>
      <c r="G11" s="1"/>
      <c r="H11" s="1"/>
      <c r="I11" s="1"/>
      <c r="J11" s="1"/>
      <c r="K11" s="1"/>
    </row>
    <row r="12" spans="1:11" ht="27" customHeight="1">
      <c r="A12" s="1"/>
      <c r="B12" s="14" t="s">
        <v>30</v>
      </c>
      <c r="C12" s="14"/>
      <c r="D12" s="14"/>
      <c r="E12" s="3"/>
      <c r="F12" s="1"/>
      <c r="G12" s="14" t="s">
        <v>31</v>
      </c>
      <c r="H12" s="14"/>
      <c r="I12" s="14"/>
      <c r="J12" s="7">
        <f>ROUND(J8/J7,4)</f>
        <v>0.49109999999999998</v>
      </c>
      <c r="K12" s="1"/>
    </row>
    <row r="13" spans="1:11" ht="27" customHeight="1">
      <c r="A13" s="1"/>
      <c r="B13" s="14" t="s">
        <v>32</v>
      </c>
      <c r="C13" s="14"/>
      <c r="D13" s="14"/>
      <c r="E13" s="3"/>
      <c r="F13" s="1"/>
      <c r="G13" s="14" t="s">
        <v>33</v>
      </c>
      <c r="H13" s="14"/>
      <c r="I13" s="14"/>
      <c r="J13" s="7">
        <f>ROUND(J9/J7,4)</f>
        <v>0.28260000000000002</v>
      </c>
      <c r="K13" s="1"/>
    </row>
    <row r="14" spans="1:11" ht="27" customHeight="1">
      <c r="A14" s="1"/>
      <c r="B14" s="1"/>
      <c r="C14" s="1"/>
      <c r="D14" s="1"/>
      <c r="E14" s="1"/>
      <c r="F14" s="1"/>
      <c r="G14" s="1"/>
      <c r="H14" s="1"/>
      <c r="I14" s="1"/>
      <c r="J14" s="1"/>
      <c r="K14" s="1"/>
    </row>
    <row r="15" spans="1:11" ht="27" customHeight="1">
      <c r="A15" s="1"/>
      <c r="B15" s="1"/>
      <c r="C15" s="1"/>
      <c r="D15" s="1"/>
      <c r="E15" s="1"/>
      <c r="F15" s="1"/>
      <c r="G15" s="1"/>
      <c r="H15" s="1"/>
      <c r="I15" s="1"/>
      <c r="J15" s="1"/>
      <c r="K15" s="1"/>
    </row>
    <row r="16" spans="1:11" ht="27" customHeight="1">
      <c r="A16" s="1"/>
      <c r="B16" s="15" t="s">
        <v>34</v>
      </c>
      <c r="C16" s="15"/>
      <c r="D16" s="15"/>
      <c r="E16" s="15"/>
      <c r="F16" s="15"/>
      <c r="G16" s="15"/>
      <c r="H16" s="15"/>
      <c r="I16" s="15"/>
      <c r="J16" s="15"/>
      <c r="K16" s="1"/>
    </row>
    <row r="17" spans="1:11" ht="27" customHeight="1">
      <c r="A17" s="1"/>
      <c r="B17" s="15"/>
      <c r="C17" s="15"/>
      <c r="D17" s="15"/>
      <c r="E17" s="15"/>
      <c r="F17" s="15"/>
      <c r="G17" s="15"/>
      <c r="H17" s="15"/>
      <c r="I17" s="15"/>
      <c r="J17" s="15"/>
      <c r="K17" s="1"/>
    </row>
    <row r="18" spans="1:11" ht="27" customHeight="1">
      <c r="A18" s="1"/>
      <c r="B18" s="1"/>
      <c r="C18" s="1"/>
      <c r="D18" s="1"/>
      <c r="E18" s="1"/>
      <c r="F18" s="1"/>
      <c r="G18" s="1"/>
      <c r="H18" s="1"/>
      <c r="I18" s="1"/>
      <c r="J18" s="1"/>
      <c r="K18" s="1"/>
    </row>
    <row r="19" spans="1:11" ht="27" customHeight="1">
      <c r="A19" s="1"/>
      <c r="B19" s="15" t="s">
        <v>35</v>
      </c>
      <c r="C19" s="15"/>
      <c r="D19" s="15"/>
      <c r="E19" s="15"/>
      <c r="F19" s="15"/>
      <c r="G19" s="15"/>
      <c r="H19" s="15"/>
      <c r="I19" s="15"/>
      <c r="J19" s="15"/>
      <c r="K19" s="1"/>
    </row>
    <row r="20" spans="1:11" ht="27" customHeight="1">
      <c r="A20" s="1"/>
      <c r="B20" s="15"/>
      <c r="C20" s="15"/>
      <c r="D20" s="15"/>
      <c r="E20" s="15"/>
      <c r="F20" s="15"/>
      <c r="G20" s="15"/>
      <c r="H20" s="15"/>
      <c r="I20" s="15"/>
      <c r="J20" s="15"/>
      <c r="K20" s="1"/>
    </row>
    <row r="21" spans="1:11" ht="27" customHeight="1">
      <c r="A21" s="1"/>
      <c r="B21" s="1"/>
      <c r="C21" s="1"/>
      <c r="D21" s="1"/>
      <c r="E21" s="1"/>
      <c r="F21" s="1"/>
      <c r="G21" s="1"/>
      <c r="H21" s="1"/>
      <c r="I21" s="1"/>
      <c r="J21" s="1"/>
      <c r="K21" s="1"/>
    </row>
    <row r="22" spans="1:11" ht="27" customHeight="1">
      <c r="A22" s="1"/>
      <c r="B22" s="1"/>
      <c r="C22" s="1"/>
      <c r="D22" s="1"/>
      <c r="E22" s="1"/>
      <c r="F22" s="1"/>
      <c r="G22" s="1"/>
      <c r="H22" s="1"/>
      <c r="I22" s="1"/>
      <c r="J22" s="1"/>
      <c r="K22" s="1"/>
    </row>
  </sheetData>
  <mergeCells count="18">
    <mergeCell ref="B19:J20"/>
    <mergeCell ref="B12:D12"/>
    <mergeCell ref="G12:I12"/>
    <mergeCell ref="B13:D13"/>
    <mergeCell ref="G13:I13"/>
    <mergeCell ref="B16:J17"/>
    <mergeCell ref="B8:D8"/>
    <mergeCell ref="G8:I8"/>
    <mergeCell ref="B9:D9"/>
    <mergeCell ref="G9:I9"/>
    <mergeCell ref="B10:D10"/>
    <mergeCell ref="G10:I10"/>
    <mergeCell ref="B2:J2"/>
    <mergeCell ref="B3:J3"/>
    <mergeCell ref="B5:E5"/>
    <mergeCell ref="G5:J5"/>
    <mergeCell ref="B7:D7"/>
    <mergeCell ref="G7:I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
  <sheetViews>
    <sheetView showGridLines="0" showRowColHeaders="0" tabSelected="1" zoomScale="125" zoomScaleNormal="125" workbookViewId="0">
      <selection activeCell="L1" sqref="L1"/>
    </sheetView>
  </sheetViews>
  <sheetFormatPr baseColWidth="10" defaultColWidth="8.83203125" defaultRowHeight="14"/>
  <cols>
    <col min="1" max="1" width="3" customWidth="1"/>
    <col min="2" max="3" width="18" customWidth="1"/>
    <col min="4" max="4" width="12" customWidth="1"/>
    <col min="5" max="5" width="22" customWidth="1"/>
    <col min="6" max="6" width="4" customWidth="1"/>
    <col min="7" max="8" width="18" customWidth="1"/>
    <col min="9" max="9" width="12" customWidth="1"/>
    <col min="10" max="10" width="22" customWidth="1"/>
    <col min="11" max="11" width="3" customWidth="1"/>
  </cols>
  <sheetData>
    <row r="1" spans="1:11" ht="27" customHeight="1">
      <c r="A1" s="1"/>
      <c r="B1" s="1"/>
      <c r="C1" s="1"/>
      <c r="D1" s="1"/>
      <c r="E1" s="1"/>
      <c r="F1" s="1"/>
      <c r="G1" s="1"/>
      <c r="H1" s="1"/>
      <c r="I1" s="1"/>
      <c r="J1" s="1"/>
      <c r="K1" s="1"/>
    </row>
    <row r="2" spans="1:11" ht="38" customHeight="1">
      <c r="A2" s="1"/>
      <c r="B2" s="11" t="s">
        <v>36</v>
      </c>
      <c r="C2" s="11"/>
      <c r="D2" s="11"/>
      <c r="E2" s="11"/>
      <c r="F2" s="11"/>
      <c r="G2" s="11"/>
      <c r="H2" s="11"/>
      <c r="I2" s="11"/>
      <c r="J2" s="11"/>
      <c r="K2" s="1"/>
    </row>
    <row r="3" spans="1:11" ht="27" customHeight="1">
      <c r="A3" s="1"/>
      <c r="B3" s="12" t="s">
        <v>37</v>
      </c>
      <c r="C3" s="12"/>
      <c r="D3" s="12"/>
      <c r="E3" s="12"/>
      <c r="F3" s="12"/>
      <c r="G3" s="12"/>
      <c r="H3" s="12"/>
      <c r="I3" s="12"/>
      <c r="J3" s="12"/>
      <c r="K3" s="1"/>
    </row>
    <row r="4" spans="1:11" ht="27" customHeight="1">
      <c r="A4" s="1"/>
      <c r="B4" s="1"/>
      <c r="C4" s="1"/>
      <c r="D4" s="1"/>
      <c r="E4" s="1"/>
      <c r="F4" s="1"/>
      <c r="G4" s="1"/>
      <c r="H4" s="1"/>
      <c r="I4" s="1"/>
      <c r="J4" s="1"/>
      <c r="K4" s="1"/>
    </row>
    <row r="5" spans="1:11" ht="32" customHeight="1">
      <c r="A5" s="1"/>
      <c r="B5" s="13" t="s">
        <v>38</v>
      </c>
      <c r="C5" s="13"/>
      <c r="D5" s="13"/>
      <c r="E5" s="13"/>
      <c r="F5" s="1"/>
      <c r="G5" s="13" t="s">
        <v>39</v>
      </c>
      <c r="H5" s="13"/>
      <c r="I5" s="13"/>
      <c r="J5" s="13"/>
      <c r="K5" s="1"/>
    </row>
    <row r="6" spans="1:11" ht="27" customHeight="1">
      <c r="A6" s="1"/>
      <c r="B6" s="1"/>
      <c r="C6" s="1"/>
      <c r="D6" s="1"/>
      <c r="E6" s="1"/>
      <c r="F6" s="1"/>
      <c r="G6" s="1"/>
      <c r="H6" s="1"/>
      <c r="I6" s="1"/>
      <c r="J6" s="1"/>
      <c r="K6" s="1"/>
    </row>
    <row r="7" spans="1:11" ht="27" customHeight="1">
      <c r="A7" s="1"/>
      <c r="B7" s="14" t="s">
        <v>40</v>
      </c>
      <c r="C7" s="14"/>
      <c r="D7" s="14"/>
      <c r="E7" s="2">
        <v>20889</v>
      </c>
      <c r="F7" s="1"/>
      <c r="G7" s="14" t="s">
        <v>40</v>
      </c>
      <c r="H7" s="14"/>
      <c r="I7" s="14"/>
      <c r="J7" s="2">
        <v>20889</v>
      </c>
      <c r="K7" s="1"/>
    </row>
    <row r="8" spans="1:11" ht="27" customHeight="1">
      <c r="A8" s="1"/>
      <c r="B8" s="1"/>
      <c r="C8" s="1"/>
      <c r="D8" s="1"/>
      <c r="E8" s="1"/>
      <c r="F8" s="1"/>
      <c r="G8" s="1"/>
      <c r="H8" s="1"/>
      <c r="I8" s="1"/>
      <c r="J8" s="1"/>
      <c r="K8" s="1"/>
    </row>
    <row r="9" spans="1:11" ht="27" customHeight="1">
      <c r="A9" s="1"/>
      <c r="B9" s="14" t="s">
        <v>41</v>
      </c>
      <c r="C9" s="14"/>
      <c r="D9" s="14"/>
      <c r="E9" s="9">
        <v>-0.02</v>
      </c>
      <c r="F9" s="1"/>
      <c r="G9" s="14" t="s">
        <v>42</v>
      </c>
      <c r="H9" s="14"/>
      <c r="I9" s="14"/>
      <c r="J9" s="8">
        <v>20471.22</v>
      </c>
      <c r="K9" s="1"/>
    </row>
    <row r="10" spans="1:11" ht="27" customHeight="1">
      <c r="A10" s="1"/>
      <c r="B10" s="14" t="s">
        <v>43</v>
      </c>
      <c r="C10" s="14"/>
      <c r="D10" s="14"/>
      <c r="E10" s="9">
        <v>1.4999999999999999E-2</v>
      </c>
      <c r="F10" s="1"/>
      <c r="G10" s="14" t="s">
        <v>44</v>
      </c>
      <c r="H10" s="14"/>
      <c r="I10" s="14"/>
      <c r="J10" s="8">
        <v>21202.334999999999</v>
      </c>
      <c r="K10" s="1"/>
    </row>
    <row r="11" spans="1:11" ht="27" customHeight="1">
      <c r="A11" s="1"/>
      <c r="B11" s="14" t="s">
        <v>45</v>
      </c>
      <c r="C11" s="14"/>
      <c r="D11" s="14"/>
      <c r="E11" s="9">
        <v>0.04</v>
      </c>
      <c r="F11" s="1"/>
      <c r="G11" s="14" t="s">
        <v>46</v>
      </c>
      <c r="H11" s="14"/>
      <c r="I11" s="14"/>
      <c r="J11" s="8">
        <v>21724.560000000001</v>
      </c>
      <c r="K11" s="1"/>
    </row>
    <row r="12" spans="1:11" ht="27" customHeight="1">
      <c r="A12" s="1"/>
      <c r="B12" s="1"/>
      <c r="C12" s="1"/>
      <c r="D12" s="1"/>
      <c r="E12" s="1"/>
      <c r="F12" s="1"/>
      <c r="G12" s="1"/>
      <c r="H12" s="1"/>
      <c r="I12" s="1"/>
      <c r="J12" s="1"/>
      <c r="K12" s="1"/>
    </row>
    <row r="13" spans="1:11" ht="27" customHeight="1">
      <c r="A13" s="1"/>
      <c r="B13" s="14" t="s">
        <v>47</v>
      </c>
      <c r="C13" s="14"/>
      <c r="D13" s="14"/>
      <c r="E13" s="9">
        <v>0.48</v>
      </c>
      <c r="F13" s="1"/>
      <c r="G13" s="14" t="s">
        <v>48</v>
      </c>
      <c r="H13" s="14"/>
      <c r="I13" s="14"/>
      <c r="J13" s="8">
        <v>2866.3111675000005</v>
      </c>
      <c r="K13" s="1"/>
    </row>
    <row r="14" spans="1:11" ht="27" customHeight="1">
      <c r="A14" s="1"/>
      <c r="B14" s="14" t="s">
        <v>49</v>
      </c>
      <c r="C14" s="14"/>
      <c r="D14" s="14"/>
      <c r="E14" s="9">
        <v>0.5</v>
      </c>
      <c r="F14" s="1"/>
      <c r="G14" s="14" t="s">
        <v>50</v>
      </c>
      <c r="H14" s="14"/>
      <c r="I14" s="14"/>
      <c r="J14" s="8">
        <v>3799.6109599999995</v>
      </c>
      <c r="K14" s="1"/>
    </row>
    <row r="15" spans="1:11" ht="27" customHeight="1">
      <c r="A15" s="1"/>
      <c r="B15" s="14" t="s">
        <v>51</v>
      </c>
      <c r="C15" s="14"/>
      <c r="D15" s="14"/>
      <c r="E15" s="9">
        <v>0.51500000000000001</v>
      </c>
      <c r="F15" s="1"/>
      <c r="G15" s="14" t="s">
        <v>52</v>
      </c>
      <c r="H15" s="14"/>
      <c r="I15" s="14"/>
      <c r="J15" s="8">
        <v>4581.379100000001</v>
      </c>
      <c r="K15" s="1"/>
    </row>
    <row r="16" spans="1:11" ht="27" customHeight="1">
      <c r="A16" s="1"/>
      <c r="B16" s="1"/>
      <c r="C16" s="1"/>
      <c r="D16" s="1"/>
      <c r="E16" s="1"/>
      <c r="F16" s="1"/>
      <c r="G16" s="1"/>
      <c r="H16" s="1"/>
      <c r="I16" s="1"/>
      <c r="J16" s="1"/>
      <c r="K16" s="1"/>
    </row>
    <row r="17" spans="1:11" ht="27" customHeight="1">
      <c r="A17" s="1"/>
      <c r="B17" s="15" t="s">
        <v>53</v>
      </c>
      <c r="C17" s="15"/>
      <c r="D17" s="15"/>
      <c r="E17" s="15"/>
      <c r="F17" s="15"/>
      <c r="G17" s="15"/>
      <c r="H17" s="15"/>
      <c r="I17" s="15"/>
      <c r="J17" s="15"/>
      <c r="K17" s="1"/>
    </row>
    <row r="18" spans="1:11" ht="27" customHeight="1">
      <c r="A18" s="1"/>
      <c r="B18" s="15"/>
      <c r="C18" s="15"/>
      <c r="D18" s="15"/>
      <c r="E18" s="15"/>
      <c r="F18" s="15"/>
      <c r="G18" s="15"/>
      <c r="H18" s="15"/>
      <c r="I18" s="15"/>
      <c r="J18" s="15"/>
      <c r="K18" s="1"/>
    </row>
    <row r="19" spans="1:11" ht="27" customHeight="1">
      <c r="A19" s="1"/>
      <c r="B19" s="1"/>
      <c r="C19" s="1"/>
      <c r="D19" s="1"/>
      <c r="E19" s="1"/>
      <c r="F19" s="1"/>
      <c r="G19" s="1"/>
      <c r="H19" s="1"/>
      <c r="I19" s="1"/>
      <c r="J19" s="1"/>
      <c r="K19" s="1"/>
    </row>
    <row r="20" spans="1:11" ht="27" customHeight="1">
      <c r="A20" s="1"/>
      <c r="B20" s="15" t="s">
        <v>54</v>
      </c>
      <c r="C20" s="15"/>
      <c r="D20" s="15"/>
      <c r="E20" s="15"/>
      <c r="F20" s="15"/>
      <c r="G20" s="15"/>
      <c r="H20" s="15"/>
      <c r="I20" s="15"/>
      <c r="J20" s="15"/>
      <c r="K20" s="1"/>
    </row>
    <row r="21" spans="1:11" ht="27" customHeight="1">
      <c r="A21" s="1"/>
      <c r="B21" s="15"/>
      <c r="C21" s="15"/>
      <c r="D21" s="15"/>
      <c r="E21" s="15"/>
      <c r="F21" s="15"/>
      <c r="G21" s="15"/>
      <c r="H21" s="15"/>
      <c r="I21" s="15"/>
      <c r="J21" s="15"/>
      <c r="K21" s="1"/>
    </row>
    <row r="22" spans="1:11" ht="27" customHeight="1">
      <c r="A22" s="1"/>
      <c r="B22" s="1"/>
      <c r="C22" s="1"/>
      <c r="D22" s="1"/>
      <c r="E22" s="1"/>
      <c r="F22" s="1"/>
      <c r="G22" s="1"/>
      <c r="H22" s="1"/>
      <c r="I22" s="1"/>
      <c r="J22" s="1"/>
      <c r="K22" s="1"/>
    </row>
  </sheetData>
  <mergeCells count="20">
    <mergeCell ref="B17:J18"/>
    <mergeCell ref="B20:J21"/>
    <mergeCell ref="B13:D13"/>
    <mergeCell ref="G13:I13"/>
    <mergeCell ref="B14:D14"/>
    <mergeCell ref="G14:I14"/>
    <mergeCell ref="B15:D15"/>
    <mergeCell ref="G15:I15"/>
    <mergeCell ref="B9:D9"/>
    <mergeCell ref="G9:I9"/>
    <mergeCell ref="B10:D10"/>
    <mergeCell ref="G10:I10"/>
    <mergeCell ref="B11:D11"/>
    <mergeCell ref="G11:I11"/>
    <mergeCell ref="B2:J2"/>
    <mergeCell ref="B3:J3"/>
    <mergeCell ref="B5:E5"/>
    <mergeCell ref="G5:J5"/>
    <mergeCell ref="B7:D7"/>
    <mergeCell ref="G7:I7"/>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sheetViews>
  <sheetFormatPr baseColWidth="10" defaultColWidth="8.83203125" defaultRowHeight="14"/>
  <cols>
    <col min="1" max="6" width="32" customWidth="1"/>
  </cols>
  <sheetData>
    <row r="1" spans="1:6" ht="106.75" customHeight="1">
      <c r="A1" s="10" t="s">
        <v>55</v>
      </c>
      <c r="B1" s="10" t="s">
        <v>56</v>
      </c>
      <c r="C1" s="10" t="s">
        <v>57</v>
      </c>
      <c r="D1" s="10" t="s">
        <v>58</v>
      </c>
      <c r="E1" s="10" t="s">
        <v>59</v>
      </c>
      <c r="F1" s="10" t="s">
        <v>60</v>
      </c>
    </row>
    <row r="2" spans="1:6" ht="106.75" customHeight="1">
      <c r="A2" s="10" t="s">
        <v>61</v>
      </c>
      <c r="B2" s="10" t="s">
        <v>62</v>
      </c>
      <c r="C2" s="10" t="s">
        <v>63</v>
      </c>
      <c r="D2" s="10" t="s">
        <v>64</v>
      </c>
      <c r="E2" s="10" t="s">
        <v>65</v>
      </c>
      <c r="F2" s="10" t="s">
        <v>66</v>
      </c>
    </row>
    <row r="3" spans="1:6" ht="106.75" customHeight="1">
      <c r="A3" s="10" t="s">
        <v>61</v>
      </c>
      <c r="B3" s="10" t="s">
        <v>67</v>
      </c>
      <c r="C3" s="10" t="s">
        <v>68</v>
      </c>
      <c r="D3" s="10" t="s">
        <v>69</v>
      </c>
      <c r="E3" s="10" t="s">
        <v>70</v>
      </c>
      <c r="F3" s="10" t="s">
        <v>71</v>
      </c>
    </row>
    <row r="4" spans="1:6" ht="106.75" customHeight="1">
      <c r="A4" s="10" t="s">
        <v>72</v>
      </c>
      <c r="B4" s="10" t="s">
        <v>62</v>
      </c>
      <c r="C4" s="10" t="s">
        <v>63</v>
      </c>
      <c r="D4" s="10" t="s">
        <v>64</v>
      </c>
      <c r="E4" s="10" t="s">
        <v>65</v>
      </c>
      <c r="F4" s="10" t="s">
        <v>73</v>
      </c>
    </row>
    <row r="5" spans="1:6" ht="106.75" customHeight="1">
      <c r="A5" s="10" t="s">
        <v>72</v>
      </c>
      <c r="B5" s="10" t="s">
        <v>62</v>
      </c>
      <c r="C5" s="10" t="s">
        <v>63</v>
      </c>
      <c r="D5" s="10" t="s">
        <v>74</v>
      </c>
      <c r="E5" s="10" t="s">
        <v>75</v>
      </c>
      <c r="F5" s="10" t="s">
        <v>73</v>
      </c>
    </row>
    <row r="6" spans="1:6" ht="106.75" customHeight="1">
      <c r="A6" s="10" t="s">
        <v>72</v>
      </c>
      <c r="B6" s="10" t="s">
        <v>62</v>
      </c>
      <c r="C6" s="10" t="s">
        <v>63</v>
      </c>
      <c r="D6" s="10" t="s">
        <v>76</v>
      </c>
      <c r="E6" s="10" t="s">
        <v>77</v>
      </c>
      <c r="F6" s="10" t="s">
        <v>73</v>
      </c>
    </row>
    <row r="7" spans="1:6" ht="106.75" customHeight="1">
      <c r="A7" s="10" t="s">
        <v>72</v>
      </c>
      <c r="B7" s="10" t="s">
        <v>62</v>
      </c>
      <c r="C7" s="10" t="s">
        <v>63</v>
      </c>
      <c r="D7" s="10" t="s">
        <v>78</v>
      </c>
      <c r="E7" s="10" t="s">
        <v>79</v>
      </c>
      <c r="F7" s="10" t="s">
        <v>73</v>
      </c>
    </row>
    <row r="8" spans="1:6" ht="106.75" customHeight="1">
      <c r="A8" s="10" t="s">
        <v>80</v>
      </c>
      <c r="B8" s="10" t="s">
        <v>62</v>
      </c>
      <c r="C8" s="10" t="s">
        <v>81</v>
      </c>
      <c r="D8" s="10" t="s">
        <v>82</v>
      </c>
      <c r="E8" s="10" t="s">
        <v>83</v>
      </c>
      <c r="F8" s="10" t="s">
        <v>84</v>
      </c>
    </row>
    <row r="9" spans="1:6" ht="106.75" customHeight="1">
      <c r="A9" s="10" t="s">
        <v>85</v>
      </c>
      <c r="B9" s="10" t="s">
        <v>86</v>
      </c>
      <c r="C9" s="10" t="s">
        <v>87</v>
      </c>
      <c r="D9" s="10" t="s">
        <v>88</v>
      </c>
      <c r="E9" s="10" t="s">
        <v>89</v>
      </c>
      <c r="F9" s="10" t="s">
        <v>90</v>
      </c>
    </row>
    <row r="10" spans="1:6" ht="106.75" customHeight="1">
      <c r="A10" s="10" t="s">
        <v>85</v>
      </c>
      <c r="B10" s="10" t="s">
        <v>91</v>
      </c>
      <c r="C10" s="10" t="s">
        <v>92</v>
      </c>
      <c r="D10" s="10" t="s">
        <v>93</v>
      </c>
      <c r="E10" s="10" t="s">
        <v>94</v>
      </c>
      <c r="F10" s="10" t="s">
        <v>95</v>
      </c>
    </row>
    <row r="11" spans="1:6" ht="106.75" customHeight="1">
      <c r="A11" s="10"/>
      <c r="B11" s="10"/>
      <c r="C11" s="10"/>
      <c r="D11" s="10"/>
      <c r="E11" s="10"/>
      <c r="F11" s="10"/>
    </row>
    <row r="12" spans="1:6" ht="106.75" customHeight="1">
      <c r="A12" s="10"/>
      <c r="B12" s="10"/>
      <c r="C12" s="10"/>
      <c r="D12" s="10"/>
      <c r="E12" s="10"/>
      <c r="F12" s="10"/>
    </row>
    <row r="13" spans="1:6" ht="106.75" customHeight="1">
      <c r="A13" s="10"/>
      <c r="B13" s="10"/>
      <c r="C13" s="10"/>
      <c r="D13" s="10"/>
      <c r="E13" s="10"/>
      <c r="F13" s="10"/>
    </row>
    <row r="14" spans="1:6" ht="106.75" customHeight="1">
      <c r="A14" s="10"/>
      <c r="B14" s="10"/>
      <c r="C14" s="10"/>
      <c r="D14" s="10"/>
      <c r="E14" s="10"/>
      <c r="F14" s="10"/>
    </row>
    <row r="15" spans="1:6" ht="106.75" customHeight="1">
      <c r="A15" s="10"/>
      <c r="B15" s="10"/>
      <c r="C15" s="10"/>
      <c r="D15" s="10"/>
      <c r="E15" s="10"/>
      <c r="F15" s="10"/>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1 Revenue</vt:lpstr>
      <vt:lpstr>2 Cutoff</vt:lpstr>
      <vt:lpstr>3 Margins</vt:lpstr>
      <vt:lpstr>4 Scenarios</vt:lpstr>
      <vt:lpstr>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PG-Chen, Hoi Chun</cp:lastModifiedBy>
  <dcterms:modified xsi:type="dcterms:W3CDTF">2026-10-02T15:59:08Z</dcterms:modified>
</cp:coreProperties>
</file>