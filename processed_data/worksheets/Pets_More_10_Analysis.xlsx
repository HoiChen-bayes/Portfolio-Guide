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a06e65d7c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0" sheetId="1" r:id="Rdaee594cec484fc9"/>
    <x:sheet xmlns:r="http://schemas.openxmlformats.org/officeDocument/2006/relationships" name="Forecast" sheetId="2" r:id="R71e261f74e9b48ce"/>
    <x:sheet xmlns:r="http://schemas.openxmlformats.org/officeDocument/2006/relationships" name="Actual" sheetId="3" r:id="R2267b2c0a17d4b3c"/>
    <x:sheet xmlns:r="http://schemas.openxmlformats.org/officeDocument/2006/relationships" name="Budget" sheetId="4" r:id="Ree05a9ed55bb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;(#,##0.00);&quot;—&quot;"/>
    <x:numFmt numFmtId="202" formatCode="0%"/>
    <x:numFmt numFmtId="203" formatCode="0.00"/>
  </x:numFmts>
  <x:fonts count="10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0CC"/>
      </x:patternFill>
    </x:fill>
    <x:fill>
      <x:patternFill patternType="solid">
        <x:fgColor rgb="FFE8EEF4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3" borderId="0" xfId="0" applyNumberFormat="1" applyFont="1" applyFill="1" applyBorder="1"/>
    <x:xf numFmtId="202" fontId="6" fillId="3" borderId="0" xfId="0" applyNumberFormat="1" applyFont="1" applyFill="1" applyBorder="1"/>
    <x:xf numFmtId="0" fontId="7" fillId="0" borderId="0" xfId="0" applyNumberFormat="1" applyFont="1" applyFill="1" applyBorder="1"/>
    <x:xf numFmtId="201" fontId="5" fillId="0" borderId="0" xfId="0" applyNumberFormat="1" applyFont="1" applyFill="1" applyBorder="1"/>
    <x:xf numFmtId="201" fontId="7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3" borderId="0" xfId="0" applyNumberFormat="1" applyFont="1" applyFill="1" applyBorder="1"/>
    <x:xf numFmtId="203" fontId="5" fillId="0" borderId="0" xfId="0" applyNumberFormat="1" applyFont="1" applyFill="1" applyBorder="1"/>
    <x:xf numFmtId="0" fontId="1" fillId="4" borderId="0" xfId="0" applyNumberFormat="1" applyFont="1" applyFill="1" applyBorder="1"/>
    <x:xf numFmtId="201" fontId="5" fillId="4" borderId="0" xfId="0" applyNumberFormat="1" applyFont="1" applyFill="1" applyBorder="1"/>
    <x:xf numFmtId="0" fontId="8" fillId="4" borderId="0" xfId="0" applyNumberFormat="1" applyFont="1" applyFill="1" applyBorder="1"/>
    <x:xf numFmtId="201" fontId="9" fillId="4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9" fillId="4" borderId="0" xfId="0" applyNumberFormat="1" applyFont="1" applyFill="1" applyBorder="1"/>
    <x:xf numFmtId="202" fontId="6" fillId="5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db47d3666479d" /><Relationship Type="http://schemas.openxmlformats.org/officeDocument/2006/relationships/theme" Target="/xl/theme/theme1.xml" Id="Red11ea4efa804dd2" /><Relationship Type="http://schemas.openxmlformats.org/officeDocument/2006/relationships/sharedStrings" Target="/xl/sharedStrings.xml" Id="Rb24b2031ac334007" /><Relationship Type="http://schemas.openxmlformats.org/officeDocument/2006/relationships/worksheet" Target="/xl/worksheets/sheet1.xml" Id="Rdaee594cec484fc9" /><Relationship Type="http://schemas.openxmlformats.org/officeDocument/2006/relationships/worksheet" Target="/xl/worksheets/sheet2.xml" Id="R71e261f74e9b48ce" /><Relationship Type="http://schemas.openxmlformats.org/officeDocument/2006/relationships/worksheet" Target="/xl/worksheets/sheet3.xml" Id="R2267b2c0a17d4b3c" /><Relationship Type="http://schemas.openxmlformats.org/officeDocument/2006/relationships/worksheet" Target="/xl/worksheets/sheet4.xml" Id="Ree05a9ed55bb40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B10 | Illustrative cash funding need | USD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 t="str">
        <x:v>Hypothetical cash assumptions; not the company cash forecast or financing approval.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23" customHeight="1">
      <x:c r="A5" s="1" t="str">
        <x:v>Opening cash 31-May</x:v>
      </x:c>
      <x:c r="B5" s="18" t="n">
        <x:v>20000</x:v>
      </x:c>
      <x:c r="C5" s="1"/>
      <x:c r="D5" s="1"/>
      <x:c r="E5" s="1"/>
      <x:c r="F5" s="1"/>
      <x:c r="G5" s="1"/>
      <x:c r="H5" s="1"/>
    </x:row>
    <x:row r="6" ht="23" customHeight="1">
      <x:c r="A6" s="1" t="str">
        <x:v>Minimum cash target</x:v>
      </x:c>
      <x:c r="B6" s="18" t="n">
        <x:v>5000</x:v>
      </x:c>
      <x:c r="C6" s="1"/>
      <x:c r="D6" s="1"/>
      <x:c r="E6" s="1"/>
      <x:c r="F6" s="1"/>
      <x:c r="G6" s="1"/>
      <x:c r="H6" s="1"/>
    </x:row>
    <x:row r="7" ht="23" customHeight="1">
      <x:c r="A7" s="1" t="str">
        <x:v>Same-month collection</x:v>
      </x:c>
      <x:c r="B7" s="13" t="n">
        <x:v>0.8</x:v>
      </x:c>
      <x:c r="C7" s="1"/>
      <x:c r="D7" s="1"/>
      <x:c r="E7" s="1"/>
      <x:c r="F7" s="1"/>
      <x:c r="G7" s="1"/>
      <x:c r="H7" s="1"/>
    </x:row>
    <x:row r="8" ht="23" customHeight="1">
      <x:c r="A8" s="1" t="str">
        <x:v>Next-month collection</x:v>
      </x:c>
      <x:c r="B8" s="11" t="n">
        <x:f>1-B7</x:f>
        <x:v>0.19999999999999996</x:v>
      </x:c>
      <x:c r="C8" s="1"/>
      <x:c r="D8" s="1"/>
      <x:c r="E8" s="1"/>
      <x:c r="F8" s="1"/>
      <x:c r="G8" s="1"/>
      <x:c r="H8" s="1"/>
    </x:row>
    <x:row r="9" ht="23" customHeight="1">
      <x:c r="A9" s="1" t="str">
        <x:v>Same-month expense paid</x:v>
      </x:c>
      <x:c r="B9" s="27" t="n">
        <x:v>1</x:v>
      </x:c>
      <x:c r="C9" s="1"/>
      <x:c r="D9" s="3" t="str">
        <x:v>Fixed at 100%; payment delays require an AP schedule.</x:v>
      </x:c>
      <x:c r="E9" s="1"/>
      <x:c r="F9" s="1"/>
      <x:c r="G9" s="1"/>
      <x:c r="H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</x:row>
    <x:row r="12" ht="30" customHeight="1">
      <x:c r="A12" s="5" t="str">
        <x:v>Cash schedule</x:v>
      </x:c>
      <x:c r="B12" s="5" t="str">
        <x:v>Jun</x:v>
      </x:c>
      <x:c r="C12" s="5" t="str">
        <x:v>Jul</x:v>
      </x:c>
      <x:c r="D12" s="5" t="str">
        <x:v>Aug</x:v>
      </x:c>
      <x:c r="E12" s="5" t="str">
        <x:v>Sep</x:v>
      </x:c>
      <x:c r="F12" s="5" t="str">
        <x:v>Oct</x:v>
      </x:c>
      <x:c r="G12" s="5" t="str">
        <x:v>Nov</x:v>
      </x:c>
      <x:c r="H12" s="5" t="str">
        <x:v>Dec</x:v>
      </x:c>
    </x:row>
    <x:row r="13" ht="23" customHeight="1">
      <x:c r="A13" s="1" t="str">
        <x:v>Opening cash</x:v>
      </x:c>
      <x:c r="B13" s="15" t="n">
        <x:f>$B$5</x:f>
        <x:v>20000</x:v>
      </x:c>
      <x:c r="C13" s="15" t="n">
        <x:f>B23</x:f>
        <x:v>17683.666666666668</x:v>
      </x:c>
      <x:c r="D13" s="15" t="n">
        <x:f>C23</x:f>
        <x:v>9207.33333333334</x:v>
      </x:c>
      <x:c r="E13" s="15" t="n">
        <x:f>D23</x:f>
        <x:v>8031.000000000007</x:v>
      </x:c>
      <x:c r="F13" s="15" t="n">
        <x:f>E23</x:f>
        <x:v>5954.666666666675</x:v>
      </x:c>
      <x:c r="G13" s="15" t="n">
        <x:f>F23</x:f>
        <x:v>5000</x:v>
      </x:c>
      <x:c r="H13" s="15" t="n">
        <x:f>G23</x:f>
        <x:v>7323.666666666668</x:v>
      </x:c>
    </x:row>
    <x:row r="14" ht="23" customHeight="1">
      <x:c r="A14" s="1" t="str">
        <x:v>Revenue forecast</x:v>
      </x:c>
      <x:c r="B14" s="16" t="n">
        <x:f>'Forecast'!H16</x:f>
        <x:v>17000</x:v>
      </x:c>
      <x:c r="C14" s="16" t="n">
        <x:f>'Forecast'!I16</x:f>
        <x:v>21500</x:v>
      </x:c>
      <x:c r="D14" s="16" t="n">
        <x:f>'Forecast'!J16</x:f>
        <x:v>17000</x:v>
      </x:c>
      <x:c r="E14" s="16" t="n">
        <x:f>'Forecast'!K16</x:f>
        <x:v>17000</x:v>
      </x:c>
      <x:c r="F14" s="16" t="n">
        <x:f>'Forecast'!L16</x:f>
        <x:v>17000</x:v>
      </x:c>
      <x:c r="G14" s="16" t="n">
        <x:f>'Forecast'!M16</x:f>
        <x:v>22500</x:v>
      </x:c>
      <x:c r="H14" s="16" t="n">
        <x:f>'Forecast'!N16</x:f>
        <x:v>22500</x:v>
      </x:c>
    </x:row>
    <x:row r="15" ht="23" customHeight="1">
      <x:c r="A15" s="1" t="str">
        <x:v>Collect current month</x:v>
      </x:c>
      <x:c r="B15" s="15" t="n">
        <x:f>B14*$B$7</x:f>
        <x:v>13600</x:v>
      </x:c>
      <x:c r="C15" s="15" t="n">
        <x:f>C14*$B$7</x:f>
        <x:v>17200</x:v>
      </x:c>
      <x:c r="D15" s="15" t="n">
        <x:f>D14*$B$7</x:f>
        <x:v>13600</x:v>
      </x:c>
      <x:c r="E15" s="15" t="n">
        <x:f>E14*$B$7</x:f>
        <x:v>13600</x:v>
      </x:c>
      <x:c r="F15" s="15" t="n">
        <x:f>F14*$B$7</x:f>
        <x:v>13600</x:v>
      </x:c>
      <x:c r="G15" s="15" t="n">
        <x:f>G14*$B$7</x:f>
        <x:v>18000</x:v>
      </x:c>
      <x:c r="H15" s="15" t="n">
        <x:f>H14*$B$7</x:f>
        <x:v>18000</x:v>
      </x:c>
    </x:row>
    <x:row r="16" ht="23" customHeight="1">
      <x:c r="A16" s="1" t="str">
        <x:v>Collect previous month</x:v>
      </x:c>
      <x:c r="B16" s="16" t="n">
        <x:f>'Forecast'!G16*$B$8</x:f>
        <x:v>3159.999999999999</x:v>
      </x:c>
      <x:c r="C16" s="15" t="n">
        <x:f>B14*$B$8</x:f>
        <x:v>3399.999999999999</x:v>
      </x:c>
      <x:c r="D16" s="15" t="n">
        <x:f>C14*$B$8</x:f>
        <x:v>4299.999999999999</x:v>
      </x:c>
      <x:c r="E16" s="15" t="n">
        <x:f>D14*$B$8</x:f>
        <x:v>3399.999999999999</x:v>
      </x:c>
      <x:c r="F16" s="15" t="n">
        <x:f>E14*$B$8</x:f>
        <x:v>3399.999999999999</x:v>
      </x:c>
      <x:c r="G16" s="15" t="n">
        <x:f>F14*$B$8</x:f>
        <x:v>3399.999999999999</x:v>
      </x:c>
      <x:c r="H16" s="15" t="n">
        <x:f>G14*$B$8</x:f>
        <x:v>4499.999999999999</x:v>
      </x:c>
    </x:row>
    <x:row r="17" ht="23" customHeight="1">
      <x:c r="A17" s="22" t="str">
        <x:v>Total receipts</x:v>
      </x:c>
      <x:c r="B17" s="23" t="n">
        <x:f>SUM(B15:B16)</x:f>
        <x:v>16760</x:v>
      </x:c>
      <x:c r="C17" s="23" t="n">
        <x:f>SUM(C15:C16)</x:f>
        <x:v>20600</x:v>
      </x:c>
      <x:c r="D17" s="23" t="n">
        <x:f>SUM(D15:D16)</x:f>
        <x:v>17900</x:v>
      </x:c>
      <x:c r="E17" s="23" t="n">
        <x:f>SUM(E15:E16)</x:f>
        <x:v>17000</x:v>
      </x:c>
      <x:c r="F17" s="23" t="n">
        <x:f>SUM(F15:F16)</x:f>
        <x:v>17000</x:v>
      </x:c>
      <x:c r="G17" s="23" t="n">
        <x:f>SUM(G15:G16)</x:f>
        <x:v>21400</x:v>
      </x:c>
      <x:c r="H17" s="23" t="n">
        <x:f>SUM(H15:H16)</x:f>
        <x:v>22500</x:v>
      </x:c>
    </x:row>
    <x:row r="18" ht="23" customHeight="1">
      <x:c r="A18" s="1" t="str">
        <x:v>Expense cash payment</x:v>
      </x:c>
      <x:c r="B18" s="16" t="n">
        <x:f>'Forecast'!H17*$B$9</x:f>
        <x:v>18576.333333333332</x:v>
      </x:c>
      <x:c r="C18" s="16" t="n">
        <x:f>'Forecast'!I17*$B$9</x:f>
        <x:v>18576.333333333332</x:v>
      </x:c>
      <x:c r="D18" s="16" t="n">
        <x:f>'Forecast'!J17*$B$9</x:f>
        <x:v>18576.333333333332</x:v>
      </x:c>
      <x:c r="E18" s="16" t="n">
        <x:f>'Forecast'!K17*$B$9</x:f>
        <x:v>18576.333333333332</x:v>
      </x:c>
      <x:c r="F18" s="16" t="n">
        <x:f>'Forecast'!L17*$B$9</x:f>
        <x:v>18576.333333333332</x:v>
      </x:c>
      <x:c r="G18" s="16" t="n">
        <x:f>'Forecast'!M17*$B$9</x:f>
        <x:v>18576.333333333332</x:v>
      </x:c>
      <x:c r="H18" s="16" t="n">
        <x:f>'Forecast'!N17*$B$9</x:f>
        <x:v>18576.333333333332</x:v>
      </x:c>
    </x:row>
    <x:row r="19" ht="23" customHeight="1">
      <x:c r="A19" s="1" t="str">
        <x:v>Capex (assumed)</x:v>
      </x:c>
      <x:c r="B19" s="17" t="n">
        <x:v>0</x:v>
      </x:c>
      <x:c r="C19" s="17" t="n">
        <x:v>10000</x:v>
      </x:c>
      <x:c r="D19" s="17" t="n">
        <x:v>0</x:v>
      </x:c>
      <x:c r="E19" s="17" t="n">
        <x:v>0</x:v>
      </x:c>
      <x:c r="F19" s="17" t="n">
        <x:v>0</x:v>
      </x:c>
      <x:c r="G19" s="17" t="n">
        <x:v>0</x:v>
      </x:c>
      <x:c r="H19" s="17" t="n">
        <x:v>0</x:v>
      </x:c>
    </x:row>
    <x:row r="20" ht="23" customHeight="1">
      <x:c r="A20" s="1" t="str">
        <x:v>Tax cash (assumed)</x:v>
      </x:c>
      <x:c r="B20" s="17" t="n">
        <x:v>500</x:v>
      </x:c>
      <x:c r="C20" s="17" t="n">
        <x:v>500</x:v>
      </x:c>
      <x:c r="D20" s="17" t="n">
        <x:v>500</x:v>
      </x:c>
      <x:c r="E20" s="17" t="n">
        <x:v>500</x:v>
      </x:c>
      <x:c r="F20" s="17" t="n">
        <x:v>500</x:v>
      </x:c>
      <x:c r="G20" s="17" t="n">
        <x:v>500</x:v>
      </x:c>
      <x:c r="H20" s="17" t="n">
        <x:v>500</x:v>
      </x:c>
    </x:row>
    <x:row r="21" ht="23" customHeight="1">
      <x:c r="A21" s="22" t="str">
        <x:v>Cash before funding</x:v>
      </x:c>
      <x:c r="B21" s="23" t="n">
        <x:f>SUM(B13,B17)-SUM(B18:B20)</x:f>
        <x:v>17683.666666666668</x:v>
      </x:c>
      <x:c r="C21" s="23" t="n">
        <x:f>SUM(C13,C17)-SUM(C18:C20)</x:f>
        <x:v>9207.33333333334</x:v>
      </x:c>
      <x:c r="D21" s="23" t="n">
        <x:f>SUM(D13,D17)-SUM(D18:D20)</x:f>
        <x:v>8031.000000000007</x:v>
      </x:c>
      <x:c r="E21" s="23" t="n">
        <x:f>SUM(E13,E17)-SUM(E18:E20)</x:f>
        <x:v>5954.666666666675</x:v>
      </x:c>
      <x:c r="F21" s="23" t="n">
        <x:f>SUM(F13,F17)-SUM(F18:F20)</x:f>
        <x:v>3878.333333333343</x:v>
      </x:c>
      <x:c r="G21" s="23" t="n">
        <x:f>SUM(G13,G17)-SUM(G18:G20)</x:f>
        <x:v>7323.666666666668</x:v>
      </x:c>
      <x:c r="H21" s="23" t="n">
        <x:f>SUM(H13,H17)-SUM(H18:H20)</x:f>
        <x:v>10747.333333333336</x:v>
      </x:c>
    </x:row>
    <x:row r="22" ht="23" customHeight="1">
      <x:c r="A22" s="22" t="str">
        <x:v>Additional funding needed</x:v>
      </x:c>
      <x:c r="B22" s="23" t="n">
        <x:f>MAX(0,$B$6-B21)</x:f>
        <x:v>0</x:v>
      </x:c>
      <x:c r="C22" s="23" t="n">
        <x:f>MAX(0,$B$6-C21)</x:f>
        <x:v>0</x:v>
      </x:c>
      <x:c r="D22" s="23" t="n">
        <x:f>MAX(0,$B$6-D21)</x:f>
        <x:v>0</x:v>
      </x:c>
      <x:c r="E22" s="23" t="n">
        <x:f>MAX(0,$B$6-E21)</x:f>
        <x:v>0</x:v>
      </x:c>
      <x:c r="F22" s="23" t="n">
        <x:f>MAX(0,$B$6-F21)</x:f>
        <x:v>1121.666666666657</x:v>
      </x:c>
      <x:c r="G22" s="23" t="n">
        <x:f>MAX(0,$B$6-G21)</x:f>
        <x:v>0</x:v>
      </x:c>
      <x:c r="H22" s="23" t="n">
        <x:f>MAX(0,$B$6-H21)</x:f>
        <x:v>0</x:v>
      </x:c>
    </x:row>
    <x:row r="23" ht="23" customHeight="1">
      <x:c r="A23" s="22" t="str">
        <x:v>Cash if funding secured</x:v>
      </x:c>
      <x:c r="B23" s="23" t="n">
        <x:f>SUM(B21:B22)</x:f>
        <x:v>17683.666666666668</x:v>
      </x:c>
      <x:c r="C23" s="23" t="n">
        <x:f>SUM(C21:C22)</x:f>
        <x:v>9207.33333333334</x:v>
      </x:c>
      <x:c r="D23" s="23" t="n">
        <x:f>SUM(D21:D22)</x:f>
        <x:v>8031.000000000007</x:v>
      </x:c>
      <x:c r="E23" s="23" t="n">
        <x:f>SUM(E21:E22)</x:f>
        <x:v>5954.666666666675</x:v>
      </x:c>
      <x:c r="F23" s="23" t="n">
        <x:f>SUM(F21:F22)</x:f>
        <x:v>5000</x:v>
      </x:c>
      <x:c r="G23" s="23" t="n">
        <x:f>SUM(G21:G22)</x:f>
        <x:v>7323.666666666668</x:v>
      </x:c>
      <x:c r="H23" s="23" t="n">
        <x:f>SUM(H21:H22)</x:f>
        <x:v>10747.333333333336</x:v>
      </x:c>
    </x:row>
    <x:row r="24" ht="23" customHeight="1">
      <x:c r="A24" s="22" t="str">
        <x:v>Cumulative funding need</x:v>
      </x:c>
      <x:c r="B24" s="23" t="n">
        <x:f>SUM($B22:B22)</x:f>
        <x:v>0</x:v>
      </x:c>
      <x:c r="C24" s="23" t="n">
        <x:f>SUM($B22:C22)</x:f>
        <x:v>0</x:v>
      </x:c>
      <x:c r="D24" s="23" t="n">
        <x:f>SUM($B22:D22)</x:f>
        <x:v>0</x:v>
      </x:c>
      <x:c r="E24" s="23" t="n">
        <x:f>SUM($B22:E22)</x:f>
        <x:v>0</x:v>
      </x:c>
      <x:c r="F24" s="23" t="n">
        <x:f>SUM($B22:F22)</x:f>
        <x:v>1121.666666666657</x:v>
      </x:c>
      <x:c r="G24" s="23" t="n">
        <x:f>SUM($B22:G22)</x:f>
        <x:v>1121.666666666657</x:v>
      </x:c>
      <x:c r="H24" s="23" t="n">
        <x:f>SUM($B22:H22)</x:f>
        <x:v>1121.666666666657</x:v>
      </x:c>
    </x:row>
    <x:row r="25" ht="23" customHeight="1">
      <x:c r="A25" s="1"/>
      <x:c r="B25" s="7"/>
      <x:c r="C25" s="7"/>
      <x:c r="D25" s="7"/>
      <x:c r="E25" s="7"/>
      <x:c r="F25" s="7"/>
      <x:c r="G25" s="7"/>
      <x:c r="H25" s="7"/>
    </x:row>
    <x:row r="26" ht="23" customHeight="1">
      <x:c r="A26" s="1" t="str">
        <x:v>Opening receivables</x:v>
      </x:c>
      <x:c r="B26" s="16" t="n">
        <x:f>'Forecast'!G16*$B$8</x:f>
        <x:v>3159.999999999999</x:v>
      </x:c>
      <x:c r="C26" s="15" t="n">
        <x:f>B27</x:f>
        <x:v>3399.999999999999</x:v>
      </x:c>
      <x:c r="D26" s="15" t="n">
        <x:f>C27</x:f>
        <x:v>4299.999999999999</x:v>
      </x:c>
      <x:c r="E26" s="15" t="n">
        <x:f>D27</x:f>
        <x:v>3399.999999999999</x:v>
      </x:c>
      <x:c r="F26" s="15" t="n">
        <x:f>E27</x:f>
        <x:v>3399.999999999999</x:v>
      </x:c>
      <x:c r="G26" s="15" t="n">
        <x:f>F27</x:f>
        <x:v>3399.999999999999</x:v>
      </x:c>
      <x:c r="H26" s="15" t="n">
        <x:f>G27</x:f>
        <x:v>4499.999999999999</x:v>
      </x:c>
    </x:row>
    <x:row r="27" ht="23" customHeight="1">
      <x:c r="A27" s="1" t="str">
        <x:v>Closing receivables</x:v>
      </x:c>
      <x:c r="B27" s="15" t="n">
        <x:f>B14*$B$8</x:f>
        <x:v>3399.999999999999</x:v>
      </x:c>
      <x:c r="C27" s="15" t="n">
        <x:f>C14*$B$8</x:f>
        <x:v>4299.999999999999</x:v>
      </x:c>
      <x:c r="D27" s="15" t="n">
        <x:f>D14*$B$8</x:f>
        <x:v>3399.999999999999</x:v>
      </x:c>
      <x:c r="E27" s="15" t="n">
        <x:f>E14*$B$8</x:f>
        <x:v>3399.999999999999</x:v>
      </x:c>
      <x:c r="F27" s="15" t="n">
        <x:f>F14*$B$8</x:f>
        <x:v>3399.999999999999</x:v>
      </x:c>
      <x:c r="G27" s="15" t="n">
        <x:f>G14*$B$8</x:f>
        <x:v>4499.999999999999</x:v>
      </x:c>
      <x:c r="H27" s="15" t="n">
        <x:f>H14*$B$8</x:f>
        <x:v>4499.999999999999</x:v>
      </x:c>
    </x:row>
    <x:row r="28" ht="23" customHeight="1">
      <x:c r="A28" s="1" t="str">
        <x:v>Receivables check</x:v>
      </x:c>
      <x:c r="B28" s="19" t="n">
        <x:f>SUM(B26,B14)-B17-B27</x:f>
        <x:v>9.094947017729282e-13</x:v>
      </x:c>
      <x:c r="C28" s="19" t="n">
        <x:f>SUM(C26,C14)-C17-C27</x:f>
        <x:v>9.094947017729282e-13</x:v>
      </x:c>
      <x:c r="D28" s="19" t="n">
        <x:f>SUM(D26,D14)-D17-D27</x:f>
        <x:v>9.094947017729282e-13</x:v>
      </x:c>
      <x:c r="E28" s="19" t="n">
        <x:f>SUM(E26,E14)-E17-E27</x:f>
        <x:v>9.094947017729282e-13</x:v>
      </x:c>
      <x:c r="F28" s="19" t="n">
        <x:f>SUM(F26,F14)-F17-F27</x:f>
        <x:v>9.094947017729282e-13</x:v>
      </x:c>
      <x:c r="G28" s="19" t="n">
        <x:f>SUM(G26,G14)-G17-G27</x:f>
        <x:v>9.094947017729282e-13</x:v>
      </x:c>
      <x:c r="H28" s="19" t="n">
        <x:f>SUM(H26,H14)-H17-H27</x:f>
        <x:v>9.094947017729282e-13</x:v>
      </x:c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3" t="str">
        <x:v>Assume all expenses are cash; no opening AP, bad debts, loan flows, interest or other cash items.</x:v>
      </x:c>
      <x:c r="B31" s="1"/>
      <x:c r="C31" s="1"/>
      <x:c r="D31" s="1"/>
      <x:c r="E31" s="1"/>
      <x:c r="F31" s="1"/>
      <x:c r="G31" s="1"/>
      <x:c r="H31" s="1"/>
    </x:row>
    <x:row r="32" ht="23" customHeight="1">
      <x:c r="A32" s="3" t="str">
        <x:v>Opening AR assumed at 20% of May income; July capex USD 10,000; tax USD 500/month.</x:v>
      </x:c>
      <x:c r="B32" s="1"/>
      <x:c r="C32" s="1"/>
      <x:c r="D32" s="1"/>
      <x:c r="E32" s="1"/>
      <x:c r="F32" s="1"/>
      <x:c r="G32" s="1"/>
      <x:c r="H32" s="1"/>
    </x:row>
    <x:row r="33" ht="23" customHeight="1">
      <x:c r="A33" s="3" t="str">
        <x:v>Funding is a requirement, not confirmed borrowing. See B10 MD for missing evidence.</x:v>
      </x:c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</x:sheetData>
  <x:dataValidations count="1">
    <x:dataValidation type="whole" operator="between" sqref="B9">
      <x:formula1>1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2" t="str">
        <x:v>Updated full-year forecast | 2022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3" t="str">
        <x:v>Jan–May treated as actual; Jun–Dec teaching forecast.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2" customHeight="1">
      <x:c r="A5" s="5" t="str">
        <x:v>Category</x:v>
      </x:c>
      <x:c r="B5" s="5" t="str">
        <x:v>Type</x:v>
      </x:c>
      <x:c r="C5" s="5" t="n">
        <x:v>1</x:v>
      </x:c>
      <x:c r="D5" s="5" t="n">
        <x:v>2</x:v>
      </x:c>
      <x:c r="E5" s="5" t="n">
        <x:v>3</x:v>
      </x:c>
      <x:c r="F5" s="5" t="n">
        <x:v>4</x:v>
      </x:c>
      <x:c r="G5" s="5" t="n">
        <x:v>5</x:v>
      </x:c>
      <x:c r="H5" s="5" t="n">
        <x:v>6</x:v>
      </x:c>
      <x:c r="I5" s="5" t="n">
        <x:v>7</x:v>
      </x:c>
      <x:c r="J5" s="5" t="n">
        <x:v>8</x:v>
      </x:c>
      <x:c r="K5" s="5" t="n">
        <x:v>9</x:v>
      </x:c>
      <x:c r="L5" s="5" t="n">
        <x:v>10</x:v>
      </x:c>
      <x:c r="M5" s="5" t="n">
        <x:v>11</x:v>
      </x:c>
      <x:c r="N5" s="5" t="n">
        <x:v>12</x:v>
      </x:c>
      <x:c r="O5" s="1"/>
      <x:c r="P5" s="24" t="str">
        <x:v>Full year</x:v>
      </x:c>
      <x:c r="Q5" s="24" t="str">
        <x:v>YTD actual</x:v>
      </x:c>
      <x:c r="R5" s="24" t="str">
        <x:v>Jun–Dec forecast</x:v>
      </x:c>
      <x:c r="S5" s="24" t="str">
        <x:v>Original budget</x:v>
      </x:c>
      <x:c r="T5" s="24" t="str">
        <x:v>Net contribution</x:v>
      </x:c>
    </x:row>
    <x:row r="6" ht="23" customHeight="1">
      <x:c r="A6" s="1" t="str">
        <x:v>Sales</x:v>
      </x:c>
      <x:c r="B6" s="1" t="str">
        <x:v>Income</x:v>
      </x:c>
      <x:c r="C6" s="16" t="n">
        <x:f>SUMIFS('Actual'!$G$6:$G$60,'Actual'!$D$6:$D$60,$A6,'Actual'!$C$6:$C$60,1)</x:f>
        <x:v>5000</x:v>
      </x:c>
      <x:c r="D6" s="16" t="n">
        <x:f>SUMIFS('Actual'!$G$6:$G$60,'Actual'!$D$6:$D$60,$A6,'Actual'!$C$6:$C$60,2)</x:f>
        <x:v>3000</x:v>
      </x:c>
      <x:c r="E6" s="16" t="n">
        <x:f>SUMIFS('Actual'!$G$6:$G$60,'Actual'!$D$6:$D$60,$A6,'Actual'!$C$6:$C$60,3)</x:f>
        <x:v>8000</x:v>
      </x:c>
      <x:c r="F6" s="16" t="n">
        <x:f>SUMIFS('Actual'!$G$6:$G$60,'Actual'!$D$6:$D$60,$A6,'Actual'!$C$6:$C$60,4)</x:f>
        <x:v>6600</x:v>
      </x:c>
      <x:c r="G6" s="16" t="n">
        <x:f>SUMIFS('Actual'!$G$6:$G$60,'Actual'!$D$6:$D$60,$A6,'Actual'!$C$6:$C$60,5)</x:f>
        <x:v>3000</x:v>
      </x:c>
      <x:c r="H6" s="16" t="n">
        <x:f>SUMIFS('Budget'!$D$6:$D$113,'Budget'!$B$6:$B$113,$A6,'Budget'!$A$6:$A$113,6)</x:f>
        <x:v>6000</x:v>
      </x:c>
      <x:c r="I6" s="16" t="n">
        <x:f>SUMIFS('Budget'!$D$6:$D$113,'Budget'!$B$6:$B$113,$A6,'Budget'!$A$6:$A$113,7)</x:f>
        <x:v>6000</x:v>
      </x:c>
      <x:c r="J6" s="16" t="n">
        <x:f>SUMIFS('Budget'!$D$6:$D$113,'Budget'!$B$6:$B$113,$A6,'Budget'!$A$6:$A$113,8)</x:f>
        <x:v>6000</x:v>
      </x:c>
      <x:c r="K6" s="16" t="n">
        <x:f>SUMIFS('Budget'!$D$6:$D$113,'Budget'!$B$6:$B$113,$A6,'Budget'!$A$6:$A$113,9)</x:f>
        <x:v>6000</x:v>
      </x:c>
      <x:c r="L6" s="16" t="n">
        <x:f>SUMIFS('Budget'!$D$6:$D$113,'Budget'!$B$6:$B$113,$A6,'Budget'!$A$6:$A$113,10)</x:f>
        <x:v>6000</x:v>
      </x:c>
      <x:c r="M6" s="16" t="n">
        <x:f>SUMIFS('Budget'!$D$6:$D$113,'Budget'!$B$6:$B$113,$A6,'Budget'!$A$6:$A$113,11)</x:f>
        <x:v>7000</x:v>
      </x:c>
      <x:c r="N6" s="16" t="n">
        <x:f>SUMIFS('Budget'!$D$6:$D$113,'Budget'!$B$6:$B$113,$A6,'Budget'!$A$6:$A$113,12)</x:f>
        <x:v>7000</x:v>
      </x:c>
      <x:c r="O6" s="1"/>
      <x:c r="P6" s="15" t="n">
        <x:f>SUM(C6:N6)</x:f>
        <x:v>69600</x:v>
      </x:c>
      <x:c r="Q6" s="15" t="n">
        <x:f>SUM(C6:G6)</x:f>
        <x:v>25600</x:v>
      </x:c>
      <x:c r="R6" s="15" t="n">
        <x:f>SUM(H6:N6)</x:f>
        <x:v>44000</x:v>
      </x:c>
      <x:c r="S6" s="16" t="n">
        <x:f>SUMIFS('Budget'!$D$6:$D$113,'Budget'!$B$6:$B$113,A6)</x:f>
        <x:v>74000</x:v>
      </x:c>
      <x:c r="T6" s="15" t="n">
        <x:f>IF(B6="Income",P6-S6,S6-P6)</x:f>
        <x:v>-4400</x:v>
      </x:c>
    </x:row>
    <x:row r="7" ht="23" customHeight="1">
      <x:c r="A7" s="1" t="str">
        <x:v>Services</x:v>
      </x:c>
      <x:c r="B7" s="1" t="str">
        <x:v>Income</x:v>
      </x:c>
      <x:c r="C7" s="16" t="n">
        <x:f>SUMIFS('Actual'!$G$6:$G$60,'Actual'!$D$6:$D$60,$A7,'Actual'!$C$6:$C$60,1)</x:f>
        <x:v>2500</x:v>
      </x:c>
      <x:c r="D7" s="16" t="n">
        <x:f>SUMIFS('Actual'!$G$6:$G$60,'Actual'!$D$6:$D$60,$A7,'Actual'!$C$6:$C$60,2)</x:f>
        <x:v>2500</x:v>
      </x:c>
      <x:c r="E7" s="16" t="n">
        <x:f>SUMIFS('Actual'!$G$6:$G$60,'Actual'!$D$6:$D$60,$A7,'Actual'!$C$6:$C$60,3)</x:f>
        <x:v>5000</x:v>
      </x:c>
      <x:c r="F7" s="16" t="n">
        <x:f>SUMIFS('Actual'!$G$6:$G$60,'Actual'!$D$6:$D$60,$A7,'Actual'!$C$6:$C$60,4)</x:f>
        <x:v>2500</x:v>
      </x:c>
      <x:c r="G7" s="16" t="n">
        <x:f>SUMIFS('Actual'!$G$6:$G$60,'Actual'!$D$6:$D$60,$A7,'Actual'!$C$6:$C$60,5)</x:f>
        <x:v>4000</x:v>
      </x:c>
      <x:c r="H7" s="16" t="n">
        <x:f>SUMIFS('Budget'!$D$6:$D$113,'Budget'!$B$6:$B$113,$A7,'Budget'!$A$6:$A$113,6)</x:f>
        <x:v>3000</x:v>
      </x:c>
      <x:c r="I7" s="16" t="n">
        <x:f>SUMIFS('Budget'!$D$6:$D$113,'Budget'!$B$6:$B$113,$A7,'Budget'!$A$6:$A$113,7)</x:f>
        <x:v>3500</x:v>
      </x:c>
      <x:c r="J7" s="16" t="n">
        <x:f>SUMIFS('Budget'!$D$6:$D$113,'Budget'!$B$6:$B$113,$A7,'Budget'!$A$6:$A$113,8)</x:f>
        <x:v>3000</x:v>
      </x:c>
      <x:c r="K7" s="16" t="n">
        <x:f>SUMIFS('Budget'!$D$6:$D$113,'Budget'!$B$6:$B$113,$A7,'Budget'!$A$6:$A$113,9)</x:f>
        <x:v>3000</x:v>
      </x:c>
      <x:c r="L7" s="16" t="n">
        <x:f>SUMIFS('Budget'!$D$6:$D$113,'Budget'!$B$6:$B$113,$A7,'Budget'!$A$6:$A$113,10)</x:f>
        <x:v>3000</x:v>
      </x:c>
      <x:c r="M7" s="16" t="n">
        <x:f>SUMIFS('Budget'!$D$6:$D$113,'Budget'!$B$6:$B$113,$A7,'Budget'!$A$6:$A$113,11)</x:f>
        <x:v>3500</x:v>
      </x:c>
      <x:c r="N7" s="16" t="n">
        <x:f>SUMIFS('Budget'!$D$6:$D$113,'Budget'!$B$6:$B$113,$A7,'Budget'!$A$6:$A$113,12)</x:f>
        <x:v>3500</x:v>
      </x:c>
      <x:c r="O7" s="1"/>
      <x:c r="P7" s="15" t="n">
        <x:f>SUM(C7:N7)</x:f>
        <x:v>39000</x:v>
      </x:c>
      <x:c r="Q7" s="15" t="n">
        <x:f>SUM(C7:G7)</x:f>
        <x:v>16500</x:v>
      </x:c>
      <x:c r="R7" s="15" t="n">
        <x:f>SUM(H7:N7)</x:f>
        <x:v>22500</x:v>
      </x:c>
      <x:c r="S7" s="16" t="n">
        <x:f>SUMIFS('Budget'!$D$6:$D$113,'Budget'!$B$6:$B$113,A7)</x:f>
        <x:v>37800</x:v>
      </x:c>
      <x:c r="T7" s="15" t="n">
        <x:f>IF(B7="Income",P7-S7,S7-P7)</x:f>
        <x:v>1200</x:v>
      </x:c>
    </x:row>
    <x:row r="8" ht="23" customHeight="1">
      <x:c r="A8" s="1" t="str">
        <x:v>Other Income</x:v>
      </x:c>
      <x:c r="B8" s="1" t="str">
        <x:v>Income</x:v>
      </x:c>
      <x:c r="C8" s="16" t="n">
        <x:f>SUMIFS('Actual'!$G$6:$G$60,'Actual'!$D$6:$D$60,$A8,'Actual'!$C$6:$C$60,1)</x:f>
        <x:v>7500</x:v>
      </x:c>
      <x:c r="D8" s="16" t="n">
        <x:f>SUMIFS('Actual'!$G$6:$G$60,'Actual'!$D$6:$D$60,$A8,'Actual'!$C$6:$C$60,2)</x:f>
        <x:v>5000</x:v>
      </x:c>
      <x:c r="E8" s="16" t="n">
        <x:f>SUMIFS('Actual'!$G$6:$G$60,'Actual'!$D$6:$D$60,$A8,'Actual'!$C$6:$C$60,3)</x:f>
        <x:v>7000</x:v>
      </x:c>
      <x:c r="F8" s="16" t="n">
        <x:f>SUMIFS('Actual'!$G$6:$G$60,'Actual'!$D$6:$D$60,$A8,'Actual'!$C$6:$C$60,4)</x:f>
        <x:v>7000</x:v>
      </x:c>
      <x:c r="G8" s="16" t="n">
        <x:f>SUMIFS('Actual'!$G$6:$G$60,'Actual'!$D$6:$D$60,$A8,'Actual'!$C$6:$C$60,5)</x:f>
        <x:v>8800</x:v>
      </x:c>
      <x:c r="H8" s="16" t="n">
        <x:f>SUMIFS('Budget'!$D$6:$D$113,'Budget'!$B$6:$B$113,$A8,'Budget'!$A$6:$A$113,6)</x:f>
        <x:v>8000</x:v>
      </x:c>
      <x:c r="I8" s="16" t="n">
        <x:f>SUMIFS('Budget'!$D$6:$D$113,'Budget'!$B$6:$B$113,$A8,'Budget'!$A$6:$A$113,7)</x:f>
        <x:v>12000</x:v>
      </x:c>
      <x:c r="J8" s="16" t="n">
        <x:f>SUMIFS('Budget'!$D$6:$D$113,'Budget'!$B$6:$B$113,$A8,'Budget'!$A$6:$A$113,8)</x:f>
        <x:v>8000</x:v>
      </x:c>
      <x:c r="K8" s="16" t="n">
        <x:f>SUMIFS('Budget'!$D$6:$D$113,'Budget'!$B$6:$B$113,$A8,'Budget'!$A$6:$A$113,9)</x:f>
        <x:v>8000</x:v>
      </x:c>
      <x:c r="L8" s="16" t="n">
        <x:f>SUMIFS('Budget'!$D$6:$D$113,'Budget'!$B$6:$B$113,$A8,'Budget'!$A$6:$A$113,10)</x:f>
        <x:v>8000</x:v>
      </x:c>
      <x:c r="M8" s="16" t="n">
        <x:f>SUMIFS('Budget'!$D$6:$D$113,'Budget'!$B$6:$B$113,$A8,'Budget'!$A$6:$A$113,11)</x:f>
        <x:v>12000</x:v>
      </x:c>
      <x:c r="N8" s="16" t="n">
        <x:f>SUMIFS('Budget'!$D$6:$D$113,'Budget'!$B$6:$B$113,$A8,'Budget'!$A$6:$A$113,12)</x:f>
        <x:v>12000</x:v>
      </x:c>
      <x:c r="O8" s="1"/>
      <x:c r="P8" s="15" t="n">
        <x:f>SUM(C8:N8)</x:f>
        <x:v>103300</x:v>
      </x:c>
      <x:c r="Q8" s="15" t="n">
        <x:f>SUM(C8:G8)</x:f>
        <x:v>35300</x:v>
      </x:c>
      <x:c r="R8" s="15" t="n">
        <x:f>SUM(H8:N8)</x:f>
        <x:v>68000</x:v>
      </x:c>
      <x:c r="S8" s="16" t="n">
        <x:f>SUMIFS('Budget'!$D$6:$D$113,'Budget'!$B$6:$B$113,A8)</x:f>
        <x:v>108000</x:v>
      </x:c>
      <x:c r="T8" s="15" t="n">
        <x:f>IF(B8="Income",P8-S8,S8-P8)</x:f>
        <x:v>-4700</x:v>
      </x:c>
    </x:row>
    <x:row r="9" ht="23" customHeight="1">
      <x:c r="A9" s="1" t="str">
        <x:v>Rent</x:v>
      </x:c>
      <x:c r="B9" s="1" t="str">
        <x:v>Expense</x:v>
      </x:c>
      <x:c r="C9" s="16" t="n">
        <x:f>SUMIFS('Actual'!$G$6:$G$60,'Actual'!$D$6:$D$60,$A9,'Actual'!$C$6:$C$60,1)</x:f>
        <x:v>7000</x:v>
      </x:c>
      <x:c r="D9" s="16" t="n">
        <x:f>SUMIFS('Actual'!$G$6:$G$60,'Actual'!$D$6:$D$60,$A9,'Actual'!$C$6:$C$60,2)</x:f>
        <x:v>7000</x:v>
      </x:c>
      <x:c r="E9" s="16" t="n">
        <x:f>SUMIFS('Actual'!$G$6:$G$60,'Actual'!$D$6:$D$60,$A9,'Actual'!$C$6:$C$60,3)</x:f>
        <x:v>7000</x:v>
      </x:c>
      <x:c r="F9" s="16" t="n">
        <x:f>SUMIFS('Actual'!$G$6:$G$60,'Actual'!$D$6:$D$60,$A9,'Actual'!$C$6:$C$60,4)</x:f>
        <x:v>7000</x:v>
      </x:c>
      <x:c r="G9" s="16" t="n">
        <x:f>SUMIFS('Actual'!$G$6:$G$60,'Actual'!$D$6:$D$60,$A9,'Actual'!$C$6:$C$60,5)</x:f>
        <x:v>7000</x:v>
      </x:c>
      <x:c r="H9" s="16" t="n">
        <x:f>SUMIFS('Budget'!$D$6:$D$113,'Budget'!$B$6:$B$113,$A9,'Budget'!$A$6:$A$113,6)</x:f>
        <x:v>7000</x:v>
      </x:c>
      <x:c r="I9" s="16" t="n">
        <x:f>SUMIFS('Budget'!$D$6:$D$113,'Budget'!$B$6:$B$113,$A9,'Budget'!$A$6:$A$113,7)</x:f>
        <x:v>7000</x:v>
      </x:c>
      <x:c r="J9" s="16" t="n">
        <x:f>SUMIFS('Budget'!$D$6:$D$113,'Budget'!$B$6:$B$113,$A9,'Budget'!$A$6:$A$113,8)</x:f>
        <x:v>7000</x:v>
      </x:c>
      <x:c r="K9" s="16" t="n">
        <x:f>SUMIFS('Budget'!$D$6:$D$113,'Budget'!$B$6:$B$113,$A9,'Budget'!$A$6:$A$113,9)</x:f>
        <x:v>7000</x:v>
      </x:c>
      <x:c r="L9" s="16" t="n">
        <x:f>SUMIFS('Budget'!$D$6:$D$113,'Budget'!$B$6:$B$113,$A9,'Budget'!$A$6:$A$113,10)</x:f>
        <x:v>7000</x:v>
      </x:c>
      <x:c r="M9" s="16" t="n">
        <x:f>SUMIFS('Budget'!$D$6:$D$113,'Budget'!$B$6:$B$113,$A9,'Budget'!$A$6:$A$113,11)</x:f>
        <x:v>7000</x:v>
      </x:c>
      <x:c r="N9" s="16" t="n">
        <x:f>SUMIFS('Budget'!$D$6:$D$113,'Budget'!$B$6:$B$113,$A9,'Budget'!$A$6:$A$113,12)</x:f>
        <x:v>7000</x:v>
      </x:c>
      <x:c r="O9" s="1"/>
      <x:c r="P9" s="15" t="n">
        <x:f>SUM(C9:N9)</x:f>
        <x:v>84000</x:v>
      </x:c>
      <x:c r="Q9" s="15" t="n">
        <x:f>SUM(C9:G9)</x:f>
        <x:v>35000</x:v>
      </x:c>
      <x:c r="R9" s="15" t="n">
        <x:f>SUM(H9:N9)</x:f>
        <x:v>49000</x:v>
      </x:c>
      <x:c r="S9" s="16" t="n">
        <x:f>SUMIFS('Budget'!$D$6:$D$113,'Budget'!$B$6:$B$113,A9)</x:f>
        <x:v>84000</x:v>
      </x:c>
      <x:c r="T9" s="15" t="n">
        <x:f>IF(B9="Income",P9-S9,S9-P9)</x:f>
        <x:v>0</x:v>
      </x:c>
    </x:row>
    <x:row r="10" ht="23" customHeight="1">
      <x:c r="A10" s="1" t="str">
        <x:v>Utilities</x:v>
      </x:c>
      <x:c r="B10" s="1" t="str">
        <x:v>Expense</x:v>
      </x:c>
      <x:c r="C10" s="16" t="n">
        <x:f>SUMIFS('Actual'!$G$6:$G$60,'Actual'!$D$6:$D$60,$A10,'Actual'!$C$6:$C$60,1)</x:f>
        <x:v>4800</x:v>
      </x:c>
      <x:c r="D10" s="16" t="n">
        <x:f>SUMIFS('Actual'!$G$6:$G$60,'Actual'!$D$6:$D$60,$A10,'Actual'!$C$6:$C$60,2)</x:f>
        <x:v>4500</x:v>
      </x:c>
      <x:c r="E10" s="16" t="n">
        <x:f>SUMIFS('Actual'!$G$6:$G$60,'Actual'!$D$6:$D$60,$A10,'Actual'!$C$6:$C$60,3)</x:f>
        <x:v>4300</x:v>
      </x:c>
      <x:c r="F10" s="16" t="n">
        <x:f>SUMIFS('Actual'!$G$6:$G$60,'Actual'!$D$6:$D$60,$A10,'Actual'!$C$6:$C$60,4)</x:f>
        <x:v>4450</x:v>
      </x:c>
      <x:c r="G10" s="16" t="n">
        <x:f>SUMIFS('Actual'!$G$6:$G$60,'Actual'!$D$6:$D$60,$A10,'Actual'!$C$6:$C$60,5)</x:f>
        <x:v>3969</x:v>
      </x:c>
      <x:c r="H10" s="15" t="n">
        <x:f>$C$24</x:f>
        <x:v>4239.666666666667</x:v>
      </x:c>
      <x:c r="I10" s="15" t="n">
        <x:f>$C$24</x:f>
        <x:v>4239.666666666667</x:v>
      </x:c>
      <x:c r="J10" s="15" t="n">
        <x:f>$C$24</x:f>
        <x:v>4239.666666666667</x:v>
      </x:c>
      <x:c r="K10" s="15" t="n">
        <x:f>$C$24</x:f>
        <x:v>4239.666666666667</x:v>
      </x:c>
      <x:c r="L10" s="15" t="n">
        <x:f>$C$24</x:f>
        <x:v>4239.666666666667</x:v>
      </x:c>
      <x:c r="M10" s="15" t="n">
        <x:f>$C$24</x:f>
        <x:v>4239.666666666667</x:v>
      </x:c>
      <x:c r="N10" s="15" t="n">
        <x:f>$C$24</x:f>
        <x:v>4239.666666666667</x:v>
      </x:c>
      <x:c r="O10" s="1"/>
      <x:c r="P10" s="15" t="n">
        <x:f>SUM(C10:N10)</x:f>
        <x:v>51696.66666666666</x:v>
      </x:c>
      <x:c r="Q10" s="15" t="n">
        <x:f>SUM(C10:G10)</x:f>
        <x:v>22019</x:v>
      </x:c>
      <x:c r="R10" s="15" t="n">
        <x:f>SUM(H10:N10)</x:f>
        <x:v>29677.66666666667</x:v>
      </x:c>
      <x:c r="S10" s="16" t="n">
        <x:f>SUMIFS('Budget'!$D$6:$D$113,'Budget'!$B$6:$B$113,A10)</x:f>
        <x:v>48000</x:v>
      </x:c>
      <x:c r="T10" s="15" t="n">
        <x:f>IF(B10="Income",P10-S10,S10-P10)</x:f>
        <x:v>-3696.666666666657</x:v>
      </x:c>
    </x:row>
    <x:row r="11" ht="23" customHeight="1">
      <x:c r="A11" s="1" t="str">
        <x:v>Transport</x:v>
      </x:c>
      <x:c r="B11" s="1" t="str">
        <x:v>Expense</x:v>
      </x:c>
      <x:c r="C11" s="16" t="n">
        <x:f>SUMIFS('Actual'!$G$6:$G$60,'Actual'!$D$6:$D$60,$A11,'Actual'!$C$6:$C$60,1)</x:f>
        <x:v>2000</x:v>
      </x:c>
      <x:c r="D11" s="16" t="n">
        <x:f>SUMIFS('Actual'!$G$6:$G$60,'Actual'!$D$6:$D$60,$A11,'Actual'!$C$6:$C$60,2)</x:f>
        <x:v>2200</x:v>
      </x:c>
      <x:c r="E11" s="16" t="n">
        <x:f>SUMIFS('Actual'!$G$6:$G$60,'Actual'!$D$6:$D$60,$A11,'Actual'!$C$6:$C$60,3)</x:f>
        <x:v>2350</x:v>
      </x:c>
      <x:c r="F11" s="16" t="n">
        <x:f>SUMIFS('Actual'!$G$6:$G$60,'Actual'!$D$6:$D$60,$A11,'Actual'!$C$6:$C$60,4)</x:f>
        <x:v>2290</x:v>
      </x:c>
      <x:c r="G11" s="16" t="n">
        <x:f>SUMIFS('Actual'!$G$6:$G$60,'Actual'!$D$6:$D$60,$A11,'Actual'!$C$6:$C$60,5)</x:f>
        <x:v>2900</x:v>
      </x:c>
      <x:c r="H11" s="15" t="n">
        <x:f>$C$25</x:f>
        <x:v>2513.3333333333335</x:v>
      </x:c>
      <x:c r="I11" s="15" t="n">
        <x:f>$C$25</x:f>
        <x:v>2513.3333333333335</x:v>
      </x:c>
      <x:c r="J11" s="15" t="n">
        <x:f>$C$25</x:f>
        <x:v>2513.3333333333335</x:v>
      </x:c>
      <x:c r="K11" s="15" t="n">
        <x:f>$C$25</x:f>
        <x:v>2513.3333333333335</x:v>
      </x:c>
      <x:c r="L11" s="15" t="n">
        <x:f>$C$25</x:f>
        <x:v>2513.3333333333335</x:v>
      </x:c>
      <x:c r="M11" s="15" t="n">
        <x:f>$C$25</x:f>
        <x:v>2513.3333333333335</x:v>
      </x:c>
      <x:c r="N11" s="15" t="n">
        <x:f>$C$25</x:f>
        <x:v>2513.3333333333335</x:v>
      </x:c>
      <x:c r="O11" s="1"/>
      <x:c r="P11" s="15" t="n">
        <x:f>SUM(C11:N11)</x:f>
        <x:v>29333.33333333333</x:v>
      </x:c>
      <x:c r="Q11" s="15" t="n">
        <x:f>SUM(C11:G11)</x:f>
        <x:v>11740</x:v>
      </x:c>
      <x:c r="R11" s="15" t="n">
        <x:f>SUM(H11:N11)</x:f>
        <x:v>17593.333333333336</x:v>
      </x:c>
      <x:c r="S11" s="16" t="n">
        <x:f>SUMIFS('Budget'!$D$6:$D$113,'Budget'!$B$6:$B$113,A11)</x:f>
        <x:v>24000</x:v>
      </x:c>
      <x:c r="T11" s="15" t="n">
        <x:f>IF(B11="Income",P11-S11,S11-P11)</x:f>
        <x:v>-5333.3333333333285</x:v>
      </x:c>
    </x:row>
    <x:row r="12" ht="23" customHeight="1">
      <x:c r="A12" s="1" t="str">
        <x:v>Marketing</x:v>
      </x:c>
      <x:c r="B12" s="1" t="str">
        <x:v>Expense</x:v>
      </x:c>
      <x:c r="C12" s="16" t="n">
        <x:f>SUMIFS('Actual'!$G$6:$G$60,'Actual'!$D$6:$D$60,$A12,'Actual'!$C$6:$C$60,1)</x:f>
        <x:v>2200</x:v>
      </x:c>
      <x:c r="D12" s="16" t="n">
        <x:f>SUMIFS('Actual'!$G$6:$G$60,'Actual'!$D$6:$D$60,$A12,'Actual'!$C$6:$C$60,2)</x:f>
        <x:v>2300</x:v>
      </x:c>
      <x:c r="E12" s="16" t="n">
        <x:f>SUMIFS('Actual'!$G$6:$G$60,'Actual'!$D$6:$D$60,$A12,'Actual'!$C$6:$C$60,3)</x:f>
        <x:v>2400</x:v>
      </x:c>
      <x:c r="F12" s="16" t="n">
        <x:f>SUMIFS('Actual'!$G$6:$G$60,'Actual'!$D$6:$D$60,$A12,'Actual'!$C$6:$C$60,4)</x:f>
        <x:v>2500</x:v>
      </x:c>
      <x:c r="G12" s="16" t="n">
        <x:f>SUMIFS('Actual'!$G$6:$G$60,'Actual'!$D$6:$D$60,$A12,'Actual'!$C$6:$C$60,5)</x:f>
        <x:v>2500</x:v>
      </x:c>
      <x:c r="H12" s="16" t="n">
        <x:f>SUMIFS('Budget'!$D$6:$D$113,'Budget'!$B$6:$B$113,$A12,'Budget'!$A$6:$A$113,6)</x:f>
        <x:v>2500</x:v>
      </x:c>
      <x:c r="I12" s="16" t="n">
        <x:f>SUMIFS('Budget'!$D$6:$D$113,'Budget'!$B$6:$B$113,$A12,'Budget'!$A$6:$A$113,7)</x:f>
        <x:v>2500</x:v>
      </x:c>
      <x:c r="J12" s="16" t="n">
        <x:f>SUMIFS('Budget'!$D$6:$D$113,'Budget'!$B$6:$B$113,$A12,'Budget'!$A$6:$A$113,8)</x:f>
        <x:v>2500</x:v>
      </x:c>
      <x:c r="K12" s="16" t="n">
        <x:f>SUMIFS('Budget'!$D$6:$D$113,'Budget'!$B$6:$B$113,$A12,'Budget'!$A$6:$A$113,9)</x:f>
        <x:v>2500</x:v>
      </x:c>
      <x:c r="L12" s="16" t="n">
        <x:f>SUMIFS('Budget'!$D$6:$D$113,'Budget'!$B$6:$B$113,$A12,'Budget'!$A$6:$A$113,10)</x:f>
        <x:v>2500</x:v>
      </x:c>
      <x:c r="M12" s="16" t="n">
        <x:f>SUMIFS('Budget'!$D$6:$D$113,'Budget'!$B$6:$B$113,$A12,'Budget'!$A$6:$A$113,11)</x:f>
        <x:v>2500</x:v>
      </x:c>
      <x:c r="N12" s="16" t="n">
        <x:f>SUMIFS('Budget'!$D$6:$D$113,'Budget'!$B$6:$B$113,$A12,'Budget'!$A$6:$A$113,12)</x:f>
        <x:v>2500</x:v>
      </x:c>
      <x:c r="O12" s="1"/>
      <x:c r="P12" s="15" t="n">
        <x:f>SUM(C12:N12)</x:f>
        <x:v>29400</x:v>
      </x:c>
      <x:c r="Q12" s="15" t="n">
        <x:f>SUM(C12:G12)</x:f>
        <x:v>11900</x:v>
      </x:c>
      <x:c r="R12" s="15" t="n">
        <x:f>SUM(H12:N12)</x:f>
        <x:v>17500</x:v>
      </x:c>
      <x:c r="S12" s="16" t="n">
        <x:f>SUMIFS('Budget'!$D$6:$D$113,'Budget'!$B$6:$B$113,A12)</x:f>
        <x:v>30000</x:v>
      </x:c>
      <x:c r="T12" s="15" t="n">
        <x:f>IF(B12="Income",P12-S12,S12-P12)</x:f>
        <x:v>600</x:v>
      </x:c>
    </x:row>
    <x:row r="13" ht="23" customHeight="1">
      <x:c r="A13" s="1" t="str">
        <x:v>Business Insurance</x:v>
      </x:c>
      <x:c r="B13" s="1" t="str">
        <x:v>Expense</x:v>
      </x:c>
      <x:c r="C13" s="16" t="n">
        <x:f>SUMIFS('Actual'!$G$6:$G$60,'Actual'!$D$6:$D$60,$A13,'Actual'!$C$6:$C$60,1)</x:f>
        <x:v>1000</x:v>
      </x:c>
      <x:c r="D13" s="16" t="n">
        <x:f>SUMIFS('Actual'!$G$6:$G$60,'Actual'!$D$6:$D$60,$A13,'Actual'!$C$6:$C$60,2)</x:f>
        <x:v>1095</x:v>
      </x:c>
      <x:c r="E13" s="16" t="n">
        <x:f>SUMIFS('Actual'!$G$6:$G$60,'Actual'!$D$6:$D$60,$A13,'Actual'!$C$6:$C$60,3)</x:f>
        <x:v>1050</x:v>
      </x:c>
      <x:c r="F13" s="16" t="n">
        <x:f>SUMIFS('Actual'!$G$6:$G$60,'Actual'!$D$6:$D$60,$A13,'Actual'!$C$6:$C$60,4)</x:f>
        <x:v>1000</x:v>
      </x:c>
      <x:c r="G13" s="16" t="n">
        <x:f>SUMIFS('Actual'!$G$6:$G$60,'Actual'!$D$6:$D$60,$A13,'Actual'!$C$6:$C$60,5)</x:f>
        <x:v>1000</x:v>
      </x:c>
      <x:c r="H13" s="16" t="n">
        <x:f>SUMIFS('Budget'!$D$6:$D$113,'Budget'!$B$6:$B$113,$A13,'Budget'!$A$6:$A$113,6)</x:f>
        <x:v>1000</x:v>
      </x:c>
      <x:c r="I13" s="16" t="n">
        <x:f>SUMIFS('Budget'!$D$6:$D$113,'Budget'!$B$6:$B$113,$A13,'Budget'!$A$6:$A$113,7)</x:f>
        <x:v>1000</x:v>
      </x:c>
      <x:c r="J13" s="16" t="n">
        <x:f>SUMIFS('Budget'!$D$6:$D$113,'Budget'!$B$6:$B$113,$A13,'Budget'!$A$6:$A$113,8)</x:f>
        <x:v>1000</x:v>
      </x:c>
      <x:c r="K13" s="16" t="n">
        <x:f>SUMIFS('Budget'!$D$6:$D$113,'Budget'!$B$6:$B$113,$A13,'Budget'!$A$6:$A$113,9)</x:f>
        <x:v>1000</x:v>
      </x:c>
      <x:c r="L13" s="16" t="n">
        <x:f>SUMIFS('Budget'!$D$6:$D$113,'Budget'!$B$6:$B$113,$A13,'Budget'!$A$6:$A$113,10)</x:f>
        <x:v>1000</x:v>
      </x:c>
      <x:c r="M13" s="16" t="n">
        <x:f>SUMIFS('Budget'!$D$6:$D$113,'Budget'!$B$6:$B$113,$A13,'Budget'!$A$6:$A$113,11)</x:f>
        <x:v>1000</x:v>
      </x:c>
      <x:c r="N13" s="16" t="n">
        <x:f>SUMIFS('Budget'!$D$6:$D$113,'Budget'!$B$6:$B$113,$A13,'Budget'!$A$6:$A$113,12)</x:f>
        <x:v>1000</x:v>
      </x:c>
      <x:c r="O13" s="1"/>
      <x:c r="P13" s="15" t="n">
        <x:f>SUM(C13:N13)</x:f>
        <x:v>12145</x:v>
      </x:c>
      <x:c r="Q13" s="15" t="n">
        <x:f>SUM(C13:G13)</x:f>
        <x:v>5145</x:v>
      </x:c>
      <x:c r="R13" s="15" t="n">
        <x:f>SUM(H13:N13)</x:f>
        <x:v>7000</x:v>
      </x:c>
      <x:c r="S13" s="16" t="n">
        <x:f>SUMIFS('Budget'!$D$6:$D$113,'Budget'!$B$6:$B$113,A13)</x:f>
        <x:v>12000</x:v>
      </x:c>
      <x:c r="T13" s="15" t="n">
        <x:f>IF(B13="Income",P13-S13,S13-P13)</x:f>
        <x:v>-145</x:v>
      </x:c>
    </x:row>
    <x:row r="14" ht="23" customHeight="1">
      <x:c r="A14" s="1" t="str">
        <x:v>Other Expenses</x:v>
      </x:c>
      <x:c r="B14" s="1" t="str">
        <x:v>Expense</x:v>
      </x:c>
      <x:c r="C14" s="16" t="n">
        <x:f>SUMIFS('Actual'!$G$6:$G$60,'Actual'!$D$6:$D$60,$A14,'Actual'!$C$6:$C$60,1)</x:f>
        <x:v>3000</x:v>
      </x:c>
      <x:c r="D14" s="16" t="n">
        <x:f>SUMIFS('Actual'!$G$6:$G$60,'Actual'!$D$6:$D$60,$A14,'Actual'!$C$6:$C$60,2)</x:f>
        <x:v>560</x:v>
      </x:c>
      <x:c r="E14" s="16" t="n">
        <x:f>SUMIFS('Actual'!$G$6:$G$60,'Actual'!$D$6:$D$60,$A14,'Actual'!$C$6:$C$60,3)</x:f>
        <x:v>1200</x:v>
      </x:c>
      <x:c r="F14" s="16" t="n">
        <x:f>SUMIFS('Actual'!$G$6:$G$60,'Actual'!$D$6:$D$60,$A14,'Actual'!$C$6:$C$60,4)</x:f>
        <x:v>1450</x:v>
      </x:c>
      <x:c r="G14" s="16" t="n">
        <x:f>SUMIFS('Actual'!$G$6:$G$60,'Actual'!$D$6:$D$60,$A14,'Actual'!$C$6:$C$60,5)</x:f>
        <x:v>1320</x:v>
      </x:c>
      <x:c r="H14" s="15" t="n">
        <x:f>$C$26</x:f>
        <x:v>1323.3333333333333</x:v>
      </x:c>
      <x:c r="I14" s="15" t="n">
        <x:f>$C$26</x:f>
        <x:v>1323.3333333333333</x:v>
      </x:c>
      <x:c r="J14" s="15" t="n">
        <x:f>$C$26</x:f>
        <x:v>1323.3333333333333</x:v>
      </x:c>
      <x:c r="K14" s="15" t="n">
        <x:f>$C$26</x:f>
        <x:v>1323.3333333333333</x:v>
      </x:c>
      <x:c r="L14" s="15" t="n">
        <x:f>$C$26</x:f>
        <x:v>1323.3333333333333</x:v>
      </x:c>
      <x:c r="M14" s="15" t="n">
        <x:f>$C$26</x:f>
        <x:v>1323.3333333333333</x:v>
      </x:c>
      <x:c r="N14" s="15" t="n">
        <x:f>$C$26</x:f>
        <x:v>1323.3333333333333</x:v>
      </x:c>
      <x:c r="O14" s="1"/>
      <x:c r="P14" s="15" t="n">
        <x:f>SUM(C14:N14)</x:f>
        <x:v>16793.333333333336</x:v>
      </x:c>
      <x:c r="Q14" s="15" t="n">
        <x:f>SUM(C14:G14)</x:f>
        <x:v>7530</x:v>
      </x:c>
      <x:c r="R14" s="15" t="n">
        <x:f>SUM(H14:N14)</x:f>
        <x:v>9263.333333333332</x:v>
      </x:c>
      <x:c r="S14" s="16" t="n">
        <x:f>SUMIFS('Budget'!$D$6:$D$113,'Budget'!$B$6:$B$113,A14)</x:f>
        <x:v>36000</x:v>
      </x:c>
      <x:c r="T14" s="15" t="n">
        <x:f>IF(B14="Income",P14-S14,S14-P14)</x:f>
        <x:v>19206.666666666664</x:v>
      </x:c>
    </x:row>
    <x:row r="15" ht="23" customHeight="1">
      <x:c r="A15" s="1"/>
      <x:c r="B15" s="1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1"/>
      <x:c r="P15" s="7"/>
      <x:c r="Q15" s="7"/>
      <x:c r="R15" s="7"/>
      <x:c r="S15" s="7"/>
      <x:c r="T15" s="7"/>
    </x:row>
    <x:row r="16" ht="23" customHeight="1">
      <x:c r="A16" s="22" t="str">
        <x:v>Income</x:v>
      </x:c>
      <x:c r="B16" s="22"/>
      <x:c r="C16" s="23" t="n">
        <x:f>SUM(C6:C8)</x:f>
        <x:v>15000</x:v>
      </x:c>
      <x:c r="D16" s="23" t="n">
        <x:f>SUM(D6:D8)</x:f>
        <x:v>10500</x:v>
      </x:c>
      <x:c r="E16" s="23" t="n">
        <x:f>SUM(E6:E8)</x:f>
        <x:v>20000</x:v>
      </x:c>
      <x:c r="F16" s="23" t="n">
        <x:f>SUM(F6:F8)</x:f>
        <x:v>16100</x:v>
      </x:c>
      <x:c r="G16" s="23" t="n">
        <x:f>SUM(G6:G8)</x:f>
        <x:v>15800</x:v>
      </x:c>
      <x:c r="H16" s="23" t="n">
        <x:f>SUM(H6:H8)</x:f>
        <x:v>17000</x:v>
      </x:c>
      <x:c r="I16" s="23" t="n">
        <x:f>SUM(I6:I8)</x:f>
        <x:v>21500</x:v>
      </x:c>
      <x:c r="J16" s="23" t="n">
        <x:f>SUM(J6:J8)</x:f>
        <x:v>17000</x:v>
      </x:c>
      <x:c r="K16" s="23" t="n">
        <x:f>SUM(K6:K8)</x:f>
        <x:v>17000</x:v>
      </x:c>
      <x:c r="L16" s="23" t="n">
        <x:f>SUM(L6:L8)</x:f>
        <x:v>17000</x:v>
      </x:c>
      <x:c r="M16" s="23" t="n">
        <x:f>SUM(M6:M8)</x:f>
        <x:v>22500</x:v>
      </x:c>
      <x:c r="N16" s="23" t="n">
        <x:f>SUM(N6:N8)</x:f>
        <x:v>22500</x:v>
      </x:c>
      <x:c r="O16" s="22"/>
      <x:c r="P16" s="23" t="n">
        <x:f>SUM(P6:P8)</x:f>
        <x:v>211900</x:v>
      </x:c>
      <x:c r="Q16" s="23" t="n">
        <x:f>SUM(Q6:Q8)</x:f>
        <x:v>77400</x:v>
      </x:c>
      <x:c r="R16" s="23" t="n">
        <x:f>SUM(R6:R8)</x:f>
        <x:v>134500</x:v>
      </x:c>
      <x:c r="S16" s="23" t="n">
        <x:f>SUM(S6:S8)</x:f>
        <x:v>219800</x:v>
      </x:c>
      <x:c r="T16" s="23" t="n">
        <x:f>SUM(T6:T8)</x:f>
        <x:v>-7900</x:v>
      </x:c>
    </x:row>
    <x:row r="17" ht="23" customHeight="1">
      <x:c r="A17" s="22" t="str">
        <x:v>Expenses</x:v>
      </x:c>
      <x:c r="B17" s="22"/>
      <x:c r="C17" s="23" t="n">
        <x:f>SUM(C9:C14)</x:f>
        <x:v>20000</x:v>
      </x:c>
      <x:c r="D17" s="23" t="n">
        <x:f>SUM(D9:D14)</x:f>
        <x:v>17655</x:v>
      </x:c>
      <x:c r="E17" s="23" t="n">
        <x:f>SUM(E9:E14)</x:f>
        <x:v>18300</x:v>
      </x:c>
      <x:c r="F17" s="23" t="n">
        <x:f>SUM(F9:F14)</x:f>
        <x:v>18690</x:v>
      </x:c>
      <x:c r="G17" s="23" t="n">
        <x:f>SUM(G9:G14)</x:f>
        <x:v>18689</x:v>
      </x:c>
      <x:c r="H17" s="23" t="n">
        <x:f>SUM(H9:H14)</x:f>
        <x:v>18576.333333333332</x:v>
      </x:c>
      <x:c r="I17" s="23" t="n">
        <x:f>SUM(I9:I14)</x:f>
        <x:v>18576.333333333332</x:v>
      </x:c>
      <x:c r="J17" s="23" t="n">
        <x:f>SUM(J9:J14)</x:f>
        <x:v>18576.333333333332</x:v>
      </x:c>
      <x:c r="K17" s="23" t="n">
        <x:f>SUM(K9:K14)</x:f>
        <x:v>18576.333333333332</x:v>
      </x:c>
      <x:c r="L17" s="23" t="n">
        <x:f>SUM(L9:L14)</x:f>
        <x:v>18576.333333333332</x:v>
      </x:c>
      <x:c r="M17" s="23" t="n">
        <x:f>SUM(M9:M14)</x:f>
        <x:v>18576.333333333332</x:v>
      </x:c>
      <x:c r="N17" s="23" t="n">
        <x:f>SUM(N9:N14)</x:f>
        <x:v>18576.333333333332</x:v>
      </x:c>
      <x:c r="O17" s="22"/>
      <x:c r="P17" s="23" t="n">
        <x:f>SUM(P9:P14)</x:f>
        <x:v>223368.33333333334</x:v>
      </x:c>
      <x:c r="Q17" s="23" t="n">
        <x:f>SUM(Q9:Q14)</x:f>
        <x:v>93334</x:v>
      </x:c>
      <x:c r="R17" s="23" t="n">
        <x:f>SUM(R9:R14)</x:f>
        <x:v>130034.33333333333</x:v>
      </x:c>
      <x:c r="S17" s="23" t="n">
        <x:f>SUM(S9:S14)</x:f>
        <x:v>234000</x:v>
      </x:c>
      <x:c r="T17" s="23" t="n">
        <x:f>SUM(T9:T14)</x:f>
        <x:v>10631.666666666679</x:v>
      </x:c>
    </x:row>
    <x:row r="18" ht="23" customHeight="1">
      <x:c r="A18" s="22" t="str">
        <x:v>Income less expenses</x:v>
      </x:c>
      <x:c r="B18" s="22"/>
      <x:c r="C18" s="23" t="n">
        <x:f>C16-C17</x:f>
        <x:v>-5000</x:v>
      </x:c>
      <x:c r="D18" s="23" t="n">
        <x:f>D16-D17</x:f>
        <x:v>-7155</x:v>
      </x:c>
      <x:c r="E18" s="23" t="n">
        <x:f>E16-E17</x:f>
        <x:v>1700</x:v>
      </x:c>
      <x:c r="F18" s="23" t="n">
        <x:f>F16-F17</x:f>
        <x:v>-2590</x:v>
      </x:c>
      <x:c r="G18" s="23" t="n">
        <x:f>G16-G17</x:f>
        <x:v>-2889</x:v>
      </x:c>
      <x:c r="H18" s="23" t="n">
        <x:f>H16-H17</x:f>
        <x:v>-1576.3333333333321</x:v>
      </x:c>
      <x:c r="I18" s="23" t="n">
        <x:f>I16-I17</x:f>
        <x:v>2923.666666666668</x:v>
      </x:c>
      <x:c r="J18" s="23" t="n">
        <x:f>J16-J17</x:f>
        <x:v>-1576.3333333333321</x:v>
      </x:c>
      <x:c r="K18" s="23" t="n">
        <x:f>K16-K17</x:f>
        <x:v>-1576.3333333333321</x:v>
      </x:c>
      <x:c r="L18" s="23" t="n">
        <x:f>L16-L17</x:f>
        <x:v>-1576.3333333333321</x:v>
      </x:c>
      <x:c r="M18" s="23" t="n">
        <x:f>M16-M17</x:f>
        <x:v>3923.666666666668</x:v>
      </x:c>
      <x:c r="N18" s="23" t="n">
        <x:f>N16-N17</x:f>
        <x:v>3923.666666666668</x:v>
      </x:c>
      <x:c r="O18" s="22"/>
      <x:c r="P18" s="23" t="n">
        <x:f>P16-P17</x:f>
        <x:v>-11468.333333333343</x:v>
      </x:c>
      <x:c r="Q18" s="23" t="n">
        <x:f>Q16-Q17</x:f>
        <x:v>-15934</x:v>
      </x:c>
      <x:c r="R18" s="23" t="n">
        <x:f>R16-R17</x:f>
        <x:v>4465.6666666666715</x:v>
      </x:c>
      <x:c r="S18" s="23" t="n">
        <x:f>S16-S17</x:f>
        <x:v>-14200</x:v>
      </x:c>
      <x:c r="T18" s="23" t="n">
        <x:f>SUM(T6:T14)</x:f>
        <x:v>2731.666666666679</x:v>
      </x:c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str">
        <x:v>Forecast policy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3" t="str">
        <x:v>Income, rent, marketing, insurance: remaining original budget.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3" t="str">
        <x:v>The following categories: Mar–May monthly average; no seasonality assumed.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str">
        <x:v>Utilities</x:v>
      </x:c>
      <x:c r="B24" s="1"/>
      <x:c r="C24" s="16" t="n">
        <x:f>SUMIFS('Actual'!$G$6:$G$60,'Actual'!$D$6:$D$60,A24,'Actual'!$C$6:$C$60,"&gt;=3")/3</x:f>
        <x:v>4239.666666666667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str">
        <x:v>Transport</x:v>
      </x:c>
      <x:c r="B25" s="1"/>
      <x:c r="C25" s="16" t="n">
        <x:f>SUMIFS('Actual'!$G$6:$G$60,'Actual'!$D$6:$D$60,A25,'Actual'!$C$6:$C$60,"&gt;=3")/3</x:f>
        <x:v>2513.3333333333335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str">
        <x:v>Other Expenses</x:v>
      </x:c>
      <x:c r="B26" s="1"/>
      <x:c r="C26" s="16" t="n">
        <x:f>SUMIFS('Actual'!$G$6:$G$60,'Actual'!$D$6:$D$60,A26,'Actual'!$C$6:$C$60,"&gt;=3")/3</x:f>
        <x:v>1323.3333333333333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