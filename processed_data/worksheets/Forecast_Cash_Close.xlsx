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85c1ea4cc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5 Forecast" sheetId="1" r:id="R7341449b9b1f4b98"/>
    <x:sheet xmlns:r="http://schemas.openxmlformats.org/officeDocument/2006/relationships" name="F16 Cash" sheetId="2" r:id="Rfc6892ea71394310"/>
    <x:sheet xmlns:r="http://schemas.openxmlformats.org/officeDocument/2006/relationships" name="Assumptions" sheetId="3" r:id="R70cf9af5ceb349fa"/>
    <x:sheet xmlns:r="http://schemas.openxmlformats.org/officeDocument/2006/relationships" name="F17 Close" sheetId="4" r:id="R142a66c0b9a64c82"/>
    <x:sheet xmlns:r="http://schemas.openxmlformats.org/officeDocument/2006/relationships" name="Actuals" sheetId="5" r:id="R6a084d5bc83d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(#,##0);–"/>
    <x:numFmt numFmtId="201" formatCode="mmm-yy"/>
    <x:numFmt numFmtId="202" formatCode="#,##0.0"/>
    <x:numFmt numFmtId="203" formatCode="0"/>
    <x:numFmt numFmtId="204" formatCode="0.0%;(0.0%);–"/>
    <x:numFmt numFmtId="205" formatCode="#,##0.00"/>
    <x:numFmt numFmtId="206" formatCode="0.00"/>
  </x:numFmts>
  <x:fonts count="9">
    <x:font>
      <x:sz val="11"/>
      <x:name val="Carlito"/>
    </x:font>
    <x:font>
      <x:sz val="11"/>
      <x:color rgb="FF182E3E"/>
      <x:name val="Arial"/>
    </x:font>
    <x:font>
      <x:b/>
      <x:sz val="17"/>
      <x:color rgb="FF182E3E"/>
      <x:name val="Arial"/>
    </x:font>
    <x:font>
      <x:b/>
      <x:sz val="11"/>
      <x:color rgb="FFFFFFFF"/>
      <x:name val="Arial"/>
    </x:font>
    <x:font>
      <x:sz val="11"/>
      <x:color rgb="FF111111"/>
      <x:name val="Arial"/>
    </x:font>
    <x:font>
      <x:sz val="11"/>
      <x:color rgb="FF0000FF"/>
      <x:name val="Arial"/>
    </x:font>
    <x:font>
      <x:b/>
      <x:sz val="11"/>
      <x:color rgb="FF182E3E"/>
      <x:name val="Arial"/>
    </x:font>
    <x:font>
      <x:b/>
      <x:sz val="11"/>
      <x:color rgb="FF111111"/>
      <x:name val="Arial"/>
    </x:font>
    <x:font>
      <x:sz val="11"/>
      <x:color rgb="FF24816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2E3E"/>
      </x:patternFill>
    </x:fill>
    <x:fill>
      <x:patternFill patternType="solid">
        <x:fgColor rgb="FFFFF0C5"/>
      </x:patternFill>
    </x:fill>
  </x:fills>
  <x:borders count="2">
    <x:border/>
    <x:border>
      <x:bottom style="thin">
        <x:color rgb="FF266FA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b/>
        <x:color rgb="FFC34F54"/>
      </x:font>
      <x:fill>
        <x:patternFill patternType="solid">
          <x:bgColor rgb="FFFFE6E6"/>
        </x:patternFill>
      </x:fill>
    </x:dxf>
    <x:dxf>
      <x:font>
        <x:color rgb="FFC34F54"/>
      </x:font>
    </x:dxf>
    <x:dxf>
      <x:font>
        <x:color rgb="FF24816A"/>
      </x:font>
    </x:dxf>
    <x:dxf>
      <x:font>
        <x:color rgb="FFC34F54"/>
      </x:font>
    </x:dxf>
    <x:dxf>
      <x:font>
        <x:color rgb="FF24816A"/>
      </x:font>
    </x:dxf>
    <x:dxf>
      <x:font>
        <x:color rgb="FFC34F54"/>
      </x:font>
    </x:dxf>
    <x:dxf>
      <x:font>
        <x:color rgb="FF24816A"/>
      </x:font>
    </x:dxf>
    <x:dxf>
      <x:font>
        <x:b/>
        <x:color rgb="FFC34F54"/>
      </x:font>
      <x:fill>
        <x:patternFill patternType="solid">
          <x:bgColor rgb="FFFFE6E6"/>
        </x:patternFill>
      </x:fill>
    </x:dxf>
    <x:dxf>
      <x:font>
        <x:b/>
        <x:color rgb="FFC34F54"/>
      </x:font>
      <x:fill>
        <x:patternFill patternType="solid">
          <x:bgColor rgb="FFFFE6E6"/>
        </x:patternFill>
      </x:fill>
    </x:dxf>
    <x:dxf>
      <x:font>
        <x:b/>
        <x:color rgb="FFC34F54"/>
      </x:font>
      <x:fill>
        <x:patternFill patternType="solid">
          <x:bgColor rgb="FFFFE6E6"/>
        </x:patternFill>
      </x:fill>
    </x:dxf>
    <x:dxf>
      <x:font>
        <x:b/>
        <x:color rgb="FFC34F54"/>
      </x:font>
      <x:fill>
        <x:patternFill patternType="solid">
          <x:bgColor rgb="FFFF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28d6aac3a43fa" /><Relationship Type="http://schemas.openxmlformats.org/officeDocument/2006/relationships/theme" Target="/xl/theme/theme1.xml" Id="Raf1b75124a3a4e64" /><Relationship Type="http://schemas.openxmlformats.org/officeDocument/2006/relationships/sharedStrings" Target="/xl/sharedStrings.xml" Id="Rcb961fcb57564e57" /><Relationship Type="http://schemas.openxmlformats.org/officeDocument/2006/relationships/worksheet" Target="/xl/worksheets/sheet1.xml" Id="R7341449b9b1f4b98" /><Relationship Type="http://schemas.openxmlformats.org/officeDocument/2006/relationships/worksheet" Target="/xl/worksheets/sheet2.xml" Id="Rfc6892ea71394310" /><Relationship Type="http://schemas.openxmlformats.org/officeDocument/2006/relationships/worksheet" Target="/xl/worksheets/sheet3.xml" Id="R70cf9af5ceb349fa" /><Relationship Type="http://schemas.openxmlformats.org/officeDocument/2006/relationships/worksheet" Target="/xl/worksheets/sheet4.xml" Id="R142a66c0b9a64c82" /><Relationship Type="http://schemas.openxmlformats.org/officeDocument/2006/relationships/worksheet" Target="/xl/worksheets/sheet5.xml" Id="R6a084d5bc83d4b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2E3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2"/>
      <x:c r="B2" s="2"/>
      <x:c r="C2" s="3" t="str">
        <x:v>F15. October close and Q4 reforecast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2"/>
      <x:c r="B4" s="2"/>
      <x:c r="C4" s="2" t="str">
        <x:v>Case selected</x:v>
      </x:c>
      <x:c r="D4" s="27" t="str">
        <x:f>'Assumptions'!D4</x:f>
        <x:v>Base</x:v>
      </x:c>
      <x:c r="E4" s="2"/>
      <x:c r="F4" s="2" t="str">
        <x:v>Oct actual; Nov–Dec forecast.</x:v>
      </x:c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2"/>
      <x:c r="B6" s="2"/>
      <x:c r="C6" s="8" t="str">
        <x:v>Metric</x:v>
      </x:c>
      <x:c r="D6" s="8" t="str">
        <x:v>Oct-14 Actual</x:v>
      </x:c>
      <x:c r="E6" s="8" t="str">
        <x:v>Nov-14 Forecast</x:v>
      </x:c>
      <x:c r="F6" s="8" t="str">
        <x:v>Dec-14 Forecast</x:v>
      </x:c>
      <x:c r="G6" s="8" t="str">
        <x:v>Q4 Outlook</x:v>
      </x:c>
      <x:c r="H6" s="2"/>
      <x:c r="I6" s="2"/>
      <x:c r="J6" s="2"/>
      <x:c r="K6" s="2"/>
      <x:c r="L6" s="2"/>
    </x:row>
    <x:row r="7" ht="25" customHeight="1">
      <x:c r="A7" s="2"/>
      <x:c r="B7" s="2"/>
      <x:c r="C7" s="2" t="str">
        <x:v>Units</x:v>
      </x:c>
      <x:c r="D7" s="29" t="n">
        <x:f>'Actuals'!D20</x:f>
        <x:v>105482</x:v>
      </x:c>
      <x:c r="E7" s="29" t="n">
        <x:f>$D$32*(1+'Assumptions'!D8)</x:f>
        <x:v>74489</x:v>
      </x:c>
      <x:c r="F7" s="29" t="n">
        <x:f>$D$32*(1+'Assumptions'!E8)</x:f>
        <x:v>74489</x:v>
      </x:c>
      <x:c r="G7" s="30" t="n">
        <x:f>SUM(D7:F7)</x:f>
        <x:v>254460</x:v>
      </x:c>
      <x:c r="H7" s="5"/>
      <x:c r="I7" s="5"/>
      <x:c r="J7" s="5"/>
      <x:c r="K7" s="5"/>
      <x:c r="L7" s="5"/>
    </x:row>
    <x:row r="8" ht="25" customHeight="1">
      <x:c r="A8" s="2"/>
      <x:c r="B8" s="2"/>
      <x:c r="C8" s="2" t="str">
        <x:v>Net realised price / unit</x:v>
      </x:c>
      <x:c r="D8" s="29" t="n">
        <x:f>'Actuals'!G20/D7</x:f>
        <x:v>117.32636772150698</x:v>
      </x:c>
      <x:c r="E8" s="29" t="n">
        <x:f>$D$33*(1+'Assumptions'!D12)</x:f>
        <x:v>110.25851503801455</x:v>
      </x:c>
      <x:c r="F8" s="29" t="n">
        <x:f>$D$33*(1+'Assumptions'!E12)</x:f>
        <x:v>110.25851503801455</x:v>
      </x:c>
      <x:c r="G8" s="31"/>
      <x:c r="H8" s="5"/>
      <x:c r="I8" s="5"/>
      <x:c r="J8" s="5"/>
      <x:c r="K8" s="5"/>
      <x:c r="L8" s="5"/>
    </x:row>
    <x:row r="9" ht="25" customHeight="1">
      <x:c r="A9" s="2"/>
      <x:c r="B9" s="2"/>
      <x:c r="C9" s="2" t="str">
        <x:v>Unit COGS</x:v>
      </x:c>
      <x:c r="D9" s="29" t="n">
        <x:f>'Actuals'!H20/D7</x:f>
        <x:v>100.43262357558636</x:v>
      </x:c>
      <x:c r="E9" s="29" t="n">
        <x:f>$D$34*(1+'Assumptions'!D16)</x:f>
        <x:v>94.16582761660558</x:v>
      </x:c>
      <x:c r="F9" s="29" t="n">
        <x:f>$D$34*(1+'Assumptions'!E16)</x:f>
        <x:v>94.16582761660558</x:v>
      </x:c>
      <x:c r="G9" s="31"/>
      <x:c r="H9" s="5"/>
      <x:c r="I9" s="5"/>
      <x:c r="J9" s="5"/>
      <x:c r="K9" s="5"/>
      <x:c r="L9" s="5"/>
    </x:row>
    <x:row r="10" ht="25" customHeight="1">
      <x:c r="A10" s="2"/>
      <x:c r="B10" s="2"/>
      <x:c r="C10" s="2" t="str">
        <x:v>Net sales</x:v>
      </x:c>
      <x:c r="D10" s="28" t="n">
        <x:f>'Actuals'!G20</x:f>
        <x:v>12375819.92</x:v>
      </x:c>
      <x:c r="E10" s="18" t="n">
        <x:f>E7*E8</x:f>
        <x:v>8213046.526666665</x:v>
      </x:c>
      <x:c r="F10" s="18" t="n">
        <x:f>F7*F8</x:f>
        <x:v>8213046.526666665</x:v>
      </x:c>
      <x:c r="G10" s="18" t="n">
        <x:f>SUM(D10:F10)</x:f>
        <x:v>28801912.97333333</x:v>
      </x:c>
      <x:c r="H10" s="5"/>
      <x:c r="I10" s="5"/>
      <x:c r="J10" s="5"/>
      <x:c r="K10" s="5"/>
      <x:c r="L10" s="5"/>
    </x:row>
    <x:row r="11" ht="25" customHeight="1">
      <x:c r="A11" s="2"/>
      <x:c r="B11" s="2"/>
      <x:c r="C11" s="2" t="str">
        <x:v>COGS</x:v>
      </x:c>
      <x:c r="D11" s="28" t="n">
        <x:f>'Actuals'!H20</x:f>
        <x:v>10593834</x:v>
      </x:c>
      <x:c r="E11" s="18" t="n">
        <x:f>E7*E9</x:f>
        <x:v>7014318.333333333</x:v>
      </x:c>
      <x:c r="F11" s="18" t="n">
        <x:f>F7*F9</x:f>
        <x:v>7014318.333333333</x:v>
      </x:c>
      <x:c r="G11" s="18" t="n">
        <x:f>SUM(D11:F11)</x:f>
        <x:v>24622470.666666664</x:v>
      </x:c>
      <x:c r="H11" s="5"/>
      <x:c r="I11" s="5"/>
      <x:c r="J11" s="5"/>
      <x:c r="K11" s="5"/>
      <x:c r="L11" s="5"/>
    </x:row>
    <x:row r="12" ht="25" customHeight="1">
      <x:c r="A12" s="2"/>
      <x:c r="B12" s="2"/>
      <x:c r="C12" s="2" t="str">
        <x:v>Sample profit</x:v>
      </x:c>
      <x:c r="D12" s="18" t="n">
        <x:f>D10-D11</x:f>
        <x:v>1781985.92</x:v>
      </x:c>
      <x:c r="E12" s="18" t="n">
        <x:f>E10-E11</x:f>
        <x:v>1198728.1933333324</x:v>
      </x:c>
      <x:c r="F12" s="18" t="n">
        <x:f>F10-F11</x:f>
        <x:v>1198728.1933333324</x:v>
      </x:c>
      <x:c r="G12" s="18" t="n">
        <x:f>SUM(D12:F12)</x:f>
        <x:v>4179442.306666665</x:v>
      </x:c>
      <x:c r="H12" s="5"/>
      <x:c r="I12" s="5"/>
      <x:c r="J12" s="5"/>
      <x:c r="K12" s="5"/>
      <x:c r="L12" s="5"/>
    </x:row>
    <x:row r="13" ht="25" customHeight="1">
      <x:c r="A13" s="2"/>
      <x:c r="B13" s="2"/>
      <x:c r="C13" s="2" t="str">
        <x:v>Margin</x:v>
      </x:c>
      <x:c r="D13" s="22" t="n">
        <x:f>D12/D10</x:f>
        <x:v>0.14398932204242998</x:v>
      </x:c>
      <x:c r="E13" s="22" t="n">
        <x:f>E12/E10</x:f>
        <x:v>0.14595414617964503</x:v>
      </x:c>
      <x:c r="F13" s="22" t="n">
        <x:f>F12/F10</x:f>
        <x:v>0.14595414617964503</x:v>
      </x:c>
      <x:c r="G13" s="22" t="n">
        <x:f>G12/G10</x:f>
        <x:v>0.14510988594876537</x:v>
      </x:c>
      <x:c r="H13" s="5"/>
      <x:c r="I13" s="5"/>
      <x:c r="J13" s="5"/>
      <x:c r="K13" s="5"/>
      <x:c r="L13" s="5"/>
    </x:row>
    <x:row r="14" ht="25" customHeight="1">
      <x:c r="A14" s="2"/>
      <x:c r="B14" s="2"/>
      <x:c r="C14" s="2"/>
      <x:c r="D14" s="5"/>
      <x:c r="E14" s="5"/>
      <x:c r="F14" s="5"/>
      <x:c r="G14" s="5"/>
      <x:c r="H14" s="5"/>
      <x:c r="I14" s="5"/>
      <x:c r="J14" s="5"/>
      <x:c r="K14" s="5"/>
      <x:c r="L14" s="5"/>
    </x:row>
    <x:row r="15" ht="25" customHeight="1">
      <x:c r="A15" s="2"/>
      <x:c r="B15" s="2"/>
      <x:c r="C15" s="2"/>
      <x:c r="D15" s="5"/>
      <x:c r="E15" s="5"/>
      <x:c r="F15" s="5"/>
      <x:c r="G15" s="5"/>
      <x:c r="H15" s="5"/>
      <x:c r="I15" s="5"/>
      <x:c r="J15" s="5"/>
      <x:c r="K15" s="5"/>
      <x:c r="L15" s="5"/>
    </x:row>
    <x:row r="16" ht="25" customHeight="1">
      <x:c r="A16" s="2"/>
      <x:c r="B16" s="2"/>
      <x:c r="C16" s="2" t="str">
        <x:v>Prior forecast units / month</x:v>
      </x:c>
      <x:c r="D16" s="29" t="n">
        <x:f>AVERAGE('Actuals'!$D$17:$D$19)</x:f>
        <x:v>62444.666666666664</x:v>
      </x:c>
      <x:c r="E16" s="29" t="n">
        <x:f>AVERAGE('Actuals'!$D$17:$D$19)</x:f>
        <x:v>62444.666666666664</x:v>
      </x:c>
      <x:c r="F16" s="29" t="n">
        <x:f>AVERAGE('Actuals'!$D$17:$D$19)</x:f>
        <x:v>62444.666666666664</x:v>
      </x:c>
      <x:c r="G16" s="5"/>
      <x:c r="H16" s="5"/>
      <x:c r="I16" s="5"/>
      <x:c r="J16" s="5"/>
      <x:c r="K16" s="5"/>
      <x:c r="L16" s="5"/>
    </x:row>
    <x:row r="17" ht="25" customHeight="1">
      <x:c r="A17" s="2"/>
      <x:c r="B17" s="2"/>
      <x:c r="C17" s="2" t="str">
        <x:v>Prior realised price / unit</x:v>
      </x:c>
      <x:c r="D17" s="29" t="n">
        <x:f>SUM('Actuals'!$G$17:$G$19)/SUM('Actuals'!$D$17:$D$19)</x:f>
        <x:v>108.7161958854239</x:v>
      </x:c>
      <x:c r="E17" s="29" t="n">
        <x:f>SUM('Actuals'!$G$17:$G$19)/SUM('Actuals'!$D$17:$D$19)</x:f>
        <x:v>108.7161958854239</x:v>
      </x:c>
      <x:c r="F17" s="29" t="n">
        <x:f>SUM('Actuals'!$G$17:$G$19)/SUM('Actuals'!$D$17:$D$19)</x:f>
        <x:v>108.7161958854239</x:v>
      </x:c>
      <x:c r="G17" s="5"/>
      <x:c r="H17" s="5"/>
      <x:c r="I17" s="5"/>
      <x:c r="J17" s="5"/>
      <x:c r="K17" s="5"/>
      <x:c r="L17" s="5"/>
    </x:row>
    <x:row r="18" ht="25" customHeight="1">
      <x:c r="A18" s="2"/>
      <x:c r="B18" s="2"/>
      <x:c r="C18" s="2" t="str">
        <x:v>Prior unit COGS</x:v>
      </x:c>
      <x:c r="D18" s="29" t="n">
        <x:f>SUM('Actuals'!$H$17:$H$19)/SUM('Actuals'!$D$17:$D$19)</x:f>
        <x:v>94.10024608453351</x:v>
      </x:c>
      <x:c r="E18" s="29" t="n">
        <x:f>SUM('Actuals'!$H$17:$H$19)/SUM('Actuals'!$D$17:$D$19)</x:f>
        <x:v>94.10024608453351</x:v>
      </x:c>
      <x:c r="F18" s="29" t="n">
        <x:f>SUM('Actuals'!$H$17:$H$19)/SUM('Actuals'!$D$17:$D$19)</x:f>
        <x:v>94.10024608453351</x:v>
      </x:c>
      <x:c r="G18" s="5"/>
      <x:c r="H18" s="5"/>
      <x:c r="I18" s="5"/>
      <x:c r="J18" s="5"/>
      <x:c r="K18" s="5"/>
      <x:c r="L18" s="5"/>
    </x:row>
    <x:row r="19" ht="25" customHeight="1">
      <x:c r="A19" s="2"/>
      <x:c r="B19" s="2"/>
      <x:c r="C19" s="2" t="str">
        <x:v>Prior net sales</x:v>
      </x:c>
      <x:c r="D19" s="18" t="n">
        <x:f>D16*D17</x:f>
        <x:v>6788746.613333333</x:v>
      </x:c>
      <x:c r="E19" s="18" t="n">
        <x:f>E16*E17</x:f>
        <x:v>6788746.613333333</x:v>
      </x:c>
      <x:c r="F19" s="18" t="n">
        <x:f>F16*F17</x:f>
        <x:v>6788746.613333333</x:v>
      </x:c>
      <x:c r="G19" s="18" t="n">
        <x:f>SUM(D19:F19)</x:f>
        <x:v>20366239.84</x:v>
      </x:c>
      <x:c r="H19" s="5"/>
      <x:c r="I19" s="5"/>
      <x:c r="J19" s="5"/>
      <x:c r="K19" s="5"/>
      <x:c r="L19" s="5"/>
    </x:row>
    <x:row r="20" ht="25" customHeight="1">
      <x:c r="A20" s="2"/>
      <x:c r="B20" s="2"/>
      <x:c r="C20" s="2" t="str">
        <x:v>Prior COGS</x:v>
      </x:c>
      <x:c r="D20" s="18" t="n">
        <x:f>D16*D18</x:f>
        <x:v>5876058.5</x:v>
      </x:c>
      <x:c r="E20" s="18" t="n">
        <x:f>E16*E18</x:f>
        <x:v>5876058.5</x:v>
      </x:c>
      <x:c r="F20" s="18" t="n">
        <x:f>F16*F18</x:f>
        <x:v>5876058.5</x:v>
      </x:c>
      <x:c r="G20" s="18" t="n">
        <x:f>SUM(D20:F20)</x:f>
        <x:v>17628175.5</x:v>
      </x:c>
      <x:c r="H20" s="5"/>
      <x:c r="I20" s="5"/>
      <x:c r="J20" s="5"/>
      <x:c r="K20" s="5"/>
      <x:c r="L20" s="5"/>
    </x:row>
    <x:row r="21" ht="25" customHeight="1">
      <x:c r="A21" s="2"/>
      <x:c r="B21" s="2"/>
      <x:c r="C21" s="2" t="str">
        <x:v>Prior sample profit</x:v>
      </x:c>
      <x:c r="D21" s="18" t="n">
        <x:f>D19-D20</x:f>
        <x:v>912688.1133333333</x:v>
      </x:c>
      <x:c r="E21" s="18" t="n">
        <x:f>E19-E20</x:f>
        <x:v>912688.1133333333</x:v>
      </x:c>
      <x:c r="F21" s="18" t="n">
        <x:f>F19-F20</x:f>
        <x:v>912688.1133333333</x:v>
      </x:c>
      <x:c r="G21" s="18" t="n">
        <x:f>SUM(D21:F21)</x:f>
        <x:v>2738064.34</x:v>
      </x:c>
      <x:c r="H21" s="5"/>
      <x:c r="I21" s="5"/>
      <x:c r="J21" s="5"/>
      <x:c r="K21" s="5"/>
      <x:c r="L21" s="5"/>
    </x:row>
    <x:row r="22" ht="25" customHeight="1">
      <x:c r="A22" s="2"/>
      <x:c r="B22" s="2"/>
      <x:c r="C22" s="2"/>
      <x:c r="D22" s="5"/>
      <x:c r="E22" s="5"/>
      <x:c r="F22" s="5"/>
      <x:c r="G22" s="5"/>
      <x:c r="H22" s="5"/>
      <x:c r="I22" s="5"/>
      <x:c r="J22" s="5"/>
      <x:c r="K22" s="5"/>
      <x:c r="L22" s="5"/>
    </x:row>
    <x:row r="23" ht="25" customHeight="1">
      <x:c r="A23" s="2"/>
      <x:c r="B23" s="2"/>
      <x:c r="C23" s="2"/>
      <x:c r="D23" s="5"/>
      <x:c r="E23" s="5"/>
      <x:c r="F23" s="5"/>
      <x:c r="G23" s="5"/>
      <x:c r="H23" s="5"/>
      <x:c r="I23" s="5"/>
      <x:c r="J23" s="5"/>
      <x:c r="K23" s="5"/>
      <x:c r="L23" s="5"/>
    </x:row>
    <x:row r="24" ht="25" customHeight="1">
      <x:c r="A24" s="2"/>
      <x:c r="B24" s="2"/>
      <x:c r="C24" s="2" t="str">
        <x:v>Sales change vs prior forecast</x:v>
      </x:c>
      <x:c r="D24" s="18" t="n">
        <x:f>D10-D19</x:f>
        <x:v>5587073.306666667</x:v>
      </x:c>
      <x:c r="E24" s="18" t="n">
        <x:f>E10-E19</x:f>
        <x:v>1424299.9133333322</x:v>
      </x:c>
      <x:c r="F24" s="18" t="n">
        <x:f>F10-F19</x:f>
        <x:v>1424299.9133333322</x:v>
      </x:c>
      <x:c r="G24" s="18" t="n">
        <x:f>SUM(D24:F24)</x:f>
        <x:v>8435673.133333331</x:v>
      </x:c>
      <x:c r="H24" s="5"/>
      <x:c r="I24" s="5"/>
      <x:c r="J24" s="5"/>
      <x:c r="K24" s="5"/>
      <x:c r="L24" s="5"/>
    </x:row>
    <x:row r="25" ht="25" customHeight="1">
      <x:c r="A25" s="2"/>
      <x:c r="B25" s="2"/>
      <x:c r="C25" s="2" t="str">
        <x:v>Closed October actualisation</x:v>
      </x:c>
      <x:c r="D25" s="18" t="n">
        <x:f>D24</x:f>
        <x:v>5587073.306666667</x:v>
      </x:c>
      <x:c r="E25" s="18" t="n">
        <x:f>0</x:f>
        <x:v>0</x:v>
      </x:c>
      <x:c r="F25" s="18" t="n">
        <x:f>0</x:f>
        <x:v>0</x:v>
      </x:c>
      <x:c r="G25" s="18" t="n">
        <x:f>SUM(D25:F25)</x:f>
        <x:v>5587073.306666667</x:v>
      </x:c>
      <x:c r="H25" s="5"/>
      <x:c r="I25" s="5"/>
      <x:c r="J25" s="5"/>
      <x:c r="K25" s="5"/>
      <x:c r="L25" s="5"/>
    </x:row>
    <x:row r="26" ht="25" customHeight="1">
      <x:c r="A26" s="2"/>
      <x:c r="B26" s="2"/>
      <x:c r="C26" s="2" t="str">
        <x:v>Remaining volume effect</x:v>
      </x:c>
      <x:c r="D26" s="18" t="n">
        <x:f>0</x:f>
        <x:v>0</x:v>
      </x:c>
      <x:c r="E26" s="18" t="n">
        <x:f>(E7-E16)*E17</x:f>
        <x:v>1309414.1019760075</x:v>
      </x:c>
      <x:c r="F26" s="18" t="n">
        <x:f>(F7-F16)*F17</x:f>
        <x:v>1309414.1019760075</x:v>
      </x:c>
      <x:c r="G26" s="18" t="n">
        <x:f>SUM(D26:F26)</x:f>
        <x:v>2618828.203952015</x:v>
      </x:c>
      <x:c r="H26" s="5"/>
      <x:c r="I26" s="5"/>
      <x:c r="J26" s="5"/>
      <x:c r="K26" s="5"/>
      <x:c r="L26" s="5"/>
    </x:row>
    <x:row r="27" ht="25" customHeight="1">
      <x:c r="A27" s="2"/>
      <x:c r="B27" s="2"/>
      <x:c r="C27" s="2" t="str">
        <x:v>Remaining price effect</x:v>
      </x:c>
      <x:c r="D27" s="18" t="n">
        <x:f>0</x:f>
        <x:v>0</x:v>
      </x:c>
      <x:c r="E27" s="18" t="n">
        <x:f>E7*(E8-E17)</x:f>
        <x:v>114885.81135732496</x:v>
      </x:c>
      <x:c r="F27" s="18" t="n">
        <x:f>F7*(F8-F17)</x:f>
        <x:v>114885.81135732496</x:v>
      </x:c>
      <x:c r="G27" s="18" t="n">
        <x:f>SUM(D27:F27)</x:f>
        <x:v>229771.62271464991</x:v>
      </x:c>
      <x:c r="H27" s="5"/>
      <x:c r="I27" s="5"/>
      <x:c r="J27" s="5"/>
      <x:c r="K27" s="5"/>
      <x:c r="L27" s="5"/>
    </x:row>
    <x:row r="28" ht="25" customHeight="1">
      <x:c r="A28" s="2"/>
      <x:c r="B28" s="2"/>
      <x:c r="C28" s="2" t="str">
        <x:v>Sales bridge difference</x:v>
      </x:c>
      <x:c r="D28" s="32" t="n">
        <x:f>D24-SUM(D25:D27)</x:f>
        <x:v>0</x:v>
      </x:c>
      <x:c r="E28" s="32" t="n">
        <x:f>E24-SUM(E25:E27)</x:f>
        <x:v>-2.3283064365386963e-10</x:v>
      </x:c>
      <x:c r="F28" s="32" t="n">
        <x:f>F24-SUM(F25:F27)</x:f>
        <x:v>-2.3283064365386963e-10</x:v>
      </x:c>
      <x:c r="G28" s="32" t="n">
        <x:f>SUM(D28:F28)</x:f>
        <x:v>-4.656612873077393e-10</x:v>
      </x:c>
      <x:c r="H28" s="5"/>
      <x:c r="I28" s="5"/>
      <x:c r="J28" s="5"/>
      <x:c r="K28" s="5"/>
      <x:c r="L28" s="5"/>
    </x:row>
    <x:row r="29" ht="25" customHeight="1">
      <x:c r="A29" s="2"/>
      <x:c r="B29" s="2"/>
      <x:c r="C29" s="2"/>
      <x:c r="D29" s="5"/>
      <x:c r="E29" s="5"/>
      <x:c r="F29" s="5"/>
      <x:c r="G29" s="5"/>
      <x:c r="H29" s="5"/>
      <x:c r="I29" s="5"/>
      <x:c r="J29" s="5"/>
      <x:c r="K29" s="5"/>
      <x:c r="L29" s="5"/>
    </x:row>
    <x:row r="30" ht="25" customHeight="1">
      <x:c r="A30" s="2"/>
      <x:c r="B30" s="2"/>
      <x:c r="C30" s="2"/>
      <x:c r="D30" s="5"/>
      <x:c r="E30" s="5"/>
      <x:c r="F30" s="5"/>
      <x:c r="G30" s="5"/>
      <x:c r="H30" s="5"/>
      <x:c r="I30" s="5"/>
      <x:c r="J30" s="5"/>
      <x:c r="K30" s="5"/>
      <x:c r="L30" s="5"/>
    </x:row>
    <x:row r="31" ht="25" customHeight="1">
      <x:c r="A31" s="2"/>
      <x:c r="B31" s="2"/>
      <x:c r="C31" s="2" t="str">
        <x:v>Revenue model basis</x:v>
      </x:c>
      <x:c r="D31" s="5"/>
      <x:c r="E31" s="5"/>
      <x:c r="F31" s="5"/>
      <x:c r="G31" s="5"/>
      <x:c r="H31" s="5"/>
      <x:c r="I31" s="5"/>
      <x:c r="J31" s="5"/>
      <x:c r="K31" s="5"/>
      <x:c r="L31" s="5"/>
    </x:row>
    <x:row r="32" ht="25" customHeight="1">
      <x:c r="A32" s="2"/>
      <x:c r="B32" s="2"/>
      <x:c r="C32" s="2" t="str">
        <x:v>Aug–Oct average units</x:v>
      </x:c>
      <x:c r="D32" s="29" t="n">
        <x:f>AVERAGE('Actuals'!D18:D20)</x:f>
        <x:v>74489</x:v>
      </x:c>
      <x:c r="E32" s="5"/>
      <x:c r="F32" s="5"/>
      <x:c r="G32" s="5"/>
      <x:c r="H32" s="5"/>
      <x:c r="I32" s="5"/>
      <x:c r="J32" s="5"/>
      <x:c r="K32" s="5"/>
      <x:c r="L32" s="5"/>
    </x:row>
    <x:row r="33" ht="25" customHeight="1">
      <x:c r="A33" s="2"/>
      <x:c r="B33" s="2"/>
      <x:c r="C33" s="2" t="str">
        <x:v>Aug–Oct pooled net price</x:v>
      </x:c>
      <x:c r="D33" s="29" t="n">
        <x:f>SUM('Actuals'!G18:G20)/SUM('Actuals'!D18:D20)</x:f>
        <x:v>110.25851503801455</x:v>
      </x:c>
      <x:c r="E33" s="5"/>
      <x:c r="F33" s="5"/>
      <x:c r="G33" s="5"/>
      <x:c r="H33" s="5"/>
      <x:c r="I33" s="5"/>
      <x:c r="J33" s="5"/>
      <x:c r="K33" s="5"/>
      <x:c r="L33" s="5"/>
    </x:row>
    <x:row r="34" ht="25" customHeight="1">
      <x:c r="A34" s="2"/>
      <x:c r="B34" s="2"/>
      <x:c r="C34" s="2" t="str">
        <x:v>Aug–Oct pooled unit COGS</x:v>
      </x:c>
      <x:c r="D34" s="29" t="n">
        <x:f>SUM('Actuals'!H18:H20)/SUM('Actuals'!D18:D20)</x:f>
        <x:v>94.16582761660558</x:v>
      </x:c>
      <x:c r="E34" s="5"/>
      <x:c r="F34" s="5"/>
      <x:c r="G34" s="5"/>
      <x:c r="H34" s="5"/>
      <x:c r="I34" s="5"/>
      <x:c r="J34" s="5"/>
      <x:c r="K34" s="5"/>
      <x:c r="L34" s="5"/>
    </x:row>
    <x:row r="35" ht="25" customHeight="1">
      <x:c r="A35" s="2"/>
      <x:c r="B35" s="2"/>
      <x:c r="C35" s="2"/>
      <x:c r="D35" s="5"/>
      <x:c r="E35" s="5"/>
      <x:c r="F35" s="5"/>
      <x:c r="G35" s="5"/>
      <x:c r="H35" s="5"/>
      <x:c r="I35" s="5"/>
      <x:c r="J35" s="5"/>
      <x:c r="K35" s="5"/>
      <x:c r="L35" s="5"/>
    </x:row>
    <x:row r="36" ht="25" customHeight="1">
      <x:c r="A36" s="2"/>
      <x:c r="B36" s="2"/>
      <x:c r="C36" s="2"/>
      <x:c r="D36" s="5"/>
      <x:c r="E36" s="5"/>
      <x:c r="F36" s="5"/>
      <x:c r="G36" s="5"/>
      <x:c r="H36" s="5"/>
      <x:c r="I36" s="5"/>
      <x:c r="J36" s="5"/>
      <x:c r="K36" s="5"/>
      <x:c r="L36" s="5"/>
    </x:row>
    <x:row r="37" ht="25" customHeight="1">
      <x:c r="A37" s="2"/>
      <x:c r="B37" s="2"/>
      <x:c r="C37" s="2" t="str">
        <x:v>Prior forecast: rebuilt as of September, using July–September only.</x:v>
      </x:c>
      <x:c r="D37" s="5"/>
      <x:c r="E37" s="5"/>
      <x:c r="F37" s="5"/>
      <x:c r="G37" s="5"/>
      <x:c r="H37" s="5"/>
      <x:c r="I37" s="5"/>
      <x:c r="J37" s="5"/>
      <x:c r="K37" s="5"/>
      <x:c r="L37" s="5"/>
    </x:row>
    <x:row r="38" ht="25" customHeight="1">
      <x:c r="A38" s="2"/>
      <x:c r="B38" s="2"/>
      <x:c r="C38" s="2"/>
      <x:c r="D38" s="5"/>
      <x:c r="E38" s="5"/>
      <x:c r="F38" s="5"/>
      <x:c r="G38" s="5"/>
      <x:c r="H38" s="5"/>
      <x:c r="I38" s="5"/>
      <x:c r="J38" s="5"/>
      <x:c r="K38" s="5"/>
      <x:c r="L38" s="5"/>
    </x:row>
    <x:row r="39" ht="25" customHeight="1">
      <x:c r="A39" s="2"/>
      <x:c r="B39" s="2"/>
      <x:c r="C39" s="2" t="str">
        <x:v>Updated forecast: October closed, November–December driven by inputs.</x:v>
      </x:c>
      <x:c r="D39" s="5"/>
      <x:c r="E39" s="5"/>
      <x:c r="F39" s="5"/>
      <x:c r="G39" s="5"/>
      <x:c r="H39" s="5"/>
      <x:c r="I39" s="5"/>
      <x:c r="J39" s="5"/>
      <x:c r="K39" s="5"/>
      <x:c r="L39" s="5"/>
    </x:row>
    <x:row r="40" ht="25" customHeight="1">
      <x:c r="A40" s="2"/>
      <x:c r="B40" s="2"/>
      <x:c r="C40" s="2"/>
      <x:c r="D40" s="5"/>
      <x:c r="E40" s="5"/>
      <x:c r="F40" s="5"/>
      <x:c r="G40" s="5"/>
      <x:c r="H40" s="5"/>
      <x:c r="I40" s="5"/>
      <x:c r="J40" s="5"/>
      <x:c r="K40" s="5"/>
      <x:c r="L40" s="5"/>
    </x:row>
    <x:row r="41" ht="25" customHeight="1">
      <x:c r="A41" s="2"/>
      <x:c r="B41" s="2"/>
      <x:c r="C41" s="2" t="str">
        <x:v>Prior version is a teaching reconstruction, not an archived company forecast.</x:v>
      </x:c>
      <x:c r="D41" s="5"/>
      <x:c r="E41" s="5"/>
      <x:c r="F41" s="5"/>
      <x:c r="G41" s="5"/>
      <x:c r="H41" s="5"/>
      <x:c r="I41" s="5"/>
      <x:c r="J41" s="5"/>
      <x:c r="K41" s="5"/>
      <x:c r="L41" s="5"/>
    </x:row>
    <x:row r="42" ht="25" customHeight="1">
      <x:c r="A42" s="2"/>
      <x:c r="B42" s="2"/>
      <x:c r="C42" s="2"/>
      <x:c r="D42" s="5"/>
      <x:c r="E42" s="5"/>
      <x:c r="F42" s="5"/>
      <x:c r="G42" s="5"/>
      <x:c r="H42" s="5"/>
      <x:c r="I42" s="5"/>
      <x:c r="J42" s="5"/>
      <x:c r="K42" s="5"/>
      <x:c r="L42" s="5"/>
    </x:row>
    <x:row r="43" ht="25" customHeight="1">
      <x:c r="A43" s="2"/>
      <x:c r="B43" s="2"/>
      <x:c r="C43" s="2" t="str">
        <x:v>No original budget exists here. Compare outlook against prior forecast.</x:v>
      </x:c>
      <x:c r="D43" s="5"/>
      <x:c r="E43" s="5"/>
      <x:c r="F43" s="5"/>
      <x:c r="G43" s="5"/>
      <x:c r="H43" s="5"/>
      <x:c r="I43" s="5"/>
      <x:c r="J43" s="5"/>
      <x:c r="K43" s="5"/>
      <x:c r="L43" s="5"/>
    </x:row>
    <x:row r="44" ht="25" customHeight="1">
      <x:c r="A44" s="2"/>
      <x:c r="B44" s="2"/>
      <x:c r="C44" s="2"/>
      <x:c r="D44" s="5"/>
      <x:c r="E44" s="5"/>
      <x:c r="F44" s="5"/>
      <x:c r="G44" s="5"/>
      <x:c r="H44" s="5"/>
      <x:c r="I44" s="5"/>
      <x:c r="J44" s="5"/>
      <x:c r="K44" s="5"/>
      <x:c r="L44" s="5"/>
    </x:row>
    <x:row r="45" ht="25" customHeight="1">
      <x:c r="A45" s="2"/>
      <x:c r="B45" s="2"/>
      <x:c r="C45" s="2"/>
      <x:c r="D45" s="5"/>
      <x:c r="E45" s="5"/>
      <x:c r="F45" s="5"/>
      <x:c r="G45" s="5"/>
      <x:c r="H45" s="5"/>
      <x:c r="I45" s="5"/>
      <x:c r="J45" s="5"/>
      <x:c r="K45" s="5"/>
      <x:c r="L45" s="5"/>
    </x:row>
    <x:row r="46" ht="25" customHeight="1">
      <x:c r="A46" s="2"/>
      <x:c r="B46" s="2"/>
      <x:c r="C46" s="2"/>
      <x:c r="D46" s="5"/>
      <x:c r="E46" s="5"/>
      <x:c r="F46" s="5"/>
      <x:c r="G46" s="5"/>
      <x:c r="H46" s="5"/>
      <x:c r="I46" s="5"/>
      <x:c r="J46" s="5"/>
      <x:c r="K46" s="5"/>
      <x:c r="L46" s="5"/>
    </x:row>
    <x:row r="47" ht="25" customHeight="1">
      <x:c r="A47" s="2"/>
      <x:c r="B47" s="2"/>
      <x:c r="C47" s="2"/>
      <x:c r="D47" s="5"/>
      <x:c r="E47" s="5"/>
      <x:c r="F47" s="5"/>
      <x:c r="G47" s="5"/>
      <x:c r="H47" s="5"/>
      <x:c r="I47" s="5"/>
      <x:c r="J47" s="5"/>
      <x:c r="K47" s="5"/>
      <x:c r="L47" s="5"/>
    </x:row>
  </x:sheetData>
  <x:conditionalFormatting sqref="D28:G28">
    <x:cfRule type="cellIs" dxfId="0" priority="1" operator="notBetween">
      <x:formula>-0.01</x:formula>
      <x:formula>0.01</x:formula>
    </x:cfRule>
  </x:conditionalFormatting>
  <x:conditionalFormatting sqref="D24:G27">
    <x:cfRule type="cellIs" dxfId="1" priority="2" operator="lessThan">
      <x:formula>0</x:formula>
    </x:cfRule>
    <x:cfRule type="cellIs" dxfId="2" priority="3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2E3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2"/>
      <x:c r="C2" s="3" t="str">
        <x:v>F16. Profit to cash and funding need</x:v>
      </x:c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</x:row>
    <x:row r="4" ht="25" customHeight="1">
      <x:c r="A4" s="2"/>
      <x:c r="B4" s="2"/>
      <x:c r="C4" s="2" t="str">
        <x:v>Case selected</x:v>
      </x:c>
      <x:c r="D4" s="27" t="str">
        <x:f>'Assumptions'!D4</x:f>
        <x:v>Base</x:v>
      </x:c>
      <x:c r="E4" s="2"/>
      <x:c r="F4" s="2" t="str">
        <x:v>Teaching cash model. Not an actual balance sheet.</x:v>
      </x:c>
      <x:c r="G4" s="2"/>
      <x:c r="H4" s="2"/>
      <x:c r="I4" s="2"/>
      <x:c r="J4" s="2"/>
      <x:c r="K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2"/>
      <x:c r="B6" s="2"/>
      <x:c r="C6" s="8" t="str">
        <x:v>Metric</x:v>
      </x:c>
      <x:c r="D6" s="8" t="str">
        <x:v>Nov-14 Forecast</x:v>
      </x:c>
      <x:c r="E6" s="8" t="str">
        <x:v>Dec-14 Forecast</x:v>
      </x:c>
      <x:c r="F6" s="2"/>
      <x:c r="G6" s="2"/>
      <x:c r="H6" s="2"/>
      <x:c r="I6" s="2"/>
      <x:c r="J6" s="2"/>
      <x:c r="K6" s="2"/>
    </x:row>
    <x:row r="7" ht="25" customHeight="1">
      <x:c r="A7" s="2"/>
      <x:c r="B7" s="2"/>
      <x:c r="C7" s="2" t="str">
        <x:v>Opening cash</x:v>
      </x:c>
      <x:c r="D7" s="28" t="n">
        <x:f>'Assumptions'!$D$39</x:f>
        <x:v>2000000</x:v>
      </x:c>
      <x:c r="E7" s="18" t="n">
        <x:f>D29</x:f>
        <x:v>2881985.92</x:v>
      </x:c>
      <x:c r="F7" s="5"/>
      <x:c r="G7" s="5"/>
      <x:c r="H7" s="5"/>
      <x:c r="I7" s="5"/>
      <x:c r="J7" s="5"/>
      <x:c r="K7" s="5"/>
    </x:row>
    <x:row r="8" ht="25" customHeight="1">
      <x:c r="A8" s="2"/>
      <x:c r="B8" s="2"/>
      <x:c r="C8" s="2" t="str">
        <x:v>Net sales</x:v>
      </x:c>
      <x:c r="D8" s="28" t="n">
        <x:f>'F15 Forecast'!E10</x:f>
        <x:v>8213046.526666665</x:v>
      </x:c>
      <x:c r="E8" s="28" t="n">
        <x:f>'F15 Forecast'!F10</x:f>
        <x:v>8213046.526666665</x:v>
      </x:c>
      <x:c r="F8" s="5"/>
      <x:c r="G8" s="5"/>
      <x:c r="H8" s="5"/>
      <x:c r="I8" s="5"/>
      <x:c r="J8" s="5"/>
      <x:c r="K8" s="5"/>
    </x:row>
    <x:row r="9" ht="25" customHeight="1">
      <x:c r="A9" s="2"/>
      <x:c r="B9" s="2"/>
      <x:c r="C9" s="2" t="str">
        <x:v>COGS</x:v>
      </x:c>
      <x:c r="D9" s="28" t="n">
        <x:f>'F15 Forecast'!E11</x:f>
        <x:v>7014318.333333333</x:v>
      </x:c>
      <x:c r="E9" s="28" t="n">
        <x:f>'F15 Forecast'!F11</x:f>
        <x:v>7014318.333333333</x:v>
      </x:c>
      <x:c r="F9" s="5"/>
      <x:c r="G9" s="5"/>
      <x:c r="H9" s="5"/>
      <x:c r="I9" s="5"/>
      <x:c r="J9" s="5"/>
      <x:c r="K9" s="5"/>
    </x:row>
    <x:row r="10" ht="25" customHeight="1">
      <x:c r="A10" s="2"/>
      <x:c r="B10" s="2"/>
      <x:c r="C10" s="2" t="str">
        <x:v>Sample profit</x:v>
      </x:c>
      <x:c r="D10" s="18" t="n">
        <x:f>D8-D9</x:f>
        <x:v>1198728.1933333324</x:v>
      </x:c>
      <x:c r="E10" s="18" t="n">
        <x:f>E8-E9</x:f>
        <x:v>1198728.1933333324</x:v>
      </x:c>
      <x:c r="F10" s="5"/>
      <x:c r="G10" s="5"/>
      <x:c r="H10" s="5"/>
      <x:c r="I10" s="5"/>
      <x:c r="J10" s="5"/>
      <x:c r="K10" s="5"/>
    </x:row>
    <x:row r="11" ht="25" customHeight="1">
      <x:c r="A11" s="2"/>
      <x:c r="B11" s="2"/>
      <x:c r="C11" s="2" t="str">
        <x:v>Payroll</x:v>
      </x:c>
      <x:c r="D11" s="28" t="n">
        <x:f>'Assumptions'!$D$35</x:f>
        <x:v>600000</x:v>
      </x:c>
      <x:c r="E11" s="28" t="n">
        <x:f>'Assumptions'!$D$35</x:f>
        <x:v>600000</x:v>
      </x:c>
      <x:c r="F11" s="5"/>
      <x:c r="G11" s="5"/>
      <x:c r="H11" s="5"/>
      <x:c r="I11" s="5"/>
      <x:c r="J11" s="5"/>
      <x:c r="K11" s="5"/>
    </x:row>
    <x:row r="12" ht="25" customHeight="1">
      <x:c r="A12" s="2"/>
      <x:c r="B12" s="2"/>
      <x:c r="C12" s="2" t="str">
        <x:v>Other cash opex</x:v>
      </x:c>
      <x:c r="D12" s="28" t="n">
        <x:f>'Assumptions'!$D$36</x:f>
        <x:v>200000</x:v>
      </x:c>
      <x:c r="E12" s="28" t="n">
        <x:f>'Assumptions'!$D$36</x:f>
        <x:v>200000</x:v>
      </x:c>
      <x:c r="F12" s="5"/>
      <x:c r="G12" s="5"/>
      <x:c r="H12" s="5"/>
      <x:c r="I12" s="5"/>
      <x:c r="J12" s="5"/>
      <x:c r="K12" s="5"/>
    </x:row>
    <x:row r="13" ht="25" customHeight="1">
      <x:c r="A13" s="2"/>
      <x:c r="B13" s="2"/>
      <x:c r="C13" s="2" t="str">
        <x:v>Depreciation</x:v>
      </x:c>
      <x:c r="D13" s="28" t="n">
        <x:f>'Assumptions'!$D$37</x:f>
        <x:v>20000</x:v>
      </x:c>
      <x:c r="E13" s="28" t="n">
        <x:f>'Assumptions'!$D$37</x:f>
        <x:v>20000</x:v>
      </x:c>
      <x:c r="F13" s="5"/>
      <x:c r="G13" s="5"/>
      <x:c r="H13" s="5"/>
      <x:c r="I13" s="5"/>
      <x:c r="J13" s="5"/>
      <x:c r="K13" s="5"/>
    </x:row>
    <x:row r="14" ht="25" customHeight="1">
      <x:c r="A14" s="2"/>
      <x:c r="B14" s="2"/>
      <x:c r="C14" s="2" t="str">
        <x:v>Illustrative operating profit</x:v>
      </x:c>
      <x:c r="D14" s="18" t="n">
        <x:f>D10-SUM(D11:D13)</x:f>
        <x:v>378728.1933333324</x:v>
      </x:c>
      <x:c r="E14" s="18" t="n">
        <x:f>E10-SUM(E11:E13)</x:f>
        <x:v>378728.1933333324</x:v>
      </x:c>
      <x:c r="F14" s="5"/>
      <x:c r="G14" s="5"/>
      <x:c r="H14" s="5"/>
      <x:c r="I14" s="5"/>
      <x:c r="J14" s="5"/>
      <x:c r="K14" s="5"/>
    </x:row>
    <x:row r="15" ht="25" customHeight="1">
      <x:c r="A15" s="2"/>
      <x:c r="B15" s="2"/>
      <x:c r="C15" s="2"/>
      <x:c r="D15" s="5"/>
      <x:c r="E15" s="5"/>
      <x:c r="F15" s="5"/>
      <x:c r="G15" s="5"/>
      <x:c r="H15" s="5"/>
      <x:c r="I15" s="5"/>
      <x:c r="J15" s="5"/>
      <x:c r="K15" s="5"/>
    </x:row>
    <x:row r="16" ht="25" customHeight="1">
      <x:c r="A16" s="2"/>
      <x:c r="B16" s="2"/>
      <x:c r="C16" s="2" t="str">
        <x:v>Opening receivables</x:v>
      </x:c>
      <x:c r="D16" s="28" t="n">
        <x:f>'Actuals'!G20*'Assumptions'!D41/'Assumptions'!D44</x:f>
        <x:v>12375819.92</x:v>
      </x:c>
      <x:c r="E16" s="18" t="n">
        <x:f>D17</x:f>
        <x:v>8213046.526666665</x:v>
      </x:c>
      <x:c r="F16" s="5"/>
      <x:c r="G16" s="5"/>
      <x:c r="H16" s="5"/>
      <x:c r="I16" s="5"/>
      <x:c r="J16" s="5"/>
      <x:c r="K16" s="5"/>
    </x:row>
    <x:row r="17" ht="25" customHeight="1">
      <x:c r="A17" s="2"/>
      <x:c r="B17" s="2"/>
      <x:c r="C17" s="2" t="str">
        <x:v>Closing receivables</x:v>
      </x:c>
      <x:c r="D17" s="28" t="n">
        <x:f>MIN(D16+D8,D8*'Assumptions'!D20/'Assumptions'!$D$44)</x:f>
        <x:v>8213046.526666665</x:v>
      </x:c>
      <x:c r="E17" s="28" t="n">
        <x:f>MIN(E16+E8,E8*'Assumptions'!E20/'Assumptions'!$D$44)</x:f>
        <x:v>8213046.526666665</x:v>
      </x:c>
      <x:c r="F17" s="5"/>
      <x:c r="G17" s="5"/>
      <x:c r="H17" s="5"/>
      <x:c r="I17" s="5"/>
      <x:c r="J17" s="5"/>
      <x:c r="K17" s="5"/>
    </x:row>
    <x:row r="18" ht="25" customHeight="1">
      <x:c r="A18" s="2"/>
      <x:c r="B18" s="2"/>
      <x:c r="C18" s="2" t="str">
        <x:v>Opening inventory</x:v>
      </x:c>
      <x:c r="D18" s="28" t="n">
        <x:f>'Actuals'!H20*'Assumptions'!D42/'Assumptions'!D44</x:f>
        <x:v>15890751</x:v>
      </x:c>
      <x:c r="E18" s="18" t="n">
        <x:f>D19</x:f>
        <x:v>10521477.5</x:v>
      </x:c>
      <x:c r="F18" s="5"/>
      <x:c r="G18" s="5"/>
      <x:c r="H18" s="5"/>
      <x:c r="I18" s="5"/>
      <x:c r="J18" s="5"/>
      <x:c r="K18" s="5"/>
    </x:row>
    <x:row r="19" ht="25" customHeight="1">
      <x:c r="A19" s="2"/>
      <x:c r="B19" s="2"/>
      <x:c r="C19" s="2" t="str">
        <x:v>Closing inventory</x:v>
      </x:c>
      <x:c r="D19" s="28" t="n">
        <x:f>D9*'Assumptions'!D24/'Assumptions'!$D$44</x:f>
        <x:v>10521477.5</x:v>
      </x:c>
      <x:c r="E19" s="28" t="n">
        <x:f>E9*'Assumptions'!E24/'Assumptions'!$D$44</x:f>
        <x:v>10521477.5</x:v>
      </x:c>
      <x:c r="F19" s="5"/>
      <x:c r="G19" s="5"/>
      <x:c r="H19" s="5"/>
      <x:c r="I19" s="5"/>
      <x:c r="J19" s="5"/>
      <x:c r="K19" s="5"/>
    </x:row>
    <x:row r="20" ht="25" customHeight="1">
      <x:c r="A20" s="2"/>
      <x:c r="B20" s="2"/>
      <x:c r="C20" s="2" t="str">
        <x:v>Purchases</x:v>
      </x:c>
      <x:c r="D20" s="18" t="n">
        <x:f>D9+D19-D18</x:f>
        <x:v>1645044.833333332</x:v>
      </x:c>
      <x:c r="E20" s="18" t="n">
        <x:f>E9+E19-E18</x:f>
        <x:v>7014318.333333332</x:v>
      </x:c>
      <x:c r="F20" s="5"/>
      <x:c r="G20" s="5"/>
      <x:c r="H20" s="5"/>
      <x:c r="I20" s="5"/>
      <x:c r="J20" s="5"/>
      <x:c r="K20" s="5"/>
    </x:row>
    <x:row r="21" ht="25" customHeight="1">
      <x:c r="A21" s="2"/>
      <x:c r="B21" s="2"/>
      <x:c r="C21" s="2" t="str">
        <x:v>Opening payables</x:v>
      </x:c>
      <x:c r="D21" s="28" t="n">
        <x:f>'Actuals'!H20*'Assumptions'!D43/'Assumptions'!D44</x:f>
        <x:v>10593834</x:v>
      </x:c>
      <x:c r="E21" s="18" t="n">
        <x:f>D22</x:f>
        <x:v>1645044.833333332</x:v>
      </x:c>
      <x:c r="F21" s="5"/>
      <x:c r="G21" s="5"/>
      <x:c r="H21" s="5"/>
      <x:c r="I21" s="5"/>
      <x:c r="J21" s="5"/>
      <x:c r="K21" s="5"/>
    </x:row>
    <x:row r="22" ht="25" customHeight="1">
      <x:c r="A22" s="2"/>
      <x:c r="B22" s="2"/>
      <x:c r="C22" s="2" t="str">
        <x:v>Closing payables</x:v>
      </x:c>
      <x:c r="D22" s="28" t="n">
        <x:f>MIN(D21+D20,D20*'Assumptions'!D28/'Assumptions'!$D$44)</x:f>
        <x:v>1645044.833333332</x:v>
      </x:c>
      <x:c r="E22" s="28" t="n">
        <x:f>MIN(E21+E20,E20*'Assumptions'!E28/'Assumptions'!$D$44)</x:f>
        <x:v>7014318.333333332</x:v>
      </x:c>
      <x:c r="F22" s="5"/>
      <x:c r="G22" s="5"/>
      <x:c r="H22" s="5"/>
      <x:c r="I22" s="5"/>
      <x:c r="J22" s="5"/>
      <x:c r="K22" s="5"/>
    </x:row>
    <x:row r="23" ht="25" customHeight="1">
      <x:c r="A23" s="2"/>
      <x:c r="B23" s="2"/>
      <x:c r="C23" s="2"/>
      <x:c r="D23" s="5"/>
      <x:c r="E23" s="5"/>
      <x:c r="F23" s="5"/>
      <x:c r="G23" s="5"/>
      <x:c r="H23" s="5"/>
      <x:c r="I23" s="5"/>
      <x:c r="J23" s="5"/>
      <x:c r="K23" s="5"/>
    </x:row>
    <x:row r="24" ht="25" customHeight="1">
      <x:c r="A24" s="2"/>
      <x:c r="B24" s="2"/>
      <x:c r="C24" s="2" t="str">
        <x:v>Customer collections</x:v>
      </x:c>
      <x:c r="D24" s="18" t="n">
        <x:f>D16+D8-D17</x:f>
        <x:v>12375819.92</x:v>
      </x:c>
      <x:c r="E24" s="18" t="n">
        <x:f>E16+E8-E17</x:f>
        <x:v>8213046.526666665</x:v>
      </x:c>
      <x:c r="F24" s="5"/>
      <x:c r="G24" s="5"/>
      <x:c r="H24" s="5"/>
      <x:c r="I24" s="5"/>
      <x:c r="J24" s="5"/>
      <x:c r="K24" s="5"/>
    </x:row>
    <x:row r="25" ht="25" customHeight="1">
      <x:c r="A25" s="2"/>
      <x:c r="B25" s="2"/>
      <x:c r="C25" s="2" t="str">
        <x:v>Supplier payments</x:v>
      </x:c>
      <x:c r="D25" s="18" t="n">
        <x:f>D21+D20-D22</x:f>
        <x:v>10593834</x:v>
      </x:c>
      <x:c r="E25" s="18" t="n">
        <x:f>E21+E20-E22</x:f>
        <x:v>1645044.833333332</x:v>
      </x:c>
      <x:c r="F25" s="5"/>
      <x:c r="G25" s="5"/>
      <x:c r="H25" s="5"/>
      <x:c r="I25" s="5"/>
      <x:c r="J25" s="5"/>
      <x:c r="K25" s="5"/>
    </x:row>
    <x:row r="26" ht="25" customHeight="1">
      <x:c r="A26" s="2"/>
      <x:c r="B26" s="2"/>
      <x:c r="C26" s="2" t="str">
        <x:v>Operating cash flow</x:v>
      </x:c>
      <x:c r="D26" s="18" t="n">
        <x:f>D24-D25-D11-D12</x:f>
        <x:v>981985.9199999999</x:v>
      </x:c>
      <x:c r="E26" s="18" t="n">
        <x:f>E24-E25-E11-E12</x:f>
        <x:v>5768001.693333333</x:v>
      </x:c>
      <x:c r="F26" s="5"/>
      <x:c r="G26" s="5"/>
      <x:c r="H26" s="5"/>
      <x:c r="I26" s="5"/>
      <x:c r="J26" s="5"/>
      <x:c r="K26" s="5"/>
    </x:row>
    <x:row r="27" ht="25" customHeight="1">
      <x:c r="A27" s="2"/>
      <x:c r="B27" s="2"/>
      <x:c r="C27" s="2" t="str">
        <x:v>Cash capex</x:v>
      </x:c>
      <x:c r="D27" s="28" t="n">
        <x:f>'Assumptions'!$D$38</x:f>
        <x:v>100000</x:v>
      </x:c>
      <x:c r="E27" s="28" t="n">
        <x:f>'Assumptions'!$D$38</x:f>
        <x:v>100000</x:v>
      </x:c>
      <x:c r="F27" s="5"/>
      <x:c r="G27" s="5"/>
      <x:c r="H27" s="5"/>
      <x:c r="I27" s="5"/>
      <x:c r="J27" s="5"/>
      <x:c r="K27" s="5"/>
    </x:row>
    <x:row r="28" ht="25" customHeight="1">
      <x:c r="A28" s="2"/>
      <x:c r="B28" s="2"/>
      <x:c r="C28" s="2" t="str">
        <x:v>Net cash change</x:v>
      </x:c>
      <x:c r="D28" s="18" t="n">
        <x:f>D26-D27</x:f>
        <x:v>881985.9199999999</x:v>
      </x:c>
      <x:c r="E28" s="18" t="n">
        <x:f>E26-E27</x:f>
        <x:v>5668001.693333333</x:v>
      </x:c>
      <x:c r="F28" s="5"/>
      <x:c r="G28" s="5"/>
      <x:c r="H28" s="5"/>
      <x:c r="I28" s="5"/>
      <x:c r="J28" s="5"/>
      <x:c r="K28" s="5"/>
    </x:row>
    <x:row r="29" ht="25" customHeight="1">
      <x:c r="A29" s="2"/>
      <x:c r="B29" s="2"/>
      <x:c r="C29" s="2" t="str">
        <x:v>Closing cash before financing</x:v>
      </x:c>
      <x:c r="D29" s="18" t="n">
        <x:f>D7+D28</x:f>
        <x:v>2881985.92</x:v>
      </x:c>
      <x:c r="E29" s="18" t="n">
        <x:f>E7+E28</x:f>
        <x:v>8549987.613333333</x:v>
      </x:c>
      <x:c r="F29" s="5"/>
      <x:c r="G29" s="5"/>
      <x:c r="H29" s="5"/>
      <x:c r="I29" s="5"/>
      <x:c r="J29" s="5"/>
      <x:c r="K29" s="5"/>
    </x:row>
    <x:row r="30" ht="25" customHeight="1">
      <x:c r="A30" s="2"/>
      <x:c r="B30" s="2"/>
      <x:c r="C30" s="2" t="str">
        <x:v>Minimum cash target</x:v>
      </x:c>
      <x:c r="D30" s="28" t="n">
        <x:f>'Assumptions'!$D$40</x:f>
        <x:v>1500000</x:v>
      </x:c>
      <x:c r="E30" s="28" t="n">
        <x:f>'Assumptions'!$D$40</x:f>
        <x:v>1500000</x:v>
      </x:c>
      <x:c r="F30" s="5"/>
      <x:c r="G30" s="5"/>
      <x:c r="H30" s="5"/>
      <x:c r="I30" s="5"/>
      <x:c r="J30" s="5"/>
      <x:c r="K30" s="5"/>
    </x:row>
    <x:row r="31" ht="25" customHeight="1">
      <x:c r="A31" s="2"/>
      <x:c r="B31" s="2"/>
      <x:c r="C31" s="2" t="str">
        <x:v>Funding required at month-end</x:v>
      </x:c>
      <x:c r="D31" s="18" t="n">
        <x:f>MAX(0,D30-D29)</x:f>
        <x:v>0</x:v>
      </x:c>
      <x:c r="E31" s="18" t="n">
        <x:f>MAX(0,E30-E29)</x:f>
        <x:v>0</x:v>
      </x:c>
      <x:c r="F31" s="5"/>
      <x:c r="G31" s="5"/>
      <x:c r="H31" s="5"/>
      <x:c r="I31" s="5"/>
      <x:c r="J31" s="5"/>
      <x:c r="K31" s="5"/>
    </x:row>
    <x:row r="32" ht="25" customHeight="1">
      <x:c r="A32" s="2"/>
      <x:c r="B32" s="2"/>
      <x:c r="C32" s="2"/>
      <x:c r="D32" s="5"/>
      <x:c r="E32" s="5"/>
      <x:c r="F32" s="5"/>
      <x:c r="G32" s="5"/>
      <x:c r="H32" s="5"/>
      <x:c r="I32" s="5"/>
      <x:c r="J32" s="5"/>
      <x:c r="K32" s="5"/>
    </x:row>
    <x:row r="33" ht="25" customHeight="1">
      <x:c r="A33" s="2"/>
      <x:c r="B33" s="2"/>
      <x:c r="C33" s="2"/>
      <x:c r="D33" s="5"/>
      <x:c r="E33" s="5"/>
      <x:c r="F33" s="5"/>
      <x:c r="G33" s="5"/>
      <x:c r="H33" s="5"/>
      <x:c r="I33" s="5"/>
      <x:c r="J33" s="5"/>
      <x:c r="K33" s="5"/>
    </x:row>
    <x:row r="34" ht="25" customHeight="1">
      <x:c r="A34" s="2"/>
      <x:c r="B34" s="2"/>
      <x:c r="C34" s="2" t="str">
        <x:v>Profit plus depreciation</x:v>
      </x:c>
      <x:c r="D34" s="18" t="n">
        <x:f>D14+D13</x:f>
        <x:v>398728.1933333324</x:v>
      </x:c>
      <x:c r="E34" s="18" t="n">
        <x:f>E14+E13</x:f>
        <x:v>398728.1933333324</x:v>
      </x:c>
      <x:c r="F34" s="5"/>
      <x:c r="G34" s="5"/>
      <x:c r="H34" s="5"/>
      <x:c r="I34" s="5"/>
      <x:c r="J34" s="5"/>
      <x:c r="K34" s="5"/>
    </x:row>
    <x:row r="35" ht="25" customHeight="1">
      <x:c r="A35" s="2"/>
      <x:c r="B35" s="2"/>
      <x:c r="C35" s="2" t="str">
        <x:v>Less increase in receivables</x:v>
      </x:c>
      <x:c r="D35" s="18" t="n">
        <x:f>-(D17-D16)</x:f>
        <x:v>4162773.3933333345</x:v>
      </x:c>
      <x:c r="E35" s="18" t="n">
        <x:f>-(E17-E16)</x:f>
        <x:v>0</x:v>
      </x:c>
      <x:c r="F35" s="5"/>
      <x:c r="G35" s="5"/>
      <x:c r="H35" s="5"/>
      <x:c r="I35" s="5"/>
      <x:c r="J35" s="5"/>
      <x:c r="K35" s="5"/>
    </x:row>
    <x:row r="36" ht="25" customHeight="1">
      <x:c r="A36" s="2"/>
      <x:c r="B36" s="2"/>
      <x:c r="C36" s="2" t="str">
        <x:v>Less increase in inventory</x:v>
      </x:c>
      <x:c r="D36" s="18" t="n">
        <x:f>-(D19-D18)</x:f>
        <x:v>5369273.5</x:v>
      </x:c>
      <x:c r="E36" s="18" t="n">
        <x:f>-(E19-E18)</x:f>
        <x:v>0</x:v>
      </x:c>
      <x:c r="F36" s="5"/>
      <x:c r="G36" s="5"/>
      <x:c r="H36" s="5"/>
      <x:c r="I36" s="5"/>
      <x:c r="J36" s="5"/>
      <x:c r="K36" s="5"/>
    </x:row>
    <x:row r="37" ht="25" customHeight="1">
      <x:c r="A37" s="2"/>
      <x:c r="B37" s="2"/>
      <x:c r="C37" s="2" t="str">
        <x:v>Add increase in payables</x:v>
      </x:c>
      <x:c r="D37" s="18" t="n">
        <x:f>D22-D21</x:f>
        <x:v>-8948789.166666668</x:v>
      </x:c>
      <x:c r="E37" s="18" t="n">
        <x:f>E22-E21</x:f>
        <x:v>5369273.5</x:v>
      </x:c>
      <x:c r="F37" s="5"/>
      <x:c r="G37" s="5"/>
      <x:c r="H37" s="5"/>
      <x:c r="I37" s="5"/>
      <x:c r="J37" s="5"/>
      <x:c r="K37" s="5"/>
    </x:row>
    <x:row r="38" ht="25" customHeight="1">
      <x:c r="A38" s="2"/>
      <x:c r="B38" s="2"/>
      <x:c r="C38" s="2" t="str">
        <x:v>Indirect operating cash flow</x:v>
      </x:c>
      <x:c r="D38" s="18" t="n">
        <x:f>SUM(D34:D37)</x:f>
        <x:v>981985.9199999981</x:v>
      </x:c>
      <x:c r="E38" s="18" t="n">
        <x:f>SUM(E34:E37)</x:f>
        <x:v>5768001.693333332</x:v>
      </x:c>
      <x:c r="F38" s="5"/>
      <x:c r="G38" s="5"/>
      <x:c r="H38" s="5"/>
      <x:c r="I38" s="5"/>
      <x:c r="J38" s="5"/>
      <x:c r="K38" s="5"/>
    </x:row>
    <x:row r="39" ht="25" customHeight="1">
      <x:c r="A39" s="2"/>
      <x:c r="B39" s="2"/>
      <x:c r="C39" s="2" t="str">
        <x:v>Direct / indirect difference</x:v>
      </x:c>
      <x:c r="D39" s="32" t="n">
        <x:f>D26-D38</x:f>
        <x:v>1.862645149230957e-9</x:v>
      </x:c>
      <x:c r="E39" s="32" t="n">
        <x:f>E26-E38</x:f>
        <x:v>9.313225746154785e-10</x:v>
      </x:c>
      <x:c r="F39" s="5"/>
      <x:c r="G39" s="5"/>
      <x:c r="H39" s="5"/>
      <x:c r="I39" s="5"/>
      <x:c r="J39" s="5"/>
      <x:c r="K39" s="5"/>
    </x:row>
    <x:row r="40" ht="25" customHeight="1">
      <x:c r="A40" s="2"/>
      <x:c r="B40" s="2"/>
      <x:c r="C40" s="2"/>
      <x:c r="D40" s="5"/>
      <x:c r="E40" s="5"/>
      <x:c r="F40" s="5"/>
      <x:c r="G40" s="5"/>
      <x:c r="H40" s="5"/>
      <x:c r="I40" s="5"/>
      <x:c r="J40" s="5"/>
      <x:c r="K40" s="5"/>
    </x:row>
    <x:row r="41" ht="25" customHeight="1">
      <x:c r="A41" s="2"/>
      <x:c r="B41" s="2"/>
      <x:c r="C41" s="2" t="str">
        <x:v>AR/AP targets capped at available balances; no negative cash payments.</x:v>
      </x:c>
      <x:c r="D41" s="5"/>
      <x:c r="E41" s="5"/>
      <x:c r="F41" s="5"/>
      <x:c r="G41" s="5"/>
      <x:c r="H41" s="5"/>
      <x:c r="I41" s="5"/>
      <x:c r="J41" s="5"/>
      <x:c r="K41" s="5"/>
    </x:row>
    <x:row r="42" ht="25" customHeight="1">
      <x:c r="A42" s="2"/>
      <x:c r="B42" s="2"/>
      <x:c r="C42" s="2"/>
      <x:c r="D42" s="5"/>
      <x:c r="E42" s="5"/>
      <x:c r="F42" s="5"/>
      <x:c r="G42" s="5"/>
      <x:c r="H42" s="5"/>
      <x:c r="I42" s="5"/>
      <x:c r="J42" s="5"/>
      <x:c r="K42" s="5"/>
    </x:row>
    <x:row r="43" ht="25" customHeight="1">
      <x:c r="A43" s="2"/>
      <x:c r="B43" s="2"/>
      <x:c r="C43" s="2" t="str">
        <x:v>Funding is a shortfall before financing, not a loan automatically drawn.</x:v>
      </x:c>
      <x:c r="D43" s="5"/>
      <x:c r="E43" s="5"/>
      <x:c r="F43" s="5"/>
      <x:c r="G43" s="5"/>
      <x:c r="H43" s="5"/>
      <x:c r="I43" s="5"/>
      <x:c r="J43" s="5"/>
      <x:c r="K43" s="5"/>
    </x:row>
    <x:row r="44" ht="25" customHeight="1">
      <x:c r="A44" s="2"/>
      <x:c r="B44" s="2"/>
      <x:c r="C44" s="2"/>
      <x:c r="D44" s="5"/>
      <x:c r="E44" s="5"/>
      <x:c r="F44" s="5"/>
      <x:c r="G44" s="5"/>
      <x:c r="H44" s="5"/>
      <x:c r="I44" s="5"/>
      <x:c r="J44" s="5"/>
      <x:c r="K44" s="5"/>
    </x:row>
    <x:row r="45" ht="25" customHeight="1">
      <x:c r="A45" s="2"/>
      <x:c r="B45" s="2"/>
      <x:c r="C45" s="2" t="str">
        <x:v>Do not add monthly shortfalls. Use the highest required facility balance.</x:v>
      </x:c>
      <x:c r="D45" s="5"/>
      <x:c r="E45" s="5"/>
      <x:c r="F45" s="5"/>
      <x:c r="G45" s="5"/>
      <x:c r="H45" s="5"/>
      <x:c r="I45" s="5"/>
      <x:c r="J45" s="5"/>
      <x:c r="K45" s="5"/>
    </x:row>
    <x:row r="46" ht="25" customHeight="1">
      <x:c r="A46" s="2"/>
      <x:c r="B46" s="2"/>
      <x:c r="C46" s="2"/>
      <x:c r="D46" s="5"/>
      <x:c r="E46" s="5"/>
      <x:c r="F46" s="5"/>
      <x:c r="G46" s="5"/>
      <x:c r="H46" s="5"/>
      <x:c r="I46" s="5"/>
      <x:c r="J46" s="5"/>
      <x:c r="K46" s="5"/>
    </x:row>
    <x:row r="47" ht="25" customHeight="1">
      <x:c r="A47" s="2"/>
      <x:c r="B47" s="2"/>
      <x:c r="C47" s="2" t="str">
        <x:v>No tax or interest; monthly model cannot detect intra-month cash troughs.</x:v>
      </x:c>
      <x:c r="D47" s="5"/>
      <x:c r="E47" s="5"/>
      <x:c r="F47" s="5"/>
      <x:c r="G47" s="5"/>
      <x:c r="H47" s="5"/>
      <x:c r="I47" s="5"/>
      <x:c r="J47" s="5"/>
      <x:c r="K47" s="5"/>
    </x:row>
    <x:row r="48" ht="25" customHeight="1">
      <x:c r="A48" s="2"/>
      <x:c r="B48" s="2"/>
      <x:c r="C48" s="2"/>
      <x:c r="D48" s="5"/>
      <x:c r="E48" s="5"/>
      <x:c r="F48" s="5"/>
      <x:c r="G48" s="5"/>
      <x:c r="H48" s="5"/>
      <x:c r="I48" s="5"/>
      <x:c r="J48" s="5"/>
      <x:c r="K48" s="5"/>
    </x:row>
    <x:row r="49" ht="25" customHeight="1">
      <x:c r="A49" s="2"/>
      <x:c r="B49" s="2"/>
      <x:c r="C49" s="2"/>
      <x:c r="D49" s="5"/>
      <x:c r="E49" s="5"/>
      <x:c r="F49" s="5"/>
      <x:c r="G49" s="5"/>
      <x:c r="H49" s="5"/>
      <x:c r="I49" s="5"/>
      <x:c r="J49" s="5"/>
      <x:c r="K49" s="5"/>
    </x:row>
  </x:sheetData>
  <x:conditionalFormatting sqref="D14:E14">
    <x:cfRule type="cellIs" dxfId="3" priority="1" operator="lessThan">
      <x:formula>0</x:formula>
    </x:cfRule>
    <x:cfRule type="cellIs" dxfId="4" priority="2" operator="greaterThan">
      <x:formula>0</x:formula>
    </x:cfRule>
  </x:conditionalFormatting>
  <x:conditionalFormatting sqref="D29:E29">
    <x:cfRule type="cellIs" dxfId="5" priority="3" operator="lessThan">
      <x:formula>0</x:formula>
    </x:cfRule>
    <x:cfRule type="cellIs" dxfId="6" priority="4" operator="greaterThan">
      <x:formula>0</x:formula>
    </x:cfRule>
  </x:conditionalFormatting>
  <x:conditionalFormatting sqref="D39:E39">
    <x:cfRule type="cellIs" dxfId="7" priority="5" operator="notBetween">
      <x:formula>-0.01</x:formula>
      <x:formula>0.01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82E3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2"/>
      <x:c r="B2" s="2"/>
      <x:c r="C2" s="3" t="str">
        <x:v>Forecast and cash assumptions</x:v>
      </x:c>
      <x:c r="D2" s="2"/>
      <x:c r="E2" s="2"/>
      <x:c r="F2" s="2"/>
      <x:c r="G2" s="2"/>
    </x:row>
    <x:row r="3" ht="25" customHeight="1">
      <x:c r="A3" s="2"/>
      <x:c r="B3" s="2"/>
      <x:c r="C3" s="4"/>
      <x:c r="D3" s="4"/>
      <x:c r="E3" s="4"/>
      <x:c r="F3" s="4"/>
      <x:c r="G3" s="4"/>
    </x:row>
    <x:row r="4" ht="25" customHeight="1">
      <x:c r="A4" s="2"/>
      <x:c r="B4" s="2"/>
      <x:c r="C4" s="2" t="str">
        <x:v>Case selected</x:v>
      </x:c>
      <x:c r="D4" s="11" t="str">
        <x:f>CHOOSE(D5,"Base","Downside","Upside")</x:f>
        <x:v>Base</x:v>
      </x:c>
      <x:c r="E4" s="2"/>
      <x:c r="F4" s="2"/>
      <x:c r="G4" s="2"/>
    </x:row>
    <x:row r="5" ht="25" customHeight="1">
      <x:c r="A5" s="2"/>
      <x:c r="B5" s="2"/>
      <x:c r="C5" s="2" t="str">
        <x:v>1 Base; 2 Downside; 3 Upside</x:v>
      </x:c>
      <x:c r="D5" s="14" t="n">
        <x:v>1</x:v>
      </x:c>
      <x:c r="E5" s="2"/>
      <x:c r="F5" s="2"/>
      <x:c r="G5" s="2"/>
    </x:row>
    <x:row r="6" ht="25" customHeight="1">
      <x:c r="A6" s="2"/>
      <x:c r="B6" s="2"/>
      <x:c r="C6" s="2"/>
      <x:c r="D6" s="2"/>
      <x:c r="E6" s="2"/>
      <x:c r="F6" s="2"/>
      <x:c r="G6" s="2"/>
    </x:row>
    <x:row r="7" ht="34" customHeight="1">
      <x:c r="A7" s="2"/>
      <x:c r="B7" s="2"/>
      <x:c r="C7" s="8" t="str">
        <x:v>Driver / case</x:v>
      </x:c>
      <x:c r="D7" s="17" t="str">
        <x:v>Nov-14</x:v>
      </x:c>
      <x:c r="E7" s="17" t="str">
        <x:v>Dec-14</x:v>
      </x:c>
      <x:c r="F7" s="5"/>
      <x:c r="G7" s="5"/>
    </x:row>
    <x:row r="8" ht="25" customHeight="1">
      <x:c r="A8" s="2"/>
      <x:c r="B8" s="2"/>
      <x:c r="C8" s="23" t="str">
        <x:v>Volume vs Aug–Oct average</x:v>
      </x:c>
      <x:c r="D8" s="24" t="n">
        <x:f>CHOOSE($D$5,D9,D10,D11)</x:f>
        <x:v>0</x:v>
      </x:c>
      <x:c r="E8" s="24" t="n">
        <x:f>CHOOSE($D$5,E9,E10,E11)</x:f>
        <x:v>0</x:v>
      </x:c>
      <x:c r="F8" s="5"/>
      <x:c r="G8" s="5"/>
    </x:row>
    <x:row r="9" ht="25" customHeight="1">
      <x:c r="A9" s="2"/>
      <x:c r="B9" s="2"/>
      <x:c r="C9" s="2" t="str">
        <x:v>Base</x:v>
      </x:c>
      <x:c r="D9" s="21" t="n">
        <x:v>0</x:v>
      </x:c>
      <x:c r="E9" s="21" t="n">
        <x:v>0</x:v>
      </x:c>
      <x:c r="F9" s="5"/>
      <x:c r="G9" s="5"/>
    </x:row>
    <x:row r="10" ht="25" customHeight="1">
      <x:c r="A10" s="2"/>
      <x:c r="B10" s="2"/>
      <x:c r="C10" s="2" t="str">
        <x:v>Downside</x:v>
      </x:c>
      <x:c r="D10" s="21" t="n">
        <x:v>-0.1</x:v>
      </x:c>
      <x:c r="E10" s="21" t="n">
        <x:v>-0.1</x:v>
      </x:c>
      <x:c r="F10" s="5"/>
      <x:c r="G10" s="5"/>
    </x:row>
    <x:row r="11" ht="25" customHeight="1">
      <x:c r="A11" s="2"/>
      <x:c r="B11" s="2"/>
      <x:c r="C11" s="2" t="str">
        <x:v>Upside</x:v>
      </x:c>
      <x:c r="D11" s="21" t="n">
        <x:v>0.1</x:v>
      </x:c>
      <x:c r="E11" s="21" t="n">
        <x:v>0.1</x:v>
      </x:c>
      <x:c r="F11" s="5"/>
      <x:c r="G11" s="5"/>
    </x:row>
    <x:row r="12" ht="25" customHeight="1">
      <x:c r="A12" s="2"/>
      <x:c r="B12" s="2"/>
      <x:c r="C12" s="23" t="str">
        <x:v>Net price change</x:v>
      </x:c>
      <x:c r="D12" s="24" t="n">
        <x:f>CHOOSE($D$5,D13,D14,D15)</x:f>
        <x:v>0</x:v>
      </x:c>
      <x:c r="E12" s="24" t="n">
        <x:f>CHOOSE($D$5,E13,E14,E15)</x:f>
        <x:v>0</x:v>
      </x:c>
      <x:c r="F12" s="5"/>
      <x:c r="G12" s="5"/>
    </x:row>
    <x:row r="13" ht="25" customHeight="1">
      <x:c r="A13" s="2"/>
      <x:c r="B13" s="2"/>
      <x:c r="C13" s="2" t="str">
        <x:v>Base</x:v>
      </x:c>
      <x:c r="D13" s="21" t="n">
        <x:v>0</x:v>
      </x:c>
      <x:c r="E13" s="21" t="n">
        <x:v>0</x:v>
      </x:c>
      <x:c r="F13" s="5"/>
      <x:c r="G13" s="5"/>
    </x:row>
    <x:row r="14" ht="25" customHeight="1">
      <x:c r="A14" s="2"/>
      <x:c r="B14" s="2"/>
      <x:c r="C14" s="2" t="str">
        <x:v>Downside</x:v>
      </x:c>
      <x:c r="D14" s="21" t="n">
        <x:v>-0.02</x:v>
      </x:c>
      <x:c r="E14" s="21" t="n">
        <x:v>-0.02</x:v>
      </x:c>
      <x:c r="F14" s="5"/>
      <x:c r="G14" s="5"/>
    </x:row>
    <x:row r="15" ht="25" customHeight="1">
      <x:c r="A15" s="2"/>
      <x:c r="B15" s="2"/>
      <x:c r="C15" s="2" t="str">
        <x:v>Upside</x:v>
      </x:c>
      <x:c r="D15" s="21" t="n">
        <x:v>0.01</x:v>
      </x:c>
      <x:c r="E15" s="21" t="n">
        <x:v>0.01</x:v>
      </x:c>
      <x:c r="F15" s="5"/>
      <x:c r="G15" s="5"/>
    </x:row>
    <x:row r="16" ht="25" customHeight="1">
      <x:c r="A16" s="2"/>
      <x:c r="B16" s="2"/>
      <x:c r="C16" s="23" t="str">
        <x:v>Unit COGS change</x:v>
      </x:c>
      <x:c r="D16" s="24" t="n">
        <x:f>CHOOSE($D$5,D17,D18,D19)</x:f>
        <x:v>0</x:v>
      </x:c>
      <x:c r="E16" s="24" t="n">
        <x:f>CHOOSE($D$5,E17,E18,E19)</x:f>
        <x:v>0</x:v>
      </x:c>
      <x:c r="F16" s="5"/>
      <x:c r="G16" s="5"/>
    </x:row>
    <x:row r="17" ht="25" customHeight="1">
      <x:c r="A17" s="2"/>
      <x:c r="B17" s="2"/>
      <x:c r="C17" s="2" t="str">
        <x:v>Base</x:v>
      </x:c>
      <x:c r="D17" s="21" t="n">
        <x:v>0</x:v>
      </x:c>
      <x:c r="E17" s="21" t="n">
        <x:v>0</x:v>
      </x:c>
      <x:c r="F17" s="5"/>
      <x:c r="G17" s="5"/>
    </x:row>
    <x:row r="18" ht="25" customHeight="1">
      <x:c r="A18" s="2"/>
      <x:c r="B18" s="2"/>
      <x:c r="C18" s="2" t="str">
        <x:v>Downside</x:v>
      </x:c>
      <x:c r="D18" s="21" t="n">
        <x:v>0.05</x:v>
      </x:c>
      <x:c r="E18" s="21" t="n">
        <x:v>0.05</x:v>
      </x:c>
      <x:c r="F18" s="5"/>
      <x:c r="G18" s="5"/>
    </x:row>
    <x:row r="19" ht="25" customHeight="1">
      <x:c r="A19" s="2"/>
      <x:c r="B19" s="2"/>
      <x:c r="C19" s="2" t="str">
        <x:v>Upside</x:v>
      </x:c>
      <x:c r="D19" s="21" t="n">
        <x:v>-0.01</x:v>
      </x:c>
      <x:c r="E19" s="21" t="n">
        <x:v>-0.01</x:v>
      </x:c>
      <x:c r="F19" s="5"/>
      <x:c r="G19" s="5"/>
    </x:row>
    <x:row r="20" ht="25" customHeight="1">
      <x:c r="A20" s="2"/>
      <x:c r="B20" s="2"/>
      <x:c r="C20" s="23" t="str">
        <x:v>DSO</x:v>
      </x:c>
      <x:c r="D20" s="26" t="n">
        <x:f>CHOOSE($D$5,D21,D22,D23)</x:f>
        <x:v>30</x:v>
      </x:c>
      <x:c r="E20" s="26" t="n">
        <x:f>CHOOSE($D$5,E21,E22,E23)</x:f>
        <x:v>30</x:v>
      </x:c>
      <x:c r="F20" s="5"/>
      <x:c r="G20" s="5"/>
    </x:row>
    <x:row r="21" ht="25" customHeight="1">
      <x:c r="A21" s="2"/>
      <x:c r="B21" s="2"/>
      <x:c r="C21" s="2" t="str">
        <x:v>Base</x:v>
      </x:c>
      <x:c r="D21" s="14" t="n">
        <x:v>30</x:v>
      </x:c>
      <x:c r="E21" s="14" t="n">
        <x:v>30</x:v>
      </x:c>
      <x:c r="F21" s="5"/>
      <x:c r="G21" s="5"/>
    </x:row>
    <x:row r="22" ht="25" customHeight="1">
      <x:c r="A22" s="2"/>
      <x:c r="B22" s="2"/>
      <x:c r="C22" s="2" t="str">
        <x:v>Downside</x:v>
      </x:c>
      <x:c r="D22" s="14" t="n">
        <x:v>45</x:v>
      </x:c>
      <x:c r="E22" s="14" t="n">
        <x:v>45</x:v>
      </x:c>
      <x:c r="F22" s="5"/>
      <x:c r="G22" s="5"/>
    </x:row>
    <x:row r="23" ht="25" customHeight="1">
      <x:c r="A23" s="2"/>
      <x:c r="B23" s="2"/>
      <x:c r="C23" s="2" t="str">
        <x:v>Upside</x:v>
      </x:c>
      <x:c r="D23" s="14" t="n">
        <x:v>25</x:v>
      </x:c>
      <x:c r="E23" s="14" t="n">
        <x:v>25</x:v>
      </x:c>
      <x:c r="F23" s="5"/>
      <x:c r="G23" s="5"/>
    </x:row>
    <x:row r="24" ht="25" customHeight="1">
      <x:c r="A24" s="2"/>
      <x:c r="B24" s="2"/>
      <x:c r="C24" s="23" t="str">
        <x:v>DIO</x:v>
      </x:c>
      <x:c r="D24" s="26" t="n">
        <x:f>CHOOSE($D$5,D25,D26,D27)</x:f>
        <x:v>45</x:v>
      </x:c>
      <x:c r="E24" s="26" t="n">
        <x:f>CHOOSE($D$5,E25,E26,E27)</x:f>
        <x:v>45</x:v>
      </x:c>
      <x:c r="F24" s="5"/>
      <x:c r="G24" s="5"/>
    </x:row>
    <x:row r="25" ht="25" customHeight="1">
      <x:c r="A25" s="2"/>
      <x:c r="B25" s="2"/>
      <x:c r="C25" s="2" t="str">
        <x:v>Base</x:v>
      </x:c>
      <x:c r="D25" s="14" t="n">
        <x:v>45</x:v>
      </x:c>
      <x:c r="E25" s="14" t="n">
        <x:v>45</x:v>
      </x:c>
      <x:c r="F25" s="5"/>
      <x:c r="G25" s="5"/>
    </x:row>
    <x:row r="26" ht="25" customHeight="1">
      <x:c r="A26" s="2"/>
      <x:c r="B26" s="2"/>
      <x:c r="C26" s="2" t="str">
        <x:v>Downside</x:v>
      </x:c>
      <x:c r="D26" s="14" t="n">
        <x:v>60</x:v>
      </x:c>
      <x:c r="E26" s="14" t="n">
        <x:v>60</x:v>
      </x:c>
      <x:c r="F26" s="5"/>
      <x:c r="G26" s="5"/>
    </x:row>
    <x:row r="27" ht="25" customHeight="1">
      <x:c r="A27" s="2"/>
      <x:c r="B27" s="2"/>
      <x:c r="C27" s="2" t="str">
        <x:v>Upside</x:v>
      </x:c>
      <x:c r="D27" s="14" t="n">
        <x:v>35</x:v>
      </x:c>
      <x:c r="E27" s="14" t="n">
        <x:v>35</x:v>
      </x:c>
      <x:c r="F27" s="5"/>
      <x:c r="G27" s="5"/>
    </x:row>
    <x:row r="28" ht="25" customHeight="1">
      <x:c r="A28" s="2"/>
      <x:c r="B28" s="2"/>
      <x:c r="C28" s="23" t="str">
        <x:v>DPO</x:v>
      </x:c>
      <x:c r="D28" s="26" t="n">
        <x:f>CHOOSE($D$5,D29,D30,D31)</x:f>
        <x:v>30</x:v>
      </x:c>
      <x:c r="E28" s="26" t="n">
        <x:f>CHOOSE($D$5,E29,E30,E31)</x:f>
        <x:v>30</x:v>
      </x:c>
      <x:c r="F28" s="5"/>
      <x:c r="G28" s="5"/>
    </x:row>
    <x:row r="29" ht="25" customHeight="1">
      <x:c r="A29" s="2"/>
      <x:c r="B29" s="2"/>
      <x:c r="C29" s="2" t="str">
        <x:v>Base</x:v>
      </x:c>
      <x:c r="D29" s="14" t="n">
        <x:v>30</x:v>
      </x:c>
      <x:c r="E29" s="14" t="n">
        <x:v>30</x:v>
      </x:c>
      <x:c r="F29" s="5"/>
      <x:c r="G29" s="5"/>
    </x:row>
    <x:row r="30" ht="25" customHeight="1">
      <x:c r="A30" s="2"/>
      <x:c r="B30" s="2"/>
      <x:c r="C30" s="2" t="str">
        <x:v>Downside</x:v>
      </x:c>
      <x:c r="D30" s="14" t="n">
        <x:v>20</x:v>
      </x:c>
      <x:c r="E30" s="14" t="n">
        <x:v>20</x:v>
      </x:c>
      <x:c r="F30" s="5"/>
      <x:c r="G30" s="5"/>
    </x:row>
    <x:row r="31" ht="25" customHeight="1">
      <x:c r="A31" s="2"/>
      <x:c r="B31" s="2"/>
      <x:c r="C31" s="2" t="str">
        <x:v>Upside</x:v>
      </x:c>
      <x:c r="D31" s="14" t="n">
        <x:v>40</x:v>
      </x:c>
      <x:c r="E31" s="14" t="n">
        <x:v>40</x:v>
      </x:c>
      <x:c r="F31" s="5"/>
      <x:c r="G31" s="5"/>
    </x:row>
    <x:row r="32" ht="25" customHeight="1">
      <x:c r="A32" s="2"/>
      <x:c r="B32" s="2"/>
      <x:c r="C32" s="2"/>
      <x:c r="D32" s="5"/>
      <x:c r="E32" s="5"/>
      <x:c r="F32" s="5"/>
      <x:c r="G32" s="5"/>
    </x:row>
    <x:row r="33" ht="25" customHeight="1">
      <x:c r="A33" s="2"/>
      <x:c r="B33" s="2"/>
      <x:c r="C33" s="2"/>
      <x:c r="D33" s="5"/>
      <x:c r="E33" s="5"/>
      <x:c r="F33" s="5"/>
      <x:c r="G33" s="5"/>
    </x:row>
    <x:row r="34" ht="34" customHeight="1">
      <x:c r="A34" s="2"/>
      <x:c r="B34" s="2"/>
      <x:c r="C34" s="8" t="str">
        <x:v>Shared teaching assumptions</x:v>
      </x:c>
      <x:c r="D34" s="17" t="str">
        <x:v>Value</x:v>
      </x:c>
      <x:c r="E34" s="5"/>
      <x:c r="F34" s="5"/>
      <x:c r="G34" s="5"/>
    </x:row>
    <x:row r="35" ht="25" customHeight="1">
      <x:c r="A35" s="2"/>
      <x:c r="B35" s="2"/>
      <x:c r="C35" s="2" t="str">
        <x:v>Monthly payroll</x:v>
      </x:c>
      <x:c r="D35" s="20" t="n">
        <x:v>600000</x:v>
      </x:c>
      <x:c r="E35" s="5"/>
      <x:c r="F35" s="5"/>
      <x:c r="G35" s="5"/>
    </x:row>
    <x:row r="36" ht="25" customHeight="1">
      <x:c r="A36" s="2"/>
      <x:c r="B36" s="2"/>
      <x:c r="C36" s="2" t="str">
        <x:v>Monthly other cash opex</x:v>
      </x:c>
      <x:c r="D36" s="20" t="n">
        <x:v>200000</x:v>
      </x:c>
      <x:c r="E36" s="5"/>
      <x:c r="F36" s="5"/>
      <x:c r="G36" s="5"/>
    </x:row>
    <x:row r="37" ht="25" customHeight="1">
      <x:c r="A37" s="2"/>
      <x:c r="B37" s="2"/>
      <x:c r="C37" s="2" t="str">
        <x:v>Monthly depreciation</x:v>
      </x:c>
      <x:c r="D37" s="20" t="n">
        <x:v>20000</x:v>
      </x:c>
      <x:c r="E37" s="5"/>
      <x:c r="F37" s="5"/>
      <x:c r="G37" s="5"/>
    </x:row>
    <x:row r="38" ht="25" customHeight="1">
      <x:c r="A38" s="2"/>
      <x:c r="B38" s="2"/>
      <x:c r="C38" s="2" t="str">
        <x:v>Monthly capex</x:v>
      </x:c>
      <x:c r="D38" s="20" t="n">
        <x:v>100000</x:v>
      </x:c>
      <x:c r="E38" s="5"/>
      <x:c r="F38" s="5"/>
      <x:c r="G38" s="5"/>
    </x:row>
    <x:row r="39" ht="25" customHeight="1">
      <x:c r="A39" s="2"/>
      <x:c r="B39" s="2"/>
      <x:c r="C39" s="2" t="str">
        <x:v>Opening cash at 31 Oct</x:v>
      </x:c>
      <x:c r="D39" s="20" t="n">
        <x:v>2000000</x:v>
      </x:c>
      <x:c r="E39" s="5"/>
      <x:c r="F39" s="5"/>
      <x:c r="G39" s="5"/>
    </x:row>
    <x:row r="40" ht="25" customHeight="1">
      <x:c r="A40" s="2"/>
      <x:c r="B40" s="2"/>
      <x:c r="C40" s="2" t="str">
        <x:v>Minimum cash target</x:v>
      </x:c>
      <x:c r="D40" s="20" t="n">
        <x:v>1500000</x:v>
      </x:c>
      <x:c r="E40" s="5"/>
      <x:c r="F40" s="5"/>
      <x:c r="G40" s="5"/>
    </x:row>
    <x:row r="41" ht="25" customHeight="1">
      <x:c r="A41" s="2"/>
      <x:c r="B41" s="2"/>
      <x:c r="C41" s="2" t="str">
        <x:v>Opening DSO</x:v>
      </x:c>
      <x:c r="D41" s="20" t="n">
        <x:v>30</x:v>
      </x:c>
      <x:c r="E41" s="5"/>
      <x:c r="F41" s="5"/>
      <x:c r="G41" s="5"/>
    </x:row>
    <x:row r="42" ht="25" customHeight="1">
      <x:c r="A42" s="2"/>
      <x:c r="B42" s="2"/>
      <x:c r="C42" s="2" t="str">
        <x:v>Opening DIO</x:v>
      </x:c>
      <x:c r="D42" s="20" t="n">
        <x:v>45</x:v>
      </x:c>
      <x:c r="E42" s="5"/>
      <x:c r="F42" s="5"/>
      <x:c r="G42" s="5"/>
    </x:row>
    <x:row r="43" ht="25" customHeight="1">
      <x:c r="A43" s="2"/>
      <x:c r="B43" s="2"/>
      <x:c r="C43" s="2" t="str">
        <x:v>Opening DPO proxy</x:v>
      </x:c>
      <x:c r="D43" s="20" t="n">
        <x:v>30</x:v>
      </x:c>
      <x:c r="E43" s="5"/>
      <x:c r="F43" s="5"/>
      <x:c r="G43" s="5"/>
    </x:row>
    <x:row r="44" ht="25" customHeight="1">
      <x:c r="A44" s="2"/>
      <x:c r="B44" s="2"/>
      <x:c r="C44" s="2" t="str">
        <x:v>Days per model month</x:v>
      </x:c>
      <x:c r="D44" s="20" t="n">
        <x:v>30</x:v>
      </x:c>
      <x:c r="E44" s="5"/>
      <x:c r="F44" s="5"/>
      <x:c r="G44" s="5"/>
    </x:row>
    <x:row r="45" ht="25" customHeight="1">
      <x:c r="A45" s="2"/>
      <x:c r="B45" s="2"/>
      <x:c r="C45" s="2"/>
      <x:c r="D45" s="5"/>
      <x:c r="E45" s="5"/>
      <x:c r="F45" s="5"/>
      <x:c r="G45" s="5"/>
    </x:row>
    <x:row r="46" ht="25" customHeight="1">
      <x:c r="A46" s="2"/>
      <x:c r="B46" s="2"/>
      <x:c r="C46" s="2"/>
      <x:c r="D46" s="5"/>
      <x:c r="E46" s="5"/>
      <x:c r="F46" s="5"/>
      <x:c r="G46" s="5"/>
    </x:row>
    <x:row r="47" ht="25" customHeight="1">
      <x:c r="A47" s="2"/>
      <x:c r="B47" s="2"/>
      <x:c r="C47" s="2" t="str">
        <x:v>All yellow inputs are teaching assumptions, not company guidance.</x:v>
      </x:c>
      <x:c r="D47" s="5"/>
      <x:c r="E47" s="5"/>
      <x:c r="F47" s="5"/>
      <x:c r="G47" s="5"/>
    </x:row>
    <x:row r="48" ht="25" customHeight="1">
      <x:c r="A48" s="2"/>
      <x:c r="B48" s="2"/>
      <x:c r="C48" s="2"/>
      <x:c r="D48" s="5"/>
      <x:c r="E48" s="5"/>
      <x:c r="F48" s="5"/>
      <x:c r="G48" s="5"/>
    </x:row>
    <x:row r="49" ht="25" customHeight="1">
      <x:c r="A49" s="2"/>
      <x:c r="B49" s="2"/>
      <x:c r="C49" s="2" t="str">
        <x:v>No tax, interest, dividends or financing. Opex is paid when incurred.</x:v>
      </x:c>
      <x:c r="D49" s="5"/>
      <x:c r="E49" s="5"/>
      <x:c r="F49" s="5"/>
      <x:c r="G49" s="5"/>
    </x:row>
    <x:row r="50" ht="25" customHeight="1">
      <x:c r="A50" s="2"/>
      <x:c r="B50" s="2"/>
      <x:c r="C50" s="2"/>
      <x:c r="D50" s="5"/>
      <x:c r="E50" s="5"/>
      <x:c r="F50" s="5"/>
      <x:c r="G50" s="5"/>
    </x:row>
    <x:row r="51" ht="25" customHeight="1">
      <x:c r="A51" s="2"/>
      <x:c r="B51" s="2"/>
      <x:c r="C51" s="2" t="str">
        <x:v>Working capital uses a 30-day convention; balances are proxies.</x:v>
      </x:c>
      <x:c r="D51" s="5"/>
      <x:c r="E51" s="5"/>
      <x:c r="F51" s="5"/>
      <x:c r="G51" s="5"/>
    </x:row>
    <x:row r="52" ht="25" customHeight="1">
      <x:c r="A52" s="2"/>
      <x:c r="B52" s="2"/>
      <x:c r="C52" s="2"/>
      <x:c r="D52" s="5"/>
      <x:c r="E52" s="5"/>
      <x:c r="F52" s="5"/>
      <x:c r="G52" s="5"/>
    </x:row>
    <x:row r="53" ht="25" customHeight="1">
      <x:c r="A53" s="2"/>
      <x:c r="B53" s="2"/>
      <x:c r="C53" s="2" t="str">
        <x:v>Opening AP uses October COGS; later AP uses purchases.</x:v>
      </x:c>
      <x:c r="D53" s="5"/>
      <x:c r="E53" s="5"/>
      <x:c r="F53" s="5"/>
      <x:c r="G53" s="5"/>
    </x:row>
    <x:row r="54" ht="25" customHeight="1">
      <x:c r="A54" s="2"/>
      <x:c r="B54" s="2"/>
      <x:c r="C54" s="2"/>
      <x:c r="D54" s="5"/>
      <x:c r="E54" s="5"/>
      <x:c r="F54" s="5"/>
      <x:c r="G54" s="5"/>
    </x:row>
    <x:row r="55" ht="25" customHeight="1">
      <x:c r="A55" s="2"/>
      <x:c r="B55" s="2"/>
      <x:c r="C55" s="2"/>
      <x:c r="D55" s="5"/>
      <x:c r="E55" s="5"/>
      <x:c r="F55" s="5"/>
      <x:c r="G55" s="5"/>
    </x:row>
    <x:row r="56" ht="25" customHeight="1">
      <x:c r="A56" s="2"/>
      <x:c r="B56" s="2"/>
      <x:c r="C56" s="2"/>
      <x:c r="D56" s="5"/>
      <x:c r="E56" s="5"/>
      <x:c r="F56" s="5"/>
      <x:c r="G56" s="5"/>
    </x:row>
    <x:row r="57" ht="25" customHeight="1">
      <x:c r="A57" s="2"/>
      <x:c r="B57" s="2"/>
      <x:c r="C57" s="2"/>
      <x:c r="D57" s="5"/>
      <x:c r="E57" s="5"/>
      <x:c r="F57" s="5"/>
      <x:c r="G57" s="5"/>
    </x:row>
    <x:row r="58" ht="25" customHeight="1">
      <x:c r="A58" s="2"/>
      <x:c r="B58" s="2"/>
      <x:c r="C58" s="2"/>
      <x:c r="D58" s="5"/>
      <x:c r="E58" s="5"/>
      <x:c r="F58" s="5"/>
      <x:c r="G58" s="5"/>
    </x:row>
  </x:sheetData>
  <x:dataValidations count="1">
    <x:dataValidation type="whole" operator="between" sqref="D5">
      <x:formula1>1</x:formula1>
      <x:formula2>3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82E3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27" hidden="0" customWidth="1"/>
    <x:col min="5" max="5" width="20" hidden="0" customWidth="1"/>
    <x:col min="6" max="6" width="20" hidden="0" customWidth="1"/>
    <x:col min="7" max="7" width="20" hidden="0" customWidth="1"/>
    <x:col min="8" max="8" width="28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2"/>
      <x:c r="B2" s="2"/>
      <x:c r="C2" s="3" t="str">
        <x:v>F17. Accrual close and adjusted trial balance</x:v>
      </x:c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</x:row>
    <x:row r="4" ht="25" customHeight="1">
      <x:c r="A4" s="2"/>
      <x:c r="B4" s="2"/>
      <x:c r="C4" s="2" t="str">
        <x:v>Fully synthetic teaching ledger. Separate from Financial Sample.</x:v>
      </x:c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2"/>
      <x:c r="B6" s="2"/>
      <x:c r="C6" s="8" t="str">
        <x:v>Account</x:v>
      </x:c>
      <x:c r="D6" s="8" t="str">
        <x:v>Unadjusted Dr−Cr</x:v>
      </x:c>
      <x:c r="E6" s="8" t="str">
        <x:v>Adjustments</x:v>
      </x:c>
      <x:c r="F6" s="8" t="str">
        <x:v>Adjusted Dr−Cr</x:v>
      </x:c>
      <x:c r="G6" s="2"/>
      <x:c r="H6" s="2"/>
      <x:c r="I6" s="2"/>
      <x:c r="J6" s="2"/>
      <x:c r="K6" s="2"/>
    </x:row>
    <x:row r="7" ht="25" customHeight="1">
      <x:c r="A7" s="2"/>
      <x:c r="B7" s="2"/>
      <x:c r="C7" s="2" t="str">
        <x:v>Cash</x:v>
      </x:c>
      <x:c r="D7" s="5" t="n">
        <x:v>200000</x:v>
      </x:c>
      <x:c r="E7" s="18" t="n">
        <x:f>SUMIFS($E$25:$E$34,$D$25:$D$34,C7)-SUMIFS($F$25:$F$34,$D$25:$D$34,C7)</x:f>
        <x:v>0</x:v>
      </x:c>
      <x:c r="F7" s="18" t="n">
        <x:f>D7+E7</x:f>
        <x:v>200000</x:v>
      </x:c>
      <x:c r="G7" s="5"/>
      <x:c r="H7" s="5" t="str">
        <x:v>Before close profit</x:v>
      </x:c>
      <x:c r="I7" s="18" t="n">
        <x:f>-D16-D17-D18</x:f>
        <x:v>200000</x:v>
      </x:c>
      <x:c r="J7" s="5"/>
      <x:c r="K7" s="5"/>
    </x:row>
    <x:row r="8" ht="25" customHeight="1">
      <x:c r="A8" s="2"/>
      <x:c r="B8" s="2"/>
      <x:c r="C8" s="2" t="str">
        <x:v>Receivables</x:v>
      </x:c>
      <x:c r="D8" s="5" t="n">
        <x:v>300000</x:v>
      </x:c>
      <x:c r="E8" s="18" t="n">
        <x:f>SUMIFS($E$25:$E$34,$D$25:$D$34,C8)-SUMIFS($F$25:$F$34,$D$25:$D$34,C8)</x:f>
        <x:v>0</x:v>
      </x:c>
      <x:c r="F8" s="18" t="n">
        <x:f>D8+E8</x:f>
        <x:v>300000</x:v>
      </x:c>
      <x:c r="G8" s="5"/>
      <x:c r="H8" s="5"/>
      <x:c r="I8" s="5"/>
      <x:c r="J8" s="5"/>
      <x:c r="K8" s="5"/>
    </x:row>
    <x:row r="9" ht="25" customHeight="1">
      <x:c r="A9" s="2"/>
      <x:c r="B9" s="2"/>
      <x:c r="C9" s="2" t="str">
        <x:v>Equipment</x:v>
      </x:c>
      <x:c r="D9" s="5" t="n">
        <x:v>100000</x:v>
      </x:c>
      <x:c r="E9" s="18" t="n">
        <x:f>SUMIFS($E$25:$E$34,$D$25:$D$34,C9)-SUMIFS($F$25:$F$34,$D$25:$D$34,C9)</x:f>
        <x:v>60000</x:v>
      </x:c>
      <x:c r="F9" s="18" t="n">
        <x:f>D9+E9</x:f>
        <x:v>160000</x:v>
      </x:c>
      <x:c r="G9" s="5"/>
      <x:c r="H9" s="5" t="str">
        <x:v>After close profit</x:v>
      </x:c>
      <x:c r="I9" s="18" t="n">
        <x:f>-F16-F17-F18</x:f>
        <x:v>180000</x:v>
      </x:c>
      <x:c r="J9" s="5"/>
      <x:c r="K9" s="5"/>
    </x:row>
    <x:row r="10" ht="25" customHeight="1">
      <x:c r="A10" s="2"/>
      <x:c r="B10" s="2"/>
      <x:c r="C10" s="2" t="str">
        <x:v>Prepayments</x:v>
      </x:c>
      <x:c r="D10" s="5" t="n">
        <x:v>120000</x:v>
      </x:c>
      <x:c r="E10" s="18" t="n">
        <x:f>SUMIFS($E$25:$E$34,$D$25:$D$34,C10)-SUMIFS($F$25:$F$34,$D$25:$D$34,C10)</x:f>
        <x:v>-10000</x:v>
      </x:c>
      <x:c r="F10" s="18" t="n">
        <x:f>D10+E10</x:f>
        <x:v>110000</x:v>
      </x:c>
      <x:c r="G10" s="5"/>
      <x:c r="H10" s="5"/>
      <x:c r="I10" s="5"/>
      <x:c r="J10" s="5"/>
      <x:c r="K10" s="5"/>
    </x:row>
    <x:row r="11" ht="25" customHeight="1">
      <x:c r="A11" s="2"/>
      <x:c r="B11" s="2"/>
      <x:c r="C11" s="2" t="str">
        <x:v>Payables</x:v>
      </x:c>
      <x:c r="D11" s="5" t="n">
        <x:v>-220000</x:v>
      </x:c>
      <x:c r="E11" s="18" t="n">
        <x:f>SUMIFS($E$25:$E$34,$D$25:$D$34,C11)-SUMIFS($F$25:$F$34,$D$25:$D$34,C11)</x:f>
        <x:v>0</x:v>
      </x:c>
      <x:c r="F11" s="18" t="n">
        <x:f>D11+E11</x:f>
        <x:v>-220000</x:v>
      </x:c>
      <x:c r="G11" s="5"/>
      <x:c r="H11" s="5" t="str">
        <x:v>Profit adjustment</x:v>
      </x:c>
      <x:c r="I11" s="18" t="n">
        <x:f>I9-I7</x:f>
        <x:v>-20000</x:v>
      </x:c>
      <x:c r="J11" s="5"/>
      <x:c r="K11" s="5"/>
    </x:row>
    <x:row r="12" ht="25" customHeight="1">
      <x:c r="A12" s="2"/>
      <x:c r="B12" s="2"/>
      <x:c r="C12" s="2" t="str">
        <x:v>Accrued expenses</x:v>
      </x:c>
      <x:c r="D12" s="5" t="n">
        <x:v>0</x:v>
      </x:c>
      <x:c r="E12" s="18" t="n">
        <x:f>SUMIFS($E$25:$E$34,$D$25:$D$34,C12)-SUMIFS($F$25:$F$34,$D$25:$D$34,C12)</x:f>
        <x:v>-40000</x:v>
      </x:c>
      <x:c r="F12" s="18" t="n">
        <x:f>D12+E12</x:f>
        <x:v>-40000</x:v>
      </x:c>
      <x:c r="G12" s="5"/>
      <x:c r="H12" s="5"/>
      <x:c r="I12" s="5"/>
      <x:c r="J12" s="5"/>
      <x:c r="K12" s="5"/>
    </x:row>
    <x:row r="13" ht="25" customHeight="1">
      <x:c r="A13" s="2"/>
      <x:c r="B13" s="2"/>
      <x:c r="C13" s="2" t="str">
        <x:v>Deferred revenue</x:v>
      </x:c>
      <x:c r="D13" s="5" t="n">
        <x:v>0</x:v>
      </x:c>
      <x:c r="E13" s="18" t="n">
        <x:f>SUMIFS($E$25:$E$34,$D$25:$D$34,C13)-SUMIFS($F$25:$F$34,$D$25:$D$34,C13)</x:f>
        <x:v>-25000</x:v>
      </x:c>
      <x:c r="F13" s="18" t="n">
        <x:f>D13+E13</x:f>
        <x:v>-25000</x:v>
      </x:c>
      <x:c r="G13" s="5"/>
      <x:c r="H13" s="5" t="str">
        <x:v>Net assets</x:v>
      </x:c>
      <x:c r="I13" s="18" t="n">
        <x:f>SUM(F7:F14)</x:f>
        <x:v>480000</x:v>
      </x:c>
      <x:c r="J13" s="5"/>
      <x:c r="K13" s="5"/>
    </x:row>
    <x:row r="14" ht="25" customHeight="1">
      <x:c r="A14" s="2"/>
      <x:c r="B14" s="2"/>
      <x:c r="C14" s="2" t="str">
        <x:v>Accumulated depreciation</x:v>
      </x:c>
      <x:c r="D14" s="5" t="n">
        <x:v>0</x:v>
      </x:c>
      <x:c r="E14" s="18" t="n">
        <x:f>SUMIFS($E$25:$E$34,$D$25:$D$34,C14)-SUMIFS($F$25:$F$34,$D$25:$D$34,C14)</x:f>
        <x:v>-5000</x:v>
      </x:c>
      <x:c r="F14" s="18" t="n">
        <x:f>D14+E14</x:f>
        <x:v>-5000</x:v>
      </x:c>
      <x:c r="G14" s="5"/>
      <x:c r="H14" s="5"/>
      <x:c r="I14" s="5"/>
      <x:c r="J14" s="5"/>
      <x:c r="K14" s="5"/>
    </x:row>
    <x:row r="15" ht="25" customHeight="1">
      <x:c r="A15" s="2"/>
      <x:c r="B15" s="2"/>
      <x:c r="C15" s="2" t="str">
        <x:v>Opening equity</x:v>
      </x:c>
      <x:c r="D15" s="5" t="n">
        <x:v>-300000</x:v>
      </x:c>
      <x:c r="E15" s="18" t="n">
        <x:f>SUMIFS($E$25:$E$34,$D$25:$D$34,C15)-SUMIFS($F$25:$F$34,$D$25:$D$34,C15)</x:f>
        <x:v>0</x:v>
      </x:c>
      <x:c r="F15" s="18" t="n">
        <x:f>D15+E15</x:f>
        <x:v>-300000</x:v>
      </x:c>
      <x:c r="G15" s="5"/>
      <x:c r="H15" s="5" t="str">
        <x:v>Equity plus profit</x:v>
      </x:c>
      <x:c r="I15" s="18" t="n">
        <x:f>-F15+I9</x:f>
        <x:v>480000</x:v>
      </x:c>
      <x:c r="J15" s="5"/>
      <x:c r="K15" s="5"/>
    </x:row>
    <x:row r="16" ht="25" customHeight="1">
      <x:c r="A16" s="2"/>
      <x:c r="B16" s="2"/>
      <x:c r="C16" s="2" t="str">
        <x:v>Revenue</x:v>
      </x:c>
      <x:c r="D16" s="5" t="n">
        <x:v>-500000</x:v>
      </x:c>
      <x:c r="E16" s="18" t="n">
        <x:f>SUMIFS($E$25:$E$34,$D$25:$D$34,C16)-SUMIFS($F$25:$F$34,$D$25:$D$34,C16)</x:f>
        <x:v>25000</x:v>
      </x:c>
      <x:c r="F16" s="18" t="n">
        <x:f>D16+E16</x:f>
        <x:v>-475000</x:v>
      </x:c>
      <x:c r="G16" s="5"/>
      <x:c r="H16" s="5"/>
      <x:c r="I16" s="5"/>
      <x:c r="J16" s="5"/>
      <x:c r="K16" s="5"/>
    </x:row>
    <x:row r="17" ht="25" customHeight="1">
      <x:c r="A17" s="2"/>
      <x:c r="B17" s="2"/>
      <x:c r="C17" s="2" t="str">
        <x:v>Operating expenses</x:v>
      </x:c>
      <x:c r="D17" s="5" t="n">
        <x:v>300000</x:v>
      </x:c>
      <x:c r="E17" s="18" t="n">
        <x:f>SUMIFS($E$25:$E$34,$D$25:$D$34,C17)-SUMIFS($F$25:$F$34,$D$25:$D$34,C17)</x:f>
        <x:v>-10000</x:v>
      </x:c>
      <x:c r="F17" s="18" t="n">
        <x:f>D17+E17</x:f>
        <x:v>290000</x:v>
      </x:c>
      <x:c r="G17" s="5"/>
      <x:c r="H17" s="5" t="str">
        <x:v>Balance sheet difference</x:v>
      </x:c>
      <x:c r="I17" s="32" t="n">
        <x:f>I13-I15</x:f>
        <x:v>0</x:v>
      </x:c>
      <x:c r="J17" s="5"/>
      <x:c r="K17" s="5"/>
    </x:row>
    <x:row r="18" ht="25" customHeight="1">
      <x:c r="A18" s="2"/>
      <x:c r="B18" s="2"/>
      <x:c r="C18" s="2" t="str">
        <x:v>Depreciation expense</x:v>
      </x:c>
      <x:c r="D18" s="5" t="n">
        <x:v>0</x:v>
      </x:c>
      <x:c r="E18" s="18" t="n">
        <x:f>SUMIFS($E$25:$E$34,$D$25:$D$34,C18)-SUMIFS($F$25:$F$34,$D$25:$D$34,C18)</x:f>
        <x:v>5000</x:v>
      </x:c>
      <x:c r="F18" s="18" t="n">
        <x:f>D18+E18</x:f>
        <x:v>5000</x:v>
      </x:c>
      <x:c r="G18" s="5"/>
      <x:c r="H18" s="5"/>
      <x:c r="I18" s="5"/>
      <x:c r="J18" s="5"/>
      <x:c r="K18" s="5"/>
    </x:row>
    <x:row r="19" ht="25" customHeight="1">
      <x:c r="A19" s="2"/>
      <x:c r="B19" s="2"/>
      <x:c r="C19" s="2"/>
      <x:c r="D19" s="5"/>
      <x:c r="E19" s="5"/>
      <x:c r="F19" s="5"/>
      <x:c r="G19" s="5"/>
      <x:c r="H19" s="5"/>
      <x:c r="I19" s="5"/>
      <x:c r="J19" s="5"/>
      <x:c r="K19" s="5"/>
    </x:row>
    <x:row r="20" ht="25" customHeight="1">
      <x:c r="A20" s="2"/>
      <x:c r="B20" s="2"/>
      <x:c r="C20" s="2" t="str">
        <x:v>Trial balance difference</x:v>
      </x:c>
      <x:c r="D20" s="32" t="n">
        <x:f>SUM(D7:D18)</x:f>
        <x:v>0</x:v>
      </x:c>
      <x:c r="E20" s="32" t="n">
        <x:f>SUM(E7:E18)</x:f>
        <x:v>0</x:v>
      </x:c>
      <x:c r="F20" s="32" t="n">
        <x:f>SUM(F7:F18)</x:f>
        <x:v>0</x:v>
      </x:c>
      <x:c r="G20" s="5"/>
      <x:c r="H20" s="5"/>
      <x:c r="I20" s="5"/>
      <x:c r="J20" s="5"/>
      <x:c r="K20" s="5"/>
    </x:row>
    <x:row r="21" ht="25" customHeight="1">
      <x:c r="A21" s="2"/>
      <x:c r="B21" s="2"/>
      <x:c r="C21" s="2"/>
      <x:c r="D21" s="5"/>
      <x:c r="E21" s="5"/>
      <x:c r="F21" s="5"/>
      <x:c r="G21" s="5"/>
      <x:c r="H21" s="5"/>
      <x:c r="I21" s="5"/>
      <x:c r="J21" s="5"/>
      <x:c r="K21" s="5"/>
    </x:row>
    <x:row r="22" ht="25" customHeight="1">
      <x:c r="A22" s="2"/>
      <x:c r="B22" s="2"/>
      <x:c r="C22" s="2"/>
      <x:c r="D22" s="5"/>
      <x:c r="E22" s="5"/>
      <x:c r="F22" s="5"/>
      <x:c r="G22" s="5"/>
      <x:c r="H22" s="5"/>
      <x:c r="I22" s="5"/>
      <x:c r="J22" s="5"/>
      <x:c r="K22" s="5"/>
    </x:row>
    <x:row r="23" ht="25" customHeight="1">
      <x:c r="A23" s="2"/>
      <x:c r="B23" s="2"/>
      <x:c r="C23" s="2"/>
      <x:c r="D23" s="5"/>
      <x:c r="E23" s="5"/>
      <x:c r="F23" s="5"/>
      <x:c r="G23" s="5"/>
      <x:c r="H23" s="5"/>
      <x:c r="I23" s="5"/>
      <x:c r="J23" s="5"/>
      <x:c r="K23" s="5"/>
    </x:row>
    <x:row r="24" ht="34" customHeight="1">
      <x:c r="A24" s="2"/>
      <x:c r="B24" s="2"/>
      <x:c r="C24" s="8" t="str">
        <x:v>Journal</x:v>
      </x:c>
      <x:c r="D24" s="17" t="str">
        <x:v>Account</x:v>
      </x:c>
      <x:c r="E24" s="17" t="str">
        <x:v>Debit</x:v>
      </x:c>
      <x:c r="F24" s="17" t="str">
        <x:v>Credit</x:v>
      </x:c>
      <x:c r="G24" s="5"/>
      <x:c r="H24" s="5"/>
      <x:c r="I24" s="5"/>
      <x:c r="J24" s="5"/>
      <x:c r="K24" s="5"/>
    </x:row>
    <x:row r="25" ht="25" customHeight="1">
      <x:c r="A25" s="2"/>
      <x:c r="B25" s="2"/>
      <x:c r="C25" s="2" t="str">
        <x:v>J1</x:v>
      </x:c>
      <x:c r="D25" s="5" t="str">
        <x:v>Operating expenses</x:v>
      </x:c>
      <x:c r="E25" s="33" t="n">
        <x:v>40000</x:v>
      </x:c>
      <x:c r="F25" s="33" t="n">
        <x:v>0</x:v>
      </x:c>
      <x:c r="G25" s="5"/>
      <x:c r="H25" s="5" t="str">
        <x:v>J1 balance</x:v>
      </x:c>
      <x:c r="I25" s="32" t="n">
        <x:f>SUMIFS($E$25:$E$34,$C$25:$C$34,"J1")-SUMIFS($F$25:$F$34,$C$25:$C$34,"J1")</x:f>
        <x:v>0</x:v>
      </x:c>
      <x:c r="J25" s="5"/>
      <x:c r="K25" s="5"/>
    </x:row>
    <x:row r="26" ht="25" customHeight="1">
      <x:c r="A26" s="2"/>
      <x:c r="B26" s="2"/>
      <x:c r="C26" s="2" t="str">
        <x:v>J1</x:v>
      </x:c>
      <x:c r="D26" s="5" t="str">
        <x:v>Accrued expenses</x:v>
      </x:c>
      <x:c r="E26" s="33" t="n">
        <x:v>0</x:v>
      </x:c>
      <x:c r="F26" s="33" t="n">
        <x:v>40000</x:v>
      </x:c>
      <x:c r="G26" s="5"/>
      <x:c r="H26" s="5" t="str">
        <x:v>J2 balance</x:v>
      </x:c>
      <x:c r="I26" s="32" t="n">
        <x:f>SUMIFS($E$25:$E$34,$C$25:$C$34,"J2")-SUMIFS($F$25:$F$34,$C$25:$C$34,"J2")</x:f>
        <x:v>0</x:v>
      </x:c>
      <x:c r="J26" s="5"/>
      <x:c r="K26" s="5"/>
    </x:row>
    <x:row r="27" ht="25" customHeight="1">
      <x:c r="A27" s="2"/>
      <x:c r="B27" s="2"/>
      <x:c r="C27" s="2" t="str">
        <x:v>J2</x:v>
      </x:c>
      <x:c r="D27" s="5" t="str">
        <x:v>Operating expenses</x:v>
      </x:c>
      <x:c r="E27" s="33" t="n">
        <x:v>10000</x:v>
      </x:c>
      <x:c r="F27" s="33" t="n">
        <x:v>0</x:v>
      </x:c>
      <x:c r="G27" s="5"/>
      <x:c r="H27" s="5" t="str">
        <x:v>J3 balance</x:v>
      </x:c>
      <x:c r="I27" s="32" t="n">
        <x:f>SUMIFS($E$25:$E$34,$C$25:$C$34,"J3")-SUMIFS($F$25:$F$34,$C$25:$C$34,"J3")</x:f>
        <x:v>0</x:v>
      </x:c>
      <x:c r="J27" s="5"/>
      <x:c r="K27" s="5"/>
    </x:row>
    <x:row r="28" ht="25" customHeight="1">
      <x:c r="A28" s="2"/>
      <x:c r="B28" s="2"/>
      <x:c r="C28" s="2" t="str">
        <x:v>J2</x:v>
      </x:c>
      <x:c r="D28" s="5" t="str">
        <x:v>Prepayments</x:v>
      </x:c>
      <x:c r="E28" s="33" t="n">
        <x:v>0</x:v>
      </x:c>
      <x:c r="F28" s="33" t="n">
        <x:v>10000</x:v>
      </x:c>
      <x:c r="G28" s="5"/>
      <x:c r="H28" s="5" t="str">
        <x:v>J4 balance</x:v>
      </x:c>
      <x:c r="I28" s="32" t="n">
        <x:f>SUMIFS($E$25:$E$34,$C$25:$C$34,"J4")-SUMIFS($F$25:$F$34,$C$25:$C$34,"J4")</x:f>
        <x:v>0</x:v>
      </x:c>
      <x:c r="J28" s="5"/>
      <x:c r="K28" s="5"/>
    </x:row>
    <x:row r="29" ht="25" customHeight="1">
      <x:c r="A29" s="2"/>
      <x:c r="B29" s="2"/>
      <x:c r="C29" s="2" t="str">
        <x:v>J3</x:v>
      </x:c>
      <x:c r="D29" s="5" t="str">
        <x:v>Equipment</x:v>
      </x:c>
      <x:c r="E29" s="33" t="n">
        <x:v>60000</x:v>
      </x:c>
      <x:c r="F29" s="33" t="n">
        <x:v>0</x:v>
      </x:c>
      <x:c r="G29" s="5"/>
      <x:c r="H29" s="5" t="str">
        <x:v>J5 balance</x:v>
      </x:c>
      <x:c r="I29" s="32" t="n">
        <x:f>SUMIFS($E$25:$E$34,$C$25:$C$34,"J5")-SUMIFS($F$25:$F$34,$C$25:$C$34,"J5")</x:f>
        <x:v>0</x:v>
      </x:c>
      <x:c r="J29" s="5"/>
      <x:c r="K29" s="5"/>
    </x:row>
    <x:row r="30" ht="25" customHeight="1">
      <x:c r="A30" s="2"/>
      <x:c r="B30" s="2"/>
      <x:c r="C30" s="2" t="str">
        <x:v>J3</x:v>
      </x:c>
      <x:c r="D30" s="5" t="str">
        <x:v>Operating expenses</x:v>
      </x:c>
      <x:c r="E30" s="33" t="n">
        <x:v>0</x:v>
      </x:c>
      <x:c r="F30" s="33" t="n">
        <x:v>60000</x:v>
      </x:c>
      <x:c r="G30" s="5"/>
      <x:c r="H30" s="5"/>
      <x:c r="I30" s="5"/>
      <x:c r="J30" s="5"/>
      <x:c r="K30" s="5"/>
    </x:row>
    <x:row r="31" ht="25" customHeight="1">
      <x:c r="A31" s="2"/>
      <x:c r="B31" s="2"/>
      <x:c r="C31" s="2" t="str">
        <x:v>J4</x:v>
      </x:c>
      <x:c r="D31" s="5" t="str">
        <x:v>Depreciation expense</x:v>
      </x:c>
      <x:c r="E31" s="33" t="n">
        <x:v>5000</x:v>
      </x:c>
      <x:c r="F31" s="33" t="n">
        <x:v>0</x:v>
      </x:c>
      <x:c r="G31" s="5"/>
      <x:c r="H31" s="5"/>
      <x:c r="I31" s="5"/>
      <x:c r="J31" s="5"/>
      <x:c r="K31" s="5"/>
    </x:row>
    <x:row r="32" ht="25" customHeight="1">
      <x:c r="A32" s="2"/>
      <x:c r="B32" s="2"/>
      <x:c r="C32" s="2" t="str">
        <x:v>J4</x:v>
      </x:c>
      <x:c r="D32" s="5" t="str">
        <x:v>Accumulated depreciation</x:v>
      </x:c>
      <x:c r="E32" s="33" t="n">
        <x:v>0</x:v>
      </x:c>
      <x:c r="F32" s="33" t="n">
        <x:v>5000</x:v>
      </x:c>
      <x:c r="G32" s="5"/>
      <x:c r="H32" s="5"/>
      <x:c r="I32" s="5"/>
      <x:c r="J32" s="5"/>
      <x:c r="K32" s="5"/>
    </x:row>
    <x:row r="33" ht="25" customHeight="1">
      <x:c r="A33" s="2"/>
      <x:c r="B33" s="2"/>
      <x:c r="C33" s="2" t="str">
        <x:v>J5</x:v>
      </x:c>
      <x:c r="D33" s="5" t="str">
        <x:v>Revenue</x:v>
      </x:c>
      <x:c r="E33" s="33" t="n">
        <x:v>25000</x:v>
      </x:c>
      <x:c r="F33" s="33" t="n">
        <x:v>0</x:v>
      </x:c>
      <x:c r="G33" s="5"/>
      <x:c r="H33" s="5"/>
      <x:c r="I33" s="5"/>
      <x:c r="J33" s="5"/>
      <x:c r="K33" s="5"/>
    </x:row>
    <x:row r="34" ht="25" customHeight="1">
      <x:c r="A34" s="2"/>
      <x:c r="B34" s="2"/>
      <x:c r="C34" s="2" t="str">
        <x:v>J5</x:v>
      </x:c>
      <x:c r="D34" s="5" t="str">
        <x:v>Deferred revenue</x:v>
      </x:c>
      <x:c r="E34" s="33" t="n">
        <x:v>0</x:v>
      </x:c>
      <x:c r="F34" s="33" t="n">
        <x:v>25000</x:v>
      </x:c>
      <x:c r="G34" s="5"/>
      <x:c r="H34" s="5"/>
      <x:c r="I34" s="5"/>
      <x:c r="J34" s="5"/>
      <x:c r="K34" s="5"/>
    </x:row>
    <x:row r="35" ht="25" customHeight="1">
      <x:c r="A35" s="2"/>
      <x:c r="B35" s="2"/>
      <x:c r="C35" s="2"/>
      <x:c r="D35" s="5"/>
      <x:c r="E35" s="5"/>
      <x:c r="F35" s="5"/>
      <x:c r="G35" s="5"/>
      <x:c r="H35" s="5"/>
      <x:c r="I35" s="5"/>
      <x:c r="J35" s="5"/>
      <x:c r="K35" s="5"/>
    </x:row>
    <x:row r="36" ht="25" customHeight="1">
      <x:c r="A36" s="2"/>
      <x:c r="B36" s="2"/>
      <x:c r="C36" s="2"/>
      <x:c r="D36" s="5"/>
      <x:c r="E36" s="5"/>
      <x:c r="F36" s="5"/>
      <x:c r="G36" s="5"/>
      <x:c r="H36" s="5"/>
      <x:c r="I36" s="5"/>
      <x:c r="J36" s="5"/>
      <x:c r="K36" s="5"/>
    </x:row>
    <x:row r="37" ht="25" customHeight="1">
      <x:c r="A37" s="2"/>
      <x:c r="B37" s="2"/>
      <x:c r="C37" s="2" t="str">
        <x:v>J1 unbilled services; J2 prepaid release; J3 expense capitalisation.</x:v>
      </x:c>
      <x:c r="D37" s="5"/>
      <x:c r="E37" s="5"/>
      <x:c r="F37" s="5"/>
      <x:c r="G37" s="5"/>
      <x:c r="H37" s="5"/>
      <x:c r="I37" s="5"/>
      <x:c r="J37" s="5"/>
      <x:c r="K37" s="5"/>
    </x:row>
    <x:row r="38" ht="25" customHeight="1">
      <x:c r="A38" s="2"/>
      <x:c r="B38" s="2"/>
      <x:c r="C38" s="2"/>
      <x:c r="D38" s="5"/>
      <x:c r="E38" s="5"/>
      <x:c r="F38" s="5"/>
      <x:c r="G38" s="5"/>
      <x:c r="H38" s="5"/>
      <x:c r="I38" s="5"/>
      <x:c r="J38" s="5"/>
      <x:c r="K38" s="5"/>
    </x:row>
    <x:row r="39" ht="25" customHeight="1">
      <x:c r="A39" s="2"/>
      <x:c r="B39" s="2"/>
      <x:c r="C39" s="2" t="str">
        <x:v>J4 depreciation; J5 cash received before revenue earned.</x:v>
      </x:c>
      <x:c r="D39" s="5"/>
      <x:c r="E39" s="5"/>
      <x:c r="F39" s="5"/>
      <x:c r="G39" s="5"/>
      <x:c r="H39" s="5"/>
      <x:c r="I39" s="5"/>
      <x:c r="J39" s="5"/>
      <x:c r="K39" s="5"/>
    </x:row>
    <x:row r="40" ht="25" customHeight="1">
      <x:c r="A40" s="2"/>
      <x:c r="B40" s="2"/>
      <x:c r="C40" s="2"/>
      <x:c r="D40" s="5"/>
      <x:c r="E40" s="5"/>
      <x:c r="F40" s="5"/>
      <x:c r="G40" s="5"/>
      <x:c r="H40" s="5"/>
      <x:c r="I40" s="5"/>
      <x:c r="J40" s="5"/>
      <x:c r="K40" s="5"/>
    </x:row>
    <x:row r="41" ht="25" customHeight="1">
      <x:c r="A41" s="2"/>
      <x:c r="B41" s="2"/>
      <x:c r="C41" s="2" t="str">
        <x:v>Journal dates, evidence and approval are illustrative, not audited.</x:v>
      </x:c>
      <x:c r="D41" s="5"/>
      <x:c r="E41" s="5"/>
      <x:c r="F41" s="5"/>
      <x:c r="G41" s="5"/>
      <x:c r="H41" s="5"/>
      <x:c r="I41" s="5"/>
      <x:c r="J41" s="5"/>
      <x:c r="K41" s="5"/>
    </x:row>
    <x:row r="42" ht="25" customHeight="1">
      <x:c r="A42" s="2"/>
      <x:c r="B42" s="2"/>
      <x:c r="C42" s="2"/>
      <x:c r="D42" s="5"/>
      <x:c r="E42" s="5"/>
      <x:c r="F42" s="5"/>
      <x:c r="G42" s="5"/>
      <x:c r="H42" s="5"/>
      <x:c r="I42" s="5"/>
      <x:c r="J42" s="5"/>
      <x:c r="K42" s="5"/>
    </x:row>
    <x:row r="43" ht="25" customHeight="1">
      <x:c r="A43" s="2"/>
      <x:c r="B43" s="2"/>
      <x:c r="C43" s="2"/>
      <x:c r="D43" s="5"/>
      <x:c r="E43" s="5"/>
      <x:c r="F43" s="5"/>
      <x:c r="G43" s="5"/>
      <x:c r="H43" s="5"/>
      <x:c r="I43" s="5"/>
      <x:c r="J43" s="5"/>
      <x:c r="K43" s="5"/>
    </x:row>
  </x:sheetData>
  <x:conditionalFormatting sqref="D20:F20">
    <x:cfRule type="cellIs" dxfId="8" priority="1" operator="notBetween">
      <x:formula>-0.01</x:formula>
      <x:formula>0.01</x:formula>
    </x:cfRule>
  </x:conditionalFormatting>
  <x:conditionalFormatting sqref="I17:I17">
    <x:cfRule type="cellIs" dxfId="9" priority="2" operator="notBetween">
      <x:formula>-0.01</x:formula>
      <x:formula>0.01</x:formula>
    </x:cfRule>
  </x:conditionalFormatting>
  <x:conditionalFormatting sqref="I25:I29">
    <x:cfRule type="cellIs" dxfId="10" priority="3" operator="notBetween">
      <x:formula>-0.01</x:formula>
      <x:formula>0.01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7B69B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Monthly source actuals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2" t="str">
        <x:v>https://learn.microsoft.com/en-us/power-bi/create-reports/sample-financial-download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2"/>
      <x:c r="B6" s="2"/>
      <x:c r="C6" s="8" t="str">
        <x:v>Month</x:v>
      </x:c>
      <x:c r="D6" s="8" t="str">
        <x:v>Units</x:v>
      </x:c>
      <x:c r="E6" s="8" t="str">
        <x:v>Gross sales</x:v>
      </x:c>
      <x:c r="F6" s="8" t="str">
        <x:v>Discounts</x:v>
      </x:c>
      <x:c r="G6" s="8" t="str">
        <x:v>Net sales</x:v>
      </x:c>
      <x:c r="H6" s="8" t="str">
        <x:v>COGS</x:v>
      </x:c>
      <x:c r="I6" s="8" t="str">
        <x:v>Sample profit</x:v>
      </x:c>
    </x:row>
    <x:row r="7" ht="25" customHeight="1">
      <x:c r="A7" s="2"/>
      <x:c r="B7" s="2"/>
      <x:c r="C7" s="9" t="n">
        <x:v>41518</x:v>
      </x:c>
      <x:c r="D7" s="10" t="n">
        <x:v>50601</x:v>
      </x:c>
      <x:c r="E7" s="5" t="n">
        <x:v>4729736</x:v>
      </x:c>
      <x:c r="F7" s="5" t="n">
        <x:v>245735.97</x:v>
      </x:c>
      <x:c r="G7" s="5" t="n">
        <x:v>4484000.03</x:v>
      </x:c>
      <x:c r="H7" s="5" t="n">
        <x:v>3720397</x:v>
      </x:c>
      <x:c r="I7" s="5" t="n">
        <x:v>763603.03</x:v>
      </x:c>
    </x:row>
    <x:row r="8" ht="25" customHeight="1">
      <x:c r="A8" s="2"/>
      <x:c r="B8" s="2"/>
      <x:c r="C8" s="9" t="n">
        <x:v>41548</x:v>
      </x:c>
      <x:c r="D8" s="10" t="n">
        <x:v>95622</x:v>
      </x:c>
      <x:c r="E8" s="5" t="n">
        <x:v>9828688</x:v>
      </x:c>
      <x:c r="F8" s="5" t="n">
        <x:v>533076.9</x:v>
      </x:c>
      <x:c r="G8" s="5" t="n">
        <x:v>9295611.1</x:v>
      </x:c>
      <x:c r="H8" s="5" t="n">
        <x:v>7637816</x:v>
      </x:c>
      <x:c r="I8" s="5" t="n">
        <x:v>1657795.1</x:v>
      </x:c>
    </x:row>
    <x:row r="9" ht="25" customHeight="1">
      <x:c r="A9" s="2"/>
      <x:c r="B9" s="2"/>
      <x:c r="C9" s="9" t="n">
        <x:v>41579</x:v>
      </x:c>
      <x:c r="D9" s="10" t="n">
        <x:v>65481</x:v>
      </x:c>
      <x:c r="E9" s="5" t="n">
        <x:v>8167338</x:v>
      </x:c>
      <x:c r="F9" s="5" t="n">
        <x:v>900134.7</x:v>
      </x:c>
      <x:c r="G9" s="5" t="n">
        <x:v>7267203.3</x:v>
      </x:c>
      <x:c r="H9" s="5" t="n">
        <x:v>6501701</x:v>
      </x:c>
      <x:c r="I9" s="5" t="n">
        <x:v>765502.3</x:v>
      </x:c>
    </x:row>
    <x:row r="10" ht="25" customHeight="1">
      <x:c r="A10" s="2"/>
      <x:c r="B10" s="2"/>
      <x:c r="C10" s="9" t="n">
        <x:v>41609</x:v>
      </x:c>
      <x:c r="D10" s="10" t="n">
        <x:v>52970</x:v>
      </x:c>
      <x:c r="E10" s="5" t="n">
        <x:v>5835025</x:v>
      </x:c>
      <x:c r="F10" s="5" t="n">
        <x:v>466583.92</x:v>
      </x:c>
      <x:c r="G10" s="5" t="n">
        <x:v>5368441.08</x:v>
      </x:c>
      <x:c r="H10" s="5" t="n">
        <x:v>4676877</x:v>
      </x:c>
      <x:c r="I10" s="5" t="n">
        <x:v>691564.08</x:v>
      </x:c>
    </x:row>
    <x:row r="11" ht="25" customHeight="1">
      <x:c r="A11" s="2"/>
      <x:c r="B11" s="2"/>
      <x:c r="C11" s="9" t="n">
        <x:v>41640</x:v>
      </x:c>
      <x:c r="D11" s="10" t="n">
        <x:v>67835.5</x:v>
      </x:c>
      <x:c r="E11" s="5" t="n">
        <x:v>7307403.5</x:v>
      </x:c>
      <x:c r="F11" s="5" t="n">
        <x:v>699641.82</x:v>
      </x:c>
      <x:c r="G11" s="5" t="n">
        <x:v>6607761.68</x:v>
      </x:c>
      <x:c r="H11" s="5" t="n">
        <x:v>5793733</x:v>
      </x:c>
      <x:c r="I11" s="5" t="n">
        <x:v>814028.68</x:v>
      </x:c>
    </x:row>
    <x:row r="12" ht="25" customHeight="1">
      <x:c r="A12" s="2"/>
      <x:c r="B12" s="2"/>
      <x:c r="C12" s="9" t="n">
        <x:v>41671</x:v>
      </x:c>
      <x:c r="D12" s="10" t="n">
        <x:v>55115</x:v>
      </x:c>
      <x:c r="E12" s="5" t="n">
        <x:v>7699201</x:v>
      </x:c>
      <x:c r="F12" s="5" t="n">
        <x:v>401669.61</x:v>
      </x:c>
      <x:c r="G12" s="5" t="n">
        <x:v>7297531.39</x:v>
      </x:c>
      <x:c r="H12" s="5" t="n">
        <x:v>6148984</x:v>
      </x:c>
      <x:c r="I12" s="5" t="n">
        <x:v>1148547.3900000001</x:v>
      </x:c>
    </x:row>
    <x:row r="13" ht="25" customHeight="1">
      <x:c r="A13" s="2"/>
      <x:c r="B13" s="2"/>
      <x:c r="C13" s="9" t="n">
        <x:v>41699</x:v>
      </x:c>
      <x:c r="D13" s="10" t="n">
        <x:v>53420</x:v>
      </x:c>
      <x:c r="E13" s="5" t="n">
        <x:v>6124026</x:v>
      </x:c>
      <x:c r="F13" s="5" t="n">
        <x:v>537166.13</x:v>
      </x:c>
      <x:c r="G13" s="5" t="n">
        <x:v>5586859.87</x:v>
      </x:c>
      <x:c r="H13" s="5" t="n">
        <x:v>4916993</x:v>
      </x:c>
      <x:c r="I13" s="5" t="n">
        <x:v>669866.87</x:v>
      </x:c>
    </x:row>
    <x:row r="14" ht="25" customHeight="1">
      <x:c r="A14" s="2"/>
      <x:c r="B14" s="2"/>
      <x:c r="C14" s="9" t="n">
        <x:v>41730</x:v>
      </x:c>
      <x:c r="D14" s="10" t="n">
        <x:v>78886.5</x:v>
      </x:c>
      <x:c r="E14" s="5" t="n">
        <x:v>7429392.5</x:v>
      </x:c>
      <x:c r="F14" s="5" t="n">
        <x:v>464617.43</x:v>
      </x:c>
      <x:c r="G14" s="5" t="n">
        <x:v>6964775.07</x:v>
      </x:c>
      <x:c r="H14" s="5" t="n">
        <x:v>6034790.5</x:v>
      </x:c>
      <x:c r="I14" s="5" t="n">
        <x:v>929984.5700000001</x:v>
      </x:c>
    </x:row>
    <x:row r="15" ht="25" customHeight="1">
      <x:c r="A15" s="2"/>
      <x:c r="B15" s="2"/>
      <x:c r="C15" s="9" t="n">
        <x:v>41760</x:v>
      </x:c>
      <x:c r="D15" s="10" t="n">
        <x:v>51771</x:v>
      </x:c>
      <x:c r="E15" s="5" t="n">
        <x:v>6767911</x:v>
      </x:c>
      <x:c r="F15" s="5" t="n">
        <x:v>557699.9400000001</x:v>
      </x:c>
      <x:c r="G15" s="5" t="n">
        <x:v>6210211.06</x:v>
      </x:c>
      <x:c r="H15" s="5" t="n">
        <x:v>5381571</x:v>
      </x:c>
      <x:c r="I15" s="5" t="n">
        <x:v>828640.0599999999</x:v>
      </x:c>
    </x:row>
    <x:row r="16" ht="25" customHeight="1">
      <x:c r="A16" s="2"/>
      <x:c r="B16" s="2"/>
      <x:c r="C16" s="9" t="n">
        <x:v>41791</x:v>
      </x:c>
      <x:c r="D16" s="10" t="n">
        <x:v>103302</x:v>
      </x:c>
      <x:c r="E16" s="5" t="n">
        <x:v>10268972</x:v>
      </x:c>
      <x:c r="F16" s="5" t="n">
        <x:v>750078.18</x:v>
      </x:c>
      <x:c r="G16" s="5" t="n">
        <x:v>9518893.82</x:v>
      </x:c>
      <x:c r="H16" s="5" t="n">
        <x:v>8045140</x:v>
      </x:c>
      <x:c r="I16" s="5" t="n">
        <x:v>1473753.82</x:v>
      </x:c>
    </x:row>
    <x:row r="17" ht="25" customHeight="1">
      <x:c r="A17" s="2"/>
      <x:c r="B17" s="2"/>
      <x:c r="C17" s="9" t="n">
        <x:v>41821</x:v>
      </x:c>
      <x:c r="D17" s="10" t="n">
        <x:v>69349</x:v>
      </x:c>
      <x:c r="E17" s="5" t="n">
        <x:v>8833027.5</x:v>
      </x:c>
      <x:c r="F17" s="5" t="n">
        <x:v>730107.32</x:v>
      </x:c>
      <x:c r="G17" s="5" t="n">
        <x:v>8102920.18</x:v>
      </x:c>
      <x:c r="H17" s="5" t="n">
        <x:v>7179054.5</x:v>
      </x:c>
      <x:c r="I17" s="5" t="n">
        <x:v>923865.6799999999</x:v>
      </x:c>
    </x:row>
    <x:row r="18" ht="25" customHeight="1">
      <x:c r="A18" s="2"/>
      <x:c r="B18" s="2"/>
      <x:c r="C18" s="9" t="n">
        <x:v>41852</x:v>
      </x:c>
      <x:c r="D18" s="10" t="n">
        <x:v>60705</x:v>
      </x:c>
      <x:c r="E18" s="5" t="n">
        <x:v>6325959</x:v>
      </x:c>
      <x:c r="F18" s="5" t="n">
        <x:v>461336.58</x:v>
      </x:c>
      <x:c r="G18" s="5" t="n">
        <x:v>5864622.42</x:v>
      </x:c>
      <x:c r="H18" s="5" t="n">
        <x:v>5073556</x:v>
      </x:c>
      <x:c r="I18" s="5" t="n">
        <x:v>791066.4199999999</x:v>
      </x:c>
    </x:row>
    <x:row r="19" ht="25" customHeight="1">
      <x:c r="A19" s="2"/>
      <x:c r="B19" s="2"/>
      <x:c r="C19" s="9" t="n">
        <x:v>41883</x:v>
      </x:c>
      <x:c r="D19" s="10" t="n">
        <x:v>57280</x:v>
      </x:c>
      <x:c r="E19" s="5" t="n">
        <x:v>6845317</x:v>
      </x:c>
      <x:c r="F19" s="5" t="n">
        <x:v>446619.76</x:v>
      </x:c>
      <x:c r="G19" s="5" t="n">
        <x:v>6398697.24</x:v>
      </x:c>
      <x:c r="H19" s="5" t="n">
        <x:v>5375565</x:v>
      </x:c>
      <x:c r="I19" s="5" t="n">
        <x:v>1023132.24</x:v>
      </x:c>
    </x:row>
    <x:row r="20" ht="25" customHeight="1">
      <x:c r="A20" s="2"/>
      <x:c r="B20" s="2"/>
      <x:c r="C20" s="9" t="n">
        <x:v>41913</x:v>
      </x:c>
      <x:c r="D20" s="10" t="n">
        <x:v>105482</x:v>
      </x:c>
      <x:c r="E20" s="5" t="n">
        <x:v>13313424</x:v>
      </x:c>
      <x:c r="F20" s="5" t="n">
        <x:v>937604.08</x:v>
      </x:c>
      <x:c r="G20" s="5" t="n">
        <x:v>12375819.92</x:v>
      </x:c>
      <x:c r="H20" s="5" t="n">
        <x:v>10593834</x:v>
      </x:c>
      <x:c r="I20" s="5" t="n">
        <x:v>1781985.92</x:v>
      </x:c>
    </x:row>
    <x:row r="21" ht="25" customHeight="1">
      <x:c r="A21" s="2"/>
      <x:c r="B21" s="2"/>
      <x:c r="C21" s="9" t="n">
        <x:v>41944</x:v>
      </x:c>
      <x:c r="D21" s="10" t="n">
        <x:v>55650</x:v>
      </x:c>
      <x:c r="E21" s="5" t="n">
        <x:v>5947910</x:v>
      </x:c>
      <x:c r="F21" s="5" t="n">
        <x:v>563695.8</x:v>
      </x:c>
      <x:c r="G21" s="5" t="n">
        <x:v>5384214.2</x:v>
      </x:c>
      <x:c r="H21" s="5" t="n">
        <x:v>4779614</x:v>
      </x:c>
      <x:c r="I21" s="5" t="n">
        <x:v>604600.2</x:v>
      </x:c>
    </x:row>
    <x:row r="22" ht="25" customHeight="1">
      <x:c r="A22" s="2"/>
      <x:c r="B22" s="2"/>
      <x:c r="C22" s="9" t="n">
        <x:v>41974</x:v>
      </x:c>
      <x:c r="D22" s="10" t="n">
        <x:v>102336</x:v>
      </x:c>
      <x:c r="E22" s="5" t="n">
        <x:v>12508268</x:v>
      </x:c>
      <x:c r="F22" s="5" t="n">
        <x:v>509480.1</x:v>
      </x:c>
      <x:c r="G22" s="5" t="n">
        <x:v>11998787.9</x:v>
      </x:c>
      <x:c r="H22" s="5" t="n">
        <x:v>9973022</x:v>
      </x:c>
      <x:c r="I22" s="5" t="n">
        <x:v>2025765.9</x:v>
      </x:c>
    </x:row>
    <x:row r="23" ht="25" customHeight="1">
      <x:c r="A23" s="2"/>
      <x:c r="B23" s="2"/>
      <x:c r="C23" s="2"/>
      <x:c r="D23" s="5"/>
      <x:c r="E23" s="5"/>
      <x:c r="F23" s="5"/>
      <x:c r="G23" s="5"/>
      <x:c r="H23" s="5"/>
      <x:c r="I23" s="5"/>
    </x:row>
    <x:row r="24" ht="25" customHeight="1">
      <x:c r="A24" s="2"/>
      <x:c r="B24" s="2"/>
      <x:c r="C24" s="2"/>
      <x:c r="D24" s="5"/>
      <x:c r="E24" s="5"/>
      <x:c r="F24" s="5"/>
      <x:c r="G24" s="5"/>
      <x:c r="H24" s="5"/>
      <x:c r="I24" s="5"/>
    </x:row>
    <x:row r="25" ht="25" customHeight="1">
      <x:c r="A25" s="2"/>
      <x:c r="B25" s="2"/>
      <x:c r="C25" s="2" t="str">
        <x:v>Source actuals only. Future actuals are not used to set forecasts.</x:v>
      </x:c>
      <x:c r="D25" s="5"/>
      <x:c r="E25" s="5"/>
      <x:c r="F25" s="5"/>
      <x:c r="G25" s="5"/>
      <x:c r="H25" s="5"/>
      <x:c r="I25" s="5"/>
    </x:row>
    <x:row r="26" ht="25" customHeight="1">
      <x:c r="A26" s="2"/>
      <x:c r="B26" s="2"/>
      <x:c r="C26" s="2"/>
      <x:c r="D26" s="5"/>
      <x:c r="E26" s="5"/>
      <x:c r="F26" s="5"/>
      <x:c r="G26" s="5"/>
      <x:c r="H26" s="5"/>
      <x:c r="I26" s="5"/>
    </x:row>
  </x:sheetData>
  <x:pageMargins left="0.7" right="0.7" top="0.75" bottom="0.75" header="0.3" footer="0.3"/>
</x:worksheet>
</file>