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2893ed129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4" sheetId="1" r:id="R4b0f16036e334bac"/>
    <x:sheet xmlns:r="http://schemas.openxmlformats.org/officeDocument/2006/relationships" name="Variance" sheetId="2" r:id="R939c941c65154036"/>
    <x:sheet xmlns:r="http://schemas.openxmlformats.org/officeDocument/2006/relationships" name="Actual" sheetId="3" r:id="R94766a0b816b46aa"/>
    <x:sheet xmlns:r="http://schemas.openxmlformats.org/officeDocument/2006/relationships" name="Budget" sheetId="4" r:id="R3f4de2bbc979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—&quot;"/>
    <x:numFmt numFmtId="202" formatCode="0.0%;(0.0%);&quot;—&quot;"/>
    <x:numFmt numFmtId="203" formatCode="0.00"/>
  </x:numFmts>
  <x:fonts count="9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1" fontId="5" fillId="0" borderId="0" xfId="0" applyNumberFormat="1" applyFont="1" applyFill="1" applyBorder="1"/>
    <x:xf numFmtId="201" fontId="8" fillId="3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8" fillId="3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  <x:dxfs count="2">
    <x:dxf>
      <x:font>
        <x:color rgb="FF9C5700"/>
      </x:font>
      <x:fill>
        <x:patternFill patternType="solid">
          <x:bgColor rgb="FFFFF0CC"/>
        </x:patternFill>
      </x:fill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f5c5c47244472" /><Relationship Type="http://schemas.openxmlformats.org/officeDocument/2006/relationships/theme" Target="/xl/theme/theme1.xml" Id="Rd5309f1ce038435c" /><Relationship Type="http://schemas.openxmlformats.org/officeDocument/2006/relationships/sharedStrings" Target="/xl/sharedStrings.xml" Id="Rb89fde91b28d4eb3" /><Relationship Type="http://schemas.openxmlformats.org/officeDocument/2006/relationships/worksheet" Target="/xl/worksheets/sheet1.xml" Id="R4b0f16036e334bac" /><Relationship Type="http://schemas.openxmlformats.org/officeDocument/2006/relationships/worksheet" Target="/xl/worksheets/sheet2.xml" Id="R939c941c65154036" /><Relationship Type="http://schemas.openxmlformats.org/officeDocument/2006/relationships/worksheet" Target="/xl/worksheets/sheet3.xml" Id="R94766a0b816b46aa" /><Relationship Type="http://schemas.openxmlformats.org/officeDocument/2006/relationships/worksheet" Target="/xl/worksheets/sheet4.xml" Id="R3f4de2bbc979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B4 | May variance priorities</x:v>
      </x:c>
      <x:c r="B2" s="1"/>
      <x:c r="C2" s="1"/>
      <x:c r="D2" s="1"/>
      <x:c r="E2" s="1"/>
      <x:c r="F2" s="1"/>
      <x:c r="G2" s="1"/>
    </x:row>
    <x:row r="3" ht="23" customHeight="1">
      <x:c r="A3" s="3" t="str">
        <x:v>Largest unfavorable items plus a material favorable item requiring verification.</x:v>
      </x:c>
      <x:c r="B3" s="1"/>
      <x:c r="C3" s="1"/>
      <x:c r="D3" s="1"/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30" customHeight="1">
      <x:c r="A5" s="5" t="str">
        <x:v>Category</x:v>
      </x:c>
      <x:c r="B5" s="5" t="str">
        <x:v>Budget USD</x:v>
      </x:c>
      <x:c r="C5" s="5" t="str">
        <x:v>Actual USD</x:v>
      </x:c>
      <x:c r="D5" s="5" t="str">
        <x:v>Variance USD</x:v>
      </x:c>
      <x:c r="E5" s="5" t="str">
        <x:v>Net impact</x:v>
      </x:c>
      <x:c r="F5" s="5" t="str">
        <x:v>Evidence</x:v>
      </x:c>
      <x:c r="G5" s="5" t="str">
        <x:v>Status</x:v>
      </x:c>
    </x:row>
    <x:row r="6" ht="45" customHeight="1">
      <x:c r="A6" s="1" t="str">
        <x:v>Sales</x:v>
      </x:c>
      <x:c r="B6" s="10" t="n">
        <x:f>'Variance'!C6</x:f>
        <x:v>6000</x:v>
      </x:c>
      <x:c r="C6" s="10" t="n">
        <x:f>'Variance'!D6</x:f>
        <x:v>3000</x:v>
      </x:c>
      <x:c r="D6" s="10" t="n">
        <x:f>'Variance'!E6</x:f>
        <x:v>-3000</x:v>
      </x:c>
      <x:c r="E6" s="10" t="n">
        <x:f>'Variance'!G6</x:f>
        <x:v>-3000</x:v>
      </x:c>
      <x:c r="F6" s="11" t="str">
        <x:v>Pet - Food/Toys etc</x:v>
      </x:c>
      <x:c r="G6" s="11" t="str">
        <x:v>Volume/price unknown</x:v>
      </x:c>
    </x:row>
    <x:row r="7" ht="45" customHeight="1">
      <x:c r="A7" s="1" t="str">
        <x:v>Transport</x:v>
      </x:c>
      <x:c r="B7" s="10" t="n">
        <x:f>'Variance'!C11</x:f>
        <x:v>2000</x:v>
      </x:c>
      <x:c r="C7" s="10" t="n">
        <x:f>'Variance'!D11</x:f>
        <x:v>2900</x:v>
      </x:c>
      <x:c r="D7" s="10" t="n">
        <x:f>'Variance'!E11</x:f>
        <x:v>900</x:v>
      </x:c>
      <x:c r="E7" s="10" t="n">
        <x:f>'Variance'!G11</x:f>
        <x:v>-900</x:v>
      </x:c>
      <x:c r="F7" s="11" t="str">
        <x:v>Metro card</x:v>
      </x:c>
      <x:c r="G7" s="11" t="str">
        <x:v>Need receipt detail</x:v>
      </x:c>
    </x:row>
    <x:row r="8" ht="45" customHeight="1">
      <x:c r="A8" s="1" t="str">
        <x:v>Other Expenses</x:v>
      </x:c>
      <x:c r="B8" s="10" t="n">
        <x:f>'Variance'!C14</x:f>
        <x:v>3000</x:v>
      </x:c>
      <x:c r="C8" s="10" t="n">
        <x:f>'Variance'!D14</x:f>
        <x:v>1320</x:v>
      </x:c>
      <x:c r="D8" s="10" t="n">
        <x:f>'Variance'!E14</x:f>
        <x:v>-1680</x:v>
      </x:c>
      <x:c r="E8" s="10" t="n">
        <x:f>'Variance'!G14</x:f>
        <x:v>1680</x:v>
      </x:c>
      <x:c r="F8" s="11" t="str">
        <x:v>Bought new uniforms</x:v>
      </x:c>
      <x:c r="G8" s="11" t="str">
        <x:v>Check missing accruals</x:v>
      </x:c>
    </x:row>
    <x:row r="9" ht="23" customHeight="1">
      <x:c r="A9" s="1"/>
      <x:c r="B9" s="1"/>
      <x:c r="C9" s="1"/>
      <x:c r="D9" s="1"/>
      <x:c r="E9" s="1"/>
      <x:c r="F9" s="1"/>
      <x:c r="G9" s="1"/>
    </x:row>
    <x:row r="10" ht="23" customHeight="1">
      <x:c r="A10" s="1"/>
      <x:c r="B10" s="1"/>
      <x:c r="C10" s="1"/>
      <x:c r="D10" s="1"/>
      <x:c r="E10" s="1"/>
      <x:c r="F10" s="1"/>
      <x:c r="G10" s="1"/>
    </x:row>
    <x:row r="11" ht="23" customHeight="1">
      <x:c r="A11" s="3" t="str">
        <x:v>Reason hypotheses and interview questions: see B4 companion explanation.</x:v>
      </x:c>
      <x:c r="B11" s="1"/>
      <x:c r="C11" s="1"/>
      <x:c r="D11" s="1"/>
      <x:c r="E11" s="1"/>
      <x:c r="F11" s="1"/>
      <x:c r="G11" s="1"/>
    </x:row>
    <x:row r="12" ht="23" customHeight="1">
      <x:c r="A12" s="1"/>
      <x:c r="B12" s="1"/>
      <x:c r="C12" s="1"/>
      <x:c r="D12" s="1"/>
      <x:c r="E12" s="1"/>
      <x:c r="F12" s="1"/>
      <x:c r="G12" s="1"/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23" customHeight="1">
      <x:c r="A16" s="1"/>
      <x:c r="B16" s="1"/>
      <x:c r="C16" s="1"/>
      <x:c r="D16" s="1"/>
      <x:c r="E16" s="1"/>
      <x:c r="F16" s="1"/>
      <x:c r="G16" s="1"/>
    </x:row>
    <x:row r="17" ht="23" customHeight="1">
      <x:c r="A17" s="1"/>
      <x:c r="B17" s="1"/>
      <x:c r="C17" s="1"/>
      <x:c r="D17" s="1"/>
      <x:c r="E17" s="1"/>
      <x:c r="F17" s="1"/>
      <x:c r="G17" s="1"/>
    </x:row>
    <x:row r="18" ht="23" customHeight="1">
      <x:c r="A18" s="1"/>
      <x:c r="B18" s="1"/>
      <x:c r="C18" s="1"/>
      <x:c r="D18" s="1"/>
      <x:c r="E18" s="1"/>
      <x:c r="F18" s="1"/>
      <x:c r="G18" s="1"/>
    </x:row>
    <x:row r="19" ht="23" customHeight="1">
      <x:c r="A19" s="1"/>
      <x:c r="B19" s="1"/>
      <x:c r="C19" s="1"/>
      <x:c r="D19" s="1"/>
      <x:c r="E19" s="1"/>
      <x:c r="F19" s="1"/>
      <x:c r="G19" s="1"/>
    </x:row>
    <x:row r="20" ht="23" customHeight="1">
      <x:c r="A20" s="1"/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  <x:row r="24" ht="23" customHeight="1">
      <x:c r="A24" s="1"/>
      <x:c r="B24" s="1"/>
      <x:c r="C24" s="1"/>
      <x:c r="D24" s="1"/>
      <x:c r="E24" s="1"/>
      <x:c r="F24" s="1"/>
      <x:c r="G24" s="1"/>
    </x:row>
    <x:row r="25" ht="23" customHeight="1">
      <x:c r="A25" s="1"/>
      <x:c r="B25" s="1"/>
      <x:c r="C25" s="1"/>
      <x:c r="D25" s="1"/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  <x:row r="27" ht="23" customHeight="1">
      <x:c r="A27" s="1"/>
      <x:c r="B27" s="1"/>
      <x:c r="C27" s="1"/>
      <x:c r="D27" s="1"/>
      <x:c r="E27" s="1"/>
      <x:c r="F27" s="1"/>
      <x:c r="G27" s="1"/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1"/>
      <x:c r="B29" s="1"/>
      <x:c r="C29" s="1"/>
      <x:c r="D29" s="1"/>
      <x:c r="E29" s="1"/>
      <x:c r="F29" s="1"/>
      <x:c r="G29" s="1"/>
    </x:row>
    <x:row r="30" ht="23" customHeight="1">
      <x:c r="A30" s="1"/>
      <x:c r="B30" s="1"/>
      <x:c r="C30" s="1"/>
      <x:c r="D30" s="1"/>
      <x:c r="E30" s="1"/>
      <x:c r="F30" s="1"/>
      <x:c r="G30" s="1"/>
    </x:row>
    <x:row r="31" ht="23" customHeight="1">
      <x:c r="A31" s="1"/>
      <x:c r="B31" s="1"/>
      <x:c r="C31" s="1"/>
      <x:c r="D31" s="1"/>
      <x:c r="E31" s="1"/>
      <x:c r="F31" s="1"/>
      <x:c r="G31" s="1"/>
    </x:row>
    <x:row r="32" ht="23" customHeight="1">
      <x:c r="A32" s="1"/>
      <x:c r="B32" s="1"/>
      <x:c r="C32" s="1"/>
      <x:c r="D32" s="1"/>
      <x:c r="E32" s="1"/>
      <x:c r="F32" s="1"/>
      <x:c r="G32" s="1"/>
    </x:row>
    <x:row r="33" ht="23" customHeight="1">
      <x:c r="A33" s="1"/>
      <x:c r="B33" s="1"/>
      <x:c r="C33" s="1"/>
      <x:c r="D33" s="1"/>
      <x:c r="E33" s="1"/>
      <x:c r="F33" s="1"/>
      <x:c r="G33" s="1"/>
    </x:row>
    <x:row r="34" ht="23" customHeight="1">
      <x:c r="A34" s="1"/>
      <x:c r="B34" s="1"/>
      <x:c r="C34" s="1"/>
      <x:c r="D34" s="1"/>
      <x:c r="E34" s="1"/>
      <x:c r="F34" s="1"/>
      <x:c r="G34" s="1"/>
    </x:row>
    <x:row r="35" ht="23" customHeight="1">
      <x:c r="A35" s="1"/>
      <x:c r="B35" s="1"/>
      <x:c r="C35" s="1"/>
      <x:c r="D35" s="1"/>
      <x:c r="E35" s="1"/>
      <x:c r="F35" s="1"/>
      <x:c r="G35" s="1"/>
    </x:row>
    <x:row r="36" ht="23" customHeight="1">
      <x:c r="A36" s="1"/>
      <x:c r="B36" s="1"/>
      <x:c r="C36" s="1"/>
      <x:c r="D36" s="1"/>
      <x:c r="E36" s="1"/>
      <x:c r="F36" s="1"/>
      <x:c r="G36" s="1"/>
    </x:row>
    <x:row r="37" ht="23" customHeight="1">
      <x:c r="A37" s="1"/>
      <x:c r="B37" s="1"/>
      <x:c r="C37" s="1"/>
      <x:c r="D37" s="1"/>
      <x:c r="E37" s="1"/>
      <x:c r="F37" s="1"/>
      <x:c r="G37" s="1"/>
    </x:row>
    <x:row r="38" ht="23" customHeight="1">
      <x:c r="A38" s="1"/>
      <x:c r="B38" s="1"/>
      <x:c r="C38" s="1"/>
      <x:c r="D38" s="1"/>
      <x:c r="E38" s="1"/>
      <x:c r="F38" s="1"/>
      <x:c r="G38" s="1"/>
    </x:row>
    <x:row r="39" ht="23" customHeight="1">
      <x:c r="A39" s="1"/>
      <x:c r="B39" s="1"/>
      <x:c r="C39" s="1"/>
      <x:c r="D39" s="1"/>
      <x:c r="E39" s="1"/>
      <x:c r="F39" s="1"/>
      <x:c r="G39" s="1"/>
    </x:row>
    <x:row r="40" ht="23" customHeight="1">
      <x:c r="A40" s="1"/>
      <x:c r="B40" s="1"/>
      <x:c r="C40" s="1"/>
      <x:c r="D40" s="1"/>
      <x:c r="E40" s="1"/>
      <x:c r="F40" s="1"/>
      <x:c r="G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Budget variance | May 2022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USD | May treated as complete for illustration; closure unconfirmed.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Category</x:v>
      </x:c>
      <x:c r="B5" s="5" t="str">
        <x:v>Type</x:v>
      </x:c>
      <x:c r="C5" s="5" t="str">
        <x:v>Budget</x:v>
      </x:c>
      <x:c r="D5" s="5" t="str">
        <x:v>Actual</x:v>
      </x:c>
      <x:c r="E5" s="5" t="str">
        <x:v>Actual − Budget</x:v>
      </x:c>
      <x:c r="F5" s="5" t="str">
        <x:v>Variance %</x:v>
      </x:c>
      <x:c r="G5" s="5" t="str">
        <x:v>Net contribution</x:v>
      </x:c>
      <x:c r="H5" s="5" t="str">
        <x:v>Assessment</x:v>
      </x:c>
    </x:row>
    <x:row r="6" ht="23" customHeight="1">
      <x:c r="A6" s="1" t="str">
        <x:v>Sales</x:v>
      </x:c>
      <x:c r="B6" s="1" t="str">
        <x:v>Income</x:v>
      </x:c>
      <x:c r="C6" s="10" t="n">
        <x:f>SUMIFS('Budget'!$D$6:$D$113,'Budget'!$B$6:$B$113,$A6,'Budget'!$A$6:$A$113,5)</x:f>
        <x:v>6000</x:v>
      </x:c>
      <x:c r="D6" s="10" t="n">
        <x:f>SUMIFS('Actual'!$G$6:$G$60,'Actual'!$D$6:$D$60,$A6,'Actual'!$C$6:$C$60,5)</x:f>
        <x:v>3000</x:v>
      </x:c>
      <x:c r="E6" s="16" t="n">
        <x:f>D6-C6</x:f>
        <x:v>-3000</x:v>
      </x:c>
      <x:c r="F6" s="18" t="n">
        <x:f>IF(C6=0,"n.a.",E6/C6)</x:f>
        <x:v>-0.5</x:v>
      </x:c>
      <x:c r="G6" s="16" t="n">
        <x:f>IF(B6="Income",E6,-E6)</x:f>
        <x:v>-3000</x:v>
      </x:c>
      <x:c r="H6" s="8" t="str">
        <x:f>IF(G6&gt;0,"Favorable",IF(G6&lt;0,"Unfavorable","On budget"))</x:f>
        <x:v>Unfavorable</x:v>
      </x:c>
    </x:row>
    <x:row r="7" ht="23" customHeight="1">
      <x:c r="A7" s="1" t="str">
        <x:v>Services</x:v>
      </x:c>
      <x:c r="B7" s="1" t="str">
        <x:v>Income</x:v>
      </x:c>
      <x:c r="C7" s="10" t="n">
        <x:f>SUMIFS('Budget'!$D$6:$D$113,'Budget'!$B$6:$B$113,$A7,'Budget'!$A$6:$A$113,5)</x:f>
        <x:v>3000</x:v>
      </x:c>
      <x:c r="D7" s="10" t="n">
        <x:f>SUMIFS('Actual'!$G$6:$G$60,'Actual'!$D$6:$D$60,$A7,'Actual'!$C$6:$C$60,5)</x:f>
        <x:v>4000</x:v>
      </x:c>
      <x:c r="E7" s="16" t="n">
        <x:f>D7-C7</x:f>
        <x:v>1000</x:v>
      </x:c>
      <x:c r="F7" s="18" t="n">
        <x:f>IF(C7=0,"n.a.",E7/C7)</x:f>
        <x:v>0.3333333333333333</x:v>
      </x:c>
      <x:c r="G7" s="16" t="n">
        <x:f>IF(B7="Income",E7,-E7)</x:f>
        <x:v>1000</x:v>
      </x:c>
      <x:c r="H7" s="8" t="str">
        <x:f>IF(G7&gt;0,"Favorable",IF(G7&lt;0,"Unfavorable","On budget"))</x:f>
        <x:v>Favorable</x:v>
      </x:c>
    </x:row>
    <x:row r="8" ht="23" customHeight="1">
      <x:c r="A8" s="1" t="str">
        <x:v>Other Income</x:v>
      </x:c>
      <x:c r="B8" s="1" t="str">
        <x:v>Income</x:v>
      </x:c>
      <x:c r="C8" s="10" t="n">
        <x:f>SUMIFS('Budget'!$D$6:$D$113,'Budget'!$B$6:$B$113,$A8,'Budget'!$A$6:$A$113,5)</x:f>
        <x:v>8000</x:v>
      </x:c>
      <x:c r="D8" s="10" t="n">
        <x:f>SUMIFS('Actual'!$G$6:$G$60,'Actual'!$D$6:$D$60,$A8,'Actual'!$C$6:$C$60,5)</x:f>
        <x:v>8800</x:v>
      </x:c>
      <x:c r="E8" s="16" t="n">
        <x:f>D8-C8</x:f>
        <x:v>800</x:v>
      </x:c>
      <x:c r="F8" s="18" t="n">
        <x:f>IF(C8=0,"n.a.",E8/C8)</x:f>
        <x:v>0.1</x:v>
      </x:c>
      <x:c r="G8" s="16" t="n">
        <x:f>IF(B8="Income",E8,-E8)</x:f>
        <x:v>800</x:v>
      </x:c>
      <x:c r="H8" s="8" t="str">
        <x:f>IF(G8&gt;0,"Favorable",IF(G8&lt;0,"Unfavorable","On budget"))</x:f>
        <x:v>Favorable</x:v>
      </x:c>
    </x:row>
    <x:row r="9" ht="23" customHeight="1">
      <x:c r="A9" s="1" t="str">
        <x:v>Rent</x:v>
      </x:c>
      <x:c r="B9" s="1" t="str">
        <x:v>Expense</x:v>
      </x:c>
      <x:c r="C9" s="10" t="n">
        <x:f>SUMIFS('Budget'!$D$6:$D$113,'Budget'!$B$6:$B$113,$A9,'Budget'!$A$6:$A$113,5)</x:f>
        <x:v>7000</x:v>
      </x:c>
      <x:c r="D9" s="10" t="n">
        <x:f>SUMIFS('Actual'!$G$6:$G$60,'Actual'!$D$6:$D$60,$A9,'Actual'!$C$6:$C$60,5)</x:f>
        <x:v>7000</x:v>
      </x:c>
      <x:c r="E9" s="16" t="n">
        <x:f>D9-C9</x:f>
        <x:v>0</x:v>
      </x:c>
      <x:c r="F9" s="18" t="n">
        <x:f>IF(C9=0,"n.a.",E9/C9)</x:f>
        <x:v>0</x:v>
      </x:c>
      <x:c r="G9" s="16" t="n">
        <x:f>IF(B9="Income",E9,-E9)</x:f>
        <x:v>0</x:v>
      </x:c>
      <x:c r="H9" s="8" t="str">
        <x:f>IF(G9&gt;0,"Favorable",IF(G9&lt;0,"Unfavorable","On budget"))</x:f>
        <x:v>On budget</x:v>
      </x:c>
    </x:row>
    <x:row r="10" ht="23" customHeight="1">
      <x:c r="A10" s="1" t="str">
        <x:v>Utilities</x:v>
      </x:c>
      <x:c r="B10" s="1" t="str">
        <x:v>Expense</x:v>
      </x:c>
      <x:c r="C10" s="10" t="n">
        <x:f>SUMIFS('Budget'!$D$6:$D$113,'Budget'!$B$6:$B$113,$A10,'Budget'!$A$6:$A$113,5)</x:f>
        <x:v>4000</x:v>
      </x:c>
      <x:c r="D10" s="10" t="n">
        <x:f>SUMIFS('Actual'!$G$6:$G$60,'Actual'!$D$6:$D$60,$A10,'Actual'!$C$6:$C$60,5)</x:f>
        <x:v>3969</x:v>
      </x:c>
      <x:c r="E10" s="16" t="n">
        <x:f>D10-C10</x:f>
        <x:v>-31</x:v>
      </x:c>
      <x:c r="F10" s="18" t="n">
        <x:f>IF(C10=0,"n.a.",E10/C10)</x:f>
        <x:v>-0.00775</x:v>
      </x:c>
      <x:c r="G10" s="16" t="n">
        <x:f>IF(B10="Income",E10,-E10)</x:f>
        <x:v>31</x:v>
      </x:c>
      <x:c r="H10" s="8" t="str">
        <x:f>IF(G10&gt;0,"Favorable",IF(G10&lt;0,"Unfavorable","On budget"))</x:f>
        <x:v>Favorable</x:v>
      </x:c>
    </x:row>
    <x:row r="11" ht="23" customHeight="1">
      <x:c r="A11" s="1" t="str">
        <x:v>Transport</x:v>
      </x:c>
      <x:c r="B11" s="1" t="str">
        <x:v>Expense</x:v>
      </x:c>
      <x:c r="C11" s="10" t="n">
        <x:f>SUMIFS('Budget'!$D$6:$D$113,'Budget'!$B$6:$B$113,$A11,'Budget'!$A$6:$A$113,5)</x:f>
        <x:v>2000</x:v>
      </x:c>
      <x:c r="D11" s="10" t="n">
        <x:f>SUMIFS('Actual'!$G$6:$G$60,'Actual'!$D$6:$D$60,$A11,'Actual'!$C$6:$C$60,5)</x:f>
        <x:v>2900</x:v>
      </x:c>
      <x:c r="E11" s="16" t="n">
        <x:f>D11-C11</x:f>
        <x:v>900</x:v>
      </x:c>
      <x:c r="F11" s="18" t="n">
        <x:f>IF(C11=0,"n.a.",E11/C11)</x:f>
        <x:v>0.45</x:v>
      </x:c>
      <x:c r="G11" s="16" t="n">
        <x:f>IF(B11="Income",E11,-E11)</x:f>
        <x:v>-900</x:v>
      </x:c>
      <x:c r="H11" s="8" t="str">
        <x:f>IF(G11&gt;0,"Favorable",IF(G11&lt;0,"Unfavorable","On budget"))</x:f>
        <x:v>Unfavorable</x:v>
      </x:c>
    </x:row>
    <x:row r="12" ht="23" customHeight="1">
      <x:c r="A12" s="1" t="str">
        <x:v>Marketing</x:v>
      </x:c>
      <x:c r="B12" s="1" t="str">
        <x:v>Expense</x:v>
      </x:c>
      <x:c r="C12" s="10" t="n">
        <x:f>SUMIFS('Budget'!$D$6:$D$113,'Budget'!$B$6:$B$113,$A12,'Budget'!$A$6:$A$113,5)</x:f>
        <x:v>2500</x:v>
      </x:c>
      <x:c r="D12" s="10" t="n">
        <x:f>SUMIFS('Actual'!$G$6:$G$60,'Actual'!$D$6:$D$60,$A12,'Actual'!$C$6:$C$60,5)</x:f>
        <x:v>2500</x:v>
      </x:c>
      <x:c r="E12" s="16" t="n">
        <x:f>D12-C12</x:f>
        <x:v>0</x:v>
      </x:c>
      <x:c r="F12" s="18" t="n">
        <x:f>IF(C12=0,"n.a.",E12/C12)</x:f>
        <x:v>0</x:v>
      </x:c>
      <x:c r="G12" s="16" t="n">
        <x:f>IF(B12="Income",E12,-E12)</x:f>
        <x:v>0</x:v>
      </x:c>
      <x:c r="H12" s="8" t="str">
        <x:f>IF(G12&gt;0,"Favorable",IF(G12&lt;0,"Unfavorable","On budget"))</x:f>
        <x:v>On budget</x:v>
      </x:c>
    </x:row>
    <x:row r="13" ht="23" customHeight="1">
      <x:c r="A13" s="1" t="str">
        <x:v>Business Insurance</x:v>
      </x:c>
      <x:c r="B13" s="1" t="str">
        <x:v>Expense</x:v>
      </x:c>
      <x:c r="C13" s="10" t="n">
        <x:f>SUMIFS('Budget'!$D$6:$D$113,'Budget'!$B$6:$B$113,$A13,'Budget'!$A$6:$A$113,5)</x:f>
        <x:v>1000</x:v>
      </x:c>
      <x:c r="D13" s="10" t="n">
        <x:f>SUMIFS('Actual'!$G$6:$G$60,'Actual'!$D$6:$D$60,$A13,'Actual'!$C$6:$C$60,5)</x:f>
        <x:v>1000</x:v>
      </x:c>
      <x:c r="E13" s="16" t="n">
        <x:f>D13-C13</x:f>
        <x:v>0</x:v>
      </x:c>
      <x:c r="F13" s="18" t="n">
        <x:f>IF(C13=0,"n.a.",E13/C13)</x:f>
        <x:v>0</x:v>
      </x:c>
      <x:c r="G13" s="16" t="n">
        <x:f>IF(B13="Income",E13,-E13)</x:f>
        <x:v>0</x:v>
      </x:c>
      <x:c r="H13" s="8" t="str">
        <x:f>IF(G13&gt;0,"Favorable",IF(G13&lt;0,"Unfavorable","On budget"))</x:f>
        <x:v>On budget</x:v>
      </x:c>
    </x:row>
    <x:row r="14" ht="23" customHeight="1">
      <x:c r="A14" s="1" t="str">
        <x:v>Other Expenses</x:v>
      </x:c>
      <x:c r="B14" s="1" t="str">
        <x:v>Expense</x:v>
      </x:c>
      <x:c r="C14" s="10" t="n">
        <x:f>SUMIFS('Budget'!$D$6:$D$113,'Budget'!$B$6:$B$113,$A14,'Budget'!$A$6:$A$113,5)</x:f>
        <x:v>3000</x:v>
      </x:c>
      <x:c r="D14" s="10" t="n">
        <x:f>SUMIFS('Actual'!$G$6:$G$60,'Actual'!$D$6:$D$60,$A14,'Actual'!$C$6:$C$60,5)</x:f>
        <x:v>1320</x:v>
      </x:c>
      <x:c r="E14" s="16" t="n">
        <x:f>D14-C14</x:f>
        <x:v>-1680</x:v>
      </x:c>
      <x:c r="F14" s="18" t="n">
        <x:f>IF(C14=0,"n.a.",E14/C14)</x:f>
        <x:v>-0.56</x:v>
      </x:c>
      <x:c r="G14" s="16" t="n">
        <x:f>IF(B14="Income",E14,-E14)</x:f>
        <x:v>1680</x:v>
      </x:c>
      <x:c r="H14" s="8" t="str">
        <x:f>IF(G14&gt;0,"Favorable",IF(G14&lt;0,"Unfavorable","On budget"))</x:f>
        <x:v>Favorable</x:v>
      </x:c>
    </x:row>
    <x:row r="15" ht="23" customHeight="1">
      <x:c r="A15" s="1"/>
      <x:c r="B15" s="1"/>
      <x:c r="C15" s="7"/>
      <x:c r="D15" s="7"/>
      <x:c r="E15" s="7"/>
      <x:c r="F15" s="19"/>
      <x:c r="G15" s="7"/>
      <x:c r="H15" s="1"/>
    </x:row>
    <x:row r="16" ht="23" customHeight="1">
      <x:c r="A16" s="14" t="str">
        <x:v>Income</x:v>
      </x:c>
      <x:c r="B16" s="14"/>
      <x:c r="C16" s="17" t="n">
        <x:f>SUM(C6:C8)</x:f>
        <x:v>17000</x:v>
      </x:c>
      <x:c r="D16" s="17" t="n">
        <x:f>SUM(D6:D8)</x:f>
        <x:v>15800</x:v>
      </x:c>
      <x:c r="E16" s="17" t="n">
        <x:f>SUM(E6:E8)</x:f>
        <x:v>-1200</x:v>
      </x:c>
      <x:c r="F16" s="20" t="n">
        <x:f>IF(C16=0,"n.a.",E16/C16)</x:f>
        <x:v>-0.07058823529411765</x:v>
      </x:c>
      <x:c r="G16" s="17" t="n">
        <x:f>SUM(G6:G8)</x:f>
        <x:v>-1200</x:v>
      </x:c>
      <x:c r="H16" s="14"/>
    </x:row>
    <x:row r="17" ht="23" customHeight="1">
      <x:c r="A17" s="14" t="str">
        <x:v>Expenses</x:v>
      </x:c>
      <x:c r="B17" s="14"/>
      <x:c r="C17" s="17" t="n">
        <x:f>SUM(C9:C14)</x:f>
        <x:v>19500</x:v>
      </x:c>
      <x:c r="D17" s="17" t="n">
        <x:f>SUM(D9:D14)</x:f>
        <x:v>18689</x:v>
      </x:c>
      <x:c r="E17" s="17" t="n">
        <x:f>SUM(E9:E14)</x:f>
        <x:v>-811</x:v>
      </x:c>
      <x:c r="F17" s="20" t="n">
        <x:f>IF(C17=0,"n.a.",E17/C17)</x:f>
        <x:v>-0.04158974358974359</x:v>
      </x:c>
      <x:c r="G17" s="17" t="n">
        <x:f>SUM(G9:G14)</x:f>
        <x:v>811</x:v>
      </x:c>
      <x:c r="H17" s="14"/>
    </x:row>
    <x:row r="18" ht="23" customHeight="1">
      <x:c r="A18" s="14" t="str">
        <x:v>Income less expenses</x:v>
      </x:c>
      <x:c r="B18" s="14"/>
      <x:c r="C18" s="17" t="n">
        <x:f>C16-C17</x:f>
        <x:v>-2500</x:v>
      </x:c>
      <x:c r="D18" s="17" t="n">
        <x:f>D16-D17</x:f>
        <x:v>-2889</x:v>
      </x:c>
      <x:c r="E18" s="17" t="n">
        <x:f>E16-E17</x:f>
        <x:v>-389</x:v>
      </x:c>
      <x:c r="F18" s="14"/>
      <x:c r="G18" s="17" t="n">
        <x:f>SUM(G6:G14)</x:f>
        <x:v>-389</x:v>
      </x:c>
      <x:c r="H18" s="14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 t="str">
        <x:v>Bridge check</x:v>
      </x:c>
      <x:c r="B20" s="1"/>
      <x:c r="C20" s="1"/>
      <x:c r="D20" s="21" t="n">
        <x:f>G18-E18</x:f>
        <x:v>0</x:v>
      </x:c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</x:sheetData>
  <x:conditionalFormatting sqref="G6:G14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