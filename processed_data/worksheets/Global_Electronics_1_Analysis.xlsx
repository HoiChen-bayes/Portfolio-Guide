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e5c5c6ef9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b3450064b4240fc"/>
    <x:sheet xmlns:r="http://schemas.openxmlformats.org/officeDocument/2006/relationships" name="E2 Product build" sheetId="2" r:id="R7beaa7b7df4f41d6"/>
    <x:sheet xmlns:r="http://schemas.openxmlformats.org/officeDocument/2006/relationships" name="E3 Monthly" sheetId="3" r:id="R6cdb4d87fe8d46b0"/>
    <x:sheet xmlns:r="http://schemas.openxmlformats.org/officeDocument/2006/relationships" name="E4 Categories" sheetId="4" r:id="R0207b4e149fb4938"/>
    <x:sheet xmlns:r="http://schemas.openxmlformats.org/officeDocument/2006/relationships" name="E5 E9 Stores" sheetId="5" r:id="Rbd2f34cb416646df"/>
    <x:sheet xmlns:r="http://schemas.openxmlformats.org/officeDocument/2006/relationships" name="E6 Cohorts" sheetId="6" r:id="R2a7df94fff1d4822"/>
    <x:sheet xmlns:r="http://schemas.openxmlformats.org/officeDocument/2006/relationships" name="E7 Delivery" sheetId="7" r:id="R907839b0e2a94bec"/>
    <x:sheet xmlns:r="http://schemas.openxmlformats.org/officeDocument/2006/relationships" name="E8 Drivers" sheetId="8" r:id="Rb0c4ecc12f774423"/>
    <x:sheet xmlns:r="http://schemas.openxmlformats.org/officeDocument/2006/relationships" name="E1 E10 Checks" sheetId="9" r:id="R10eb17a32046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–"/>
    <x:numFmt numFmtId="201" formatCode="0.00"/>
    <x:numFmt numFmtId="202" formatCode="0.0%;(0.0%);–"/>
    <x:numFmt numFmtId="203" formatCode="@"/>
    <x:numFmt numFmtId="204" formatCode="0"/>
    <x:numFmt numFmtId="205" formatCode="0.0"/>
    <x:numFmt numFmtId="206" formatCode="0.00&quot; pp&quot;"/>
  </x:numFmts>
  <x:fonts count="5">
    <x:font>
      <x:sz val="11"/>
      <x:name val="Carlito"/>
    </x:font>
    <x:font>
      <x:sz val="10"/>
      <x:color rgb="FF172D43"/>
      <x:name val="Arial"/>
    </x:font>
    <x:font>
      <x:b/>
      <x:sz val="16"/>
      <x:color rgb="FF172D43"/>
      <x:name val="Arial"/>
    </x:font>
    <x:font>
      <x:b/>
      <x:sz val="10"/>
      <x:color rgb="FFFFFFFF"/>
      <x:name val="Arial"/>
    </x:font>
    <x:font>
      <x:sz val="10"/>
      <x:color rgb="FF16735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D43"/>
      </x:patternFill>
    </x:fill>
  </x:fills>
  <x:borders count="2">
    <x:border/>
    <x:border>
      <x:bottom style="thin">
        <x:color rgb="FF245CB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B83E4B"/>
      </x:font>
    </x:dxf>
    <x:dxf>
      <x:font>
        <x:b/>
        <x:color rgb="FFB83E4B"/>
      </x:font>
      <x:fill>
        <x:patternFill patternType="solid">
          <x:bgColor rgb="FFFFE4E4"/>
        </x:patternFill>
      </x:fill>
    </x:dxf>
    <x:dxf>
      <x:font>
        <x:color rgb="FFB83E4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7898245ad46a8" /><Relationship Type="http://schemas.openxmlformats.org/officeDocument/2006/relationships/theme" Target="/xl/theme/theme1.xml" Id="R11f6a79a7d384268" /><Relationship Type="http://schemas.openxmlformats.org/officeDocument/2006/relationships/sharedStrings" Target="/xl/sharedStrings.xml" Id="R8c5069fad5914195" /><Relationship Type="http://schemas.openxmlformats.org/officeDocument/2006/relationships/worksheet" Target="/xl/worksheets/sheet1.xml" Id="Rbb3450064b4240fc" /><Relationship Type="http://schemas.openxmlformats.org/officeDocument/2006/relationships/worksheet" Target="/xl/worksheets/sheet2.xml" Id="R7beaa7b7df4f41d6" /><Relationship Type="http://schemas.openxmlformats.org/officeDocument/2006/relationships/worksheet" Target="/xl/worksheets/sheet3.xml" Id="R6cdb4d87fe8d46b0" /><Relationship Type="http://schemas.openxmlformats.org/officeDocument/2006/relationships/worksheet" Target="/xl/worksheets/sheet4.xml" Id="R0207b4e149fb4938" /><Relationship Type="http://schemas.openxmlformats.org/officeDocument/2006/relationships/worksheet" Target="/xl/worksheets/sheet5.xml" Id="Rbd2f34cb416646df" /><Relationship Type="http://schemas.openxmlformats.org/officeDocument/2006/relationships/worksheet" Target="/xl/worksheets/sheet6.xml" Id="R2a7df94fff1d4822" /><Relationship Type="http://schemas.openxmlformats.org/officeDocument/2006/relationships/worksheet" Target="/xl/worksheets/sheet7.xml" Id="R907839b0e2a94bec" /><Relationship Type="http://schemas.openxmlformats.org/officeDocument/2006/relationships/worksheet" Target="/xl/worksheets/sheet8.xml" Id="Rb0c4ecc12f774423" /><Relationship Type="http://schemas.openxmlformats.org/officeDocument/2006/relationships/worksheet" Target="/xl/worksheets/sheet9.xml" Id="R10eb17a320464c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523655a66c46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2020 performance (USD millions)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Est. sales</c:v>
          </c:tx>
          <c:spPr>
            <a:solidFill xmlns:a="http://schemas.openxmlformats.org/drawingml/2006/main">
              <a:srgbClr val="245CB3"/>
            </a:solidFill>
          </c:spPr>
          <c:cat>
            <c:strRef>
              <c:f>'Overview'!$F$7:$F$8</c:f>
              <c:strCache>
                <c:ptCount val="0"/>
              </c:strCache>
            </c:strRef>
          </c:cat>
          <c:val>
            <c:numRef>
              <c:f>'Overview'!$G$7:$G$8</c:f>
              <c:numCache>
                <c:formatCode>0.0,,"M"</c:formatCode>
                <c:ptCount val="0"/>
              </c:numCache>
            </c:numRef>
          </c:val>
        </c:ser>
        <c:ser>
          <c:idx val="1"/>
          <c:order val="1"/>
          <c:tx>
            <c:v>Est. gross profit</c:v>
          </c:tx>
          <c:spPr>
            <a:solidFill xmlns:a="http://schemas.openxmlformats.org/drawingml/2006/main">
              <a:srgbClr val="16735E"/>
            </a:solidFill>
          </c:spPr>
          <c:cat>
            <c:strRef>
              <c:f>'Overview'!$F$7:$F$8</c:f>
              <c:strCache>
                <c:ptCount val="0"/>
              </c:strCache>
            </c:strRef>
          </c:cat>
          <c:val>
            <c:numRef>
              <c:f>'Overview'!$H$7:$H$8</c:f>
              <c:numCache>
                <c:formatCode>0.0,,"M"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523655a66c46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622c6b93c747c9" /></Relationships>
</file>

<file path=xl/worksheets/sheet1.xml><?xml version="1.0" encoding="utf-8"?>
<x:worksheet xmlns:x="http://schemas.openxmlformats.org/spreadsheetml/2006/main">
  <x:sheetPr>
    <x:tabColor rgb="FF172D43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Global Electronics Retailer | Finance review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2" customHeight="1">
      <x:c r="A4" s="2" t="str">
        <x:v>2020 vs 2019. Estimated amounts in USD using static product list prices and unit costs.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6" t="str">
        <x:v>Metric</x:v>
      </x:c>
      <x:c r="B6" s="6" t="str">
        <x:v>2019</x:v>
      </x:c>
      <x:c r="C6" s="6" t="str">
        <x:v>2020</x:v>
      </x:c>
      <x:c r="D6" s="6" t="str">
        <x:v>Change</x:v>
      </x:c>
      <x:c r="E6" s="2"/>
      <x:c r="F6" s="2" t="str">
        <x:v>Year</x:v>
      </x:c>
      <x:c r="G6" s="2" t="str">
        <x:v>Est. sales</x:v>
      </x:c>
      <x:c r="H6" s="2" t="str">
        <x:v>Est. gross profit</x:v>
      </x:c>
      <x:c r="I6" s="2"/>
      <x:c r="J6" s="2"/>
    </x:row>
    <x:row r="7" ht="22" customHeight="1">
      <x:c r="A7" s="2" t="str">
        <x:v>Estimated sales</x:v>
      </x:c>
      <x:c r="B7" s="8" t="n">
        <x:f>SUMIFS('E3 Monthly'!$D$7:$D$130,'E3 Monthly'!$B$7:$B$130,2019)</x:f>
        <x:v>18264382.479999997</x:v>
      </x:c>
      <x:c r="C7" s="8" t="n">
        <x:f>SUMIFS('E3 Monthly'!$D$7:$D$130,'E3 Monthly'!$B$7:$B$130,2020)</x:f>
        <x:v>9294632.139999999</x:v>
      </x:c>
      <x:c r="D7" s="10" t="n">
        <x:f>C7/B7-1</x:f>
        <x:v>-0.4911061378517517</x:v>
      </x:c>
      <x:c r="E7" s="2"/>
      <x:c r="F7" s="2" t="str">
        <x:v>2019</x:v>
      </x:c>
      <x:c r="G7" s="8" t="n">
        <x:f>B7</x:f>
        <x:v>18264382.479999997</x:v>
      </x:c>
      <x:c r="H7" s="8" t="n">
        <x:f>B8</x:f>
        <x:v>10697738.899999999</x:v>
      </x:c>
      <x:c r="I7" s="2"/>
      <x:c r="J7" s="2"/>
    </x:row>
    <x:row r="8" ht="22" customHeight="1">
      <x:c r="A8" s="2" t="str">
        <x:v>Estimated gross profit</x:v>
      </x:c>
      <x:c r="B8" s="8" t="n">
        <x:f>SUMIFS('E3 Monthly'!$F$7:$F$130,'E3 Monthly'!$B$7:$B$130,2019)</x:f>
        <x:v>10697738.899999999</x:v>
      </x:c>
      <x:c r="C8" s="8" t="n">
        <x:f>SUMIFS('E3 Monthly'!$F$7:$F$130,'E3 Monthly'!$B$7:$B$130,2020)</x:f>
        <x:v>5447460.15</x:v>
      </x:c>
      <x:c r="D8" s="10" t="n">
        <x:f>C8/B8-1</x:f>
        <x:v>-0.4907839683767192</x:v>
      </x:c>
      <x:c r="E8" s="2"/>
      <x:c r="F8" s="2" t="str">
        <x:v>2020</x:v>
      </x:c>
      <x:c r="G8" s="8" t="n">
        <x:f>C7</x:f>
        <x:v>9294632.139999999</x:v>
      </x:c>
      <x:c r="H8" s="8" t="n">
        <x:f>C8</x:f>
        <x:v>5447460.15</x:v>
      </x:c>
      <x:c r="I8" s="2"/>
      <x:c r="J8" s="2"/>
    </x:row>
    <x:row r="9" ht="22" customHeight="1">
      <x:c r="A9" s="2" t="str">
        <x:v>Distinct orders</x:v>
      </x:c>
      <x:c r="B9" s="8" t="n">
        <x:f>SUMIFS('E3 Monthly'!$G$7:$G$130,'E3 Monthly'!$B$7:$B$130,2019)</x:f>
        <x:v>9083</x:v>
      </x:c>
      <x:c r="C9" s="8" t="n">
        <x:f>SUMIFS('E3 Monthly'!$G$7:$G$130,'E3 Monthly'!$B$7:$B$130,2020)</x:f>
        <x:v>4635</x:v>
      </x:c>
      <x:c r="D9" s="10" t="n">
        <x:f>C9/B9-1</x:f>
        <x:v>-0.48970604425850495</x:v>
      </x:c>
      <x:c r="E9" s="2"/>
      <x:c r="F9" s="2"/>
      <x:c r="G9" s="2"/>
      <x:c r="H9" s="2"/>
      <x:c r="I9" s="2"/>
      <x:c r="J9" s="2"/>
    </x:row>
    <x:row r="10" ht="22" customHeight="1">
      <x:c r="A10" s="2" t="str">
        <x:v>Units</x:v>
      </x:c>
      <x:c r="B10" s="8" t="n">
        <x:f>SUMIFS('E3 Monthly'!$H$7:$H$130,'E3 Monthly'!$B$7:$B$130,2019)</x:f>
        <x:v>68440</x:v>
      </x:c>
      <x:c r="C10" s="8" t="n">
        <x:f>SUMIFS('E3 Monthly'!$H$7:$H$130,'E3 Monthly'!$B$7:$B$130,2020)</x:f>
        <x:v>34463</x:v>
      </x:c>
      <x:c r="D10" s="10" t="n">
        <x:f>C10/B10-1</x:f>
        <x:v>-0.4964494447691409</x:v>
      </x:c>
      <x:c r="E10" s="2"/>
      <x:c r="F10" s="2"/>
      <x:c r="G10" s="2"/>
      <x:c r="H10" s="2"/>
      <x:c r="I10" s="2"/>
      <x:c r="J10" s="2"/>
    </x:row>
    <x:row r="11" ht="22" customHeight="1">
      <x:c r="A11" s="2" t="str">
        <x:v>Est. order value</x:v>
      </x:c>
      <x:c r="B11" s="8" t="n">
        <x:f>B7/B9</x:f>
        <x:v>2010.831496201695</x:v>
      </x:c>
      <x:c r="C11" s="8" t="n">
        <x:f>C7/C9</x:f>
        <x:v>2005.3143775620279</x:v>
      </x:c>
      <x:c r="D11" s="10" t="n">
        <x:f>C11/B11-1</x:f>
        <x:v>-0.002743700131059512</x:v>
      </x:c>
      <x:c r="E11" s="2"/>
      <x:c r="F11" s="2"/>
      <x:c r="G11" s="2"/>
      <x:c r="H11" s="2"/>
      <x:c r="I11" s="2"/>
      <x:c r="J11" s="2"/>
    </x:row>
    <x:row r="12" ht="22" customHeight="1">
      <x:c r="A12" s="2" t="str">
        <x:v>Est. gross margin</x:v>
      </x:c>
      <x:c r="B12" s="10" t="n">
        <x:f>B8/B7</x:f>
        <x:v>0.5857158823581535</x:v>
      </x:c>
      <x:c r="C12" s="10" t="n">
        <x:f>C8/C7</x:f>
        <x:v>0.5860866861590502</x:v>
      </x:c>
      <x:c r="D12" s="17" t="n">
        <x:f>(C12-B12)*100</x:f>
        <x:v>0.037080380089671294</x:v>
      </x:c>
      <x:c r="E12" s="2"/>
      <x:c r="F12" s="2"/>
      <x:c r="G12" s="2"/>
      <x:c r="H12" s="2"/>
      <x:c r="I12" s="2"/>
      <x:c r="J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2" customHeight="1">
      <x:c r="A15" s="2" t="str">
        <x:v>Strict comparable stores</x:v>
      </x:c>
      <x:c r="B15" s="2" t="n">
        <x:v>11</x:v>
      </x:c>
      <x:c r="C15" s="2"/>
      <x:c r="D15" s="2"/>
      <x:c r="E15" s="2"/>
      <x:c r="F15" s="2"/>
      <x:c r="G15" s="2"/>
      <x:c r="H15" s="2"/>
      <x:c r="I15" s="2"/>
      <x:c r="J15" s="2"/>
    </x:row>
    <x:row r="16" ht="22" customHeight="1">
      <x:c r="A16" s="2" t="str">
        <x:v>Same-store sales change</x:v>
      </x:c>
      <x:c r="B16" s="10" t="n">
        <x:f>SUMIFS('E5 E9 Stores'!G7:G72,'E5 E9 Stores'!B7:B72,"Strict same-store")/SUMIFS('E5 E9 Stores'!F7:F72,'E5 E9 Stores'!B7:B72,"Strict same-store")-1</x:f>
        <x:v>-0.4401685563641423</x:v>
      </x:c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2" customHeight="1">
      <x:c r="A18" s="2" t="str">
        <x:v>90-day repeat rate</x:v>
      </x:c>
      <x:c r="B18" s="10" t="n">
        <x:f>SUM('E6 Cohorts'!D7:D68)/SUM('E6 Cohorts'!C7:C68)</x:f>
        <x:v>0.09178373776074926</x:v>
      </x:c>
      <x:c r="C18" s="2"/>
      <x:c r="D18" s="2"/>
      <x:c r="E18" s="2"/>
      <x:c r="F18" s="2"/>
      <x:c r="G18" s="2"/>
      <x:c r="H18" s="2"/>
      <x:c r="I18" s="2"/>
      <x:c r="J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2" customHeight="1">
      <x:c r="A21" s="2" t="str">
        <x:v>Prioritise order loss by channel, trading month and category.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2" customHeight="1">
      <x:c r="A23" s="2" t="str">
        <x:v>Request closure, stockout, promotion and transaction-price evidence.</x:v>
      </x:c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2" customHeight="1">
      <x:c r="A25" s="2" t="str">
        <x:v>Store gross profit excludes rent, payroll, returns and capital investment.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2" customHeight="1">
      <x:c r="A27" s="2" t="str">
        <x:v>2021 is partial through 20 February. It is excluded from annual growth comparisons.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</x:sheetData>
  <x:conditionalFormatting sqref="D7:D11">
    <x:cfRule type="cellIs" dxfId="2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d3622c6b93c747c9"/>
</x:worksheet>
</file>

<file path=xl/worksheets/sheet2.xml><?xml version="1.0" encoding="utf-8"?>
<x:worksheet xmlns:x="http://schemas.openxmlformats.org/spreadsheetml/2006/main">
  <x:sheetPr>
    <x:tabColor rgb="FF172D4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6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E2. Quantity × product list price (USD)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2" t="str">
        <x:v>Products.csv + aggregated Sales quantity. No actual transaction prices.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2" t="str">
        <x:v>Source: github.com/DimitriKneur/Global-Electronics-Retailer-Analysis/0_Data_Sources</x:v>
      </x:c>
      <x:c r="B5" s="2"/>
      <x:c r="C5" s="2"/>
      <x:c r="D5" s="2"/>
      <x:c r="E5" s="2"/>
      <x:c r="F5" s="2"/>
      <x:c r="G5" s="2"/>
      <x:c r="H5" s="2"/>
      <x:c r="I5" s="2"/>
    </x:row>
    <x:row r="6" ht="38" customHeight="1">
      <x:c r="A6" s="7" t="str">
        <x:v>Product key</x:v>
      </x:c>
      <x:c r="B6" s="7" t="str">
        <x:v>Product name</x:v>
      </x:c>
      <x:c r="C6" s="7" t="str">
        <x:v>Units</x:v>
      </x:c>
      <x:c r="D6" s="7" t="str">
        <x:v>List price USD</x:v>
      </x:c>
      <x:c r="E6" s="7" t="str">
        <x:v>Unit cost USD</x:v>
      </x:c>
      <x:c r="F6" s="7" t="str">
        <x:v>Revenue</x:v>
      </x:c>
      <x:c r="G6" s="7" t="str">
        <x:v>Cost</x:v>
      </x:c>
      <x:c r="H6" s="7" t="str">
        <x:v>Est. gross profit</x:v>
      </x:c>
      <x:c r="I6" s="7" t="str">
        <x:v>Margin</x:v>
      </x:c>
    </x:row>
    <x:row r="7" ht="22" customHeight="1">
      <x:c r="A7" s="11" t="str">
        <x:v>1</x:v>
      </x:c>
      <x:c r="B7" s="8" t="str">
        <x:v>Contoso 512MB MP3 Player E51 Silver</x:v>
      </x:c>
      <x:c r="C7" s="8" t="n">
        <x:v>65</x:v>
      </x:c>
      <x:c r="D7" s="9" t="n">
        <x:v>12.99</x:v>
      </x:c>
      <x:c r="E7" s="9" t="n">
        <x:v>6.62</x:v>
      </x:c>
      <x:c r="F7" s="8" t="n">
        <x:f>C7*D7</x:f>
        <x:v>844.35</x:v>
      </x:c>
      <x:c r="G7" s="8" t="n">
        <x:f>C7*E7</x:f>
        <x:v>430.3</x:v>
      </x:c>
      <x:c r="H7" s="8" t="n">
        <x:f>F7-G7</x:f>
        <x:v>414.05</x:v>
      </x:c>
      <x:c r="I7" s="10" t="n">
        <x:f>H7/F7</x:f>
        <x:v>0.49037721324095457</x:v>
      </x:c>
    </x:row>
    <x:row r="8" ht="22" customHeight="1">
      <x:c r="A8" s="11" t="str">
        <x:v>10</x:v>
      </x:c>
      <x:c r="B8" s="8" t="str">
        <x:v>Contoso 4G MP3 Player E400 Green</x:v>
      </x:c>
      <x:c r="C8" s="8" t="n">
        <x:v>108</x:v>
      </x:c>
      <x:c r="D8" s="9" t="n">
        <x:v>59.99</x:v>
      </x:c>
      <x:c r="E8" s="9" t="n">
        <x:v>30.58</x:v>
      </x:c>
      <x:c r="F8" s="8" t="n">
        <x:f>C8*D8</x:f>
        <x:v>6478.92</x:v>
      </x:c>
      <x:c r="G8" s="8" t="n">
        <x:f>C8*E8</x:f>
        <x:v>3302.64</x:v>
      </x:c>
      <x:c r="H8" s="8" t="n">
        <x:f>F8-G8</x:f>
        <x:v>3176.28</x:v>
      </x:c>
      <x:c r="I8" s="10" t="n">
        <x:f>H8/F8</x:f>
        <x:v>0.4902483747291215</x:v>
      </x:c>
    </x:row>
    <x:row r="9" ht="22" customHeight="1">
      <x:c r="A9" s="11" t="str">
        <x:v>100</x:v>
      </x:c>
      <x:c r="B9" s="8" t="str">
        <x:v>WWI Wireless Bluetooth Stereo Headphones M170 White</x:v>
      </x:c>
      <x:c r="C9" s="8" t="n">
        <x:v>264</x:v>
      </x:c>
      <x:c r="D9" s="9" t="n">
        <x:v>120</x:v>
      </x:c>
      <x:c r="E9" s="9" t="n">
        <x:v>55.18</x:v>
      </x:c>
      <x:c r="F9" s="8" t="n">
        <x:f>C9*D9</x:f>
        <x:v>31680</x:v>
      </x:c>
      <x:c r="G9" s="8" t="n">
        <x:f>C9*E9</x:f>
        <x:v>14567.52</x:v>
      </x:c>
      <x:c r="H9" s="8" t="n">
        <x:f>F9-G9</x:f>
        <x:v>17112.48</x:v>
      </x:c>
      <x:c r="I9" s="10" t="n">
        <x:f>H9/F9</x:f>
        <x:v>0.5401666666666667</x:v>
      </x:c>
    </x:row>
    <x:row r="10" ht="22" customHeight="1">
      <x:c r="A10" s="11" t="str">
        <x:v>1000</x:v>
      </x:c>
      <x:c r="B10" s="8" t="str">
        <x:v>A. Datum Compact Digital Camera M200 Orange</x:v>
      </x:c>
      <x:c r="C10" s="8" t="n">
        <x:v>35</x:v>
      </x:c>
      <x:c r="D10" s="9" t="n">
        <x:v>129</x:v>
      </x:c>
      <x:c r="E10" s="9" t="n">
        <x:v>59.32</x:v>
      </x:c>
      <x:c r="F10" s="8" t="n">
        <x:f>C10*D10</x:f>
        <x:v>4515</x:v>
      </x:c>
      <x:c r="G10" s="8" t="n">
        <x:f>C10*E10</x:f>
        <x:v>2076.2</x:v>
      </x:c>
      <x:c r="H10" s="8" t="n">
        <x:f>F10-G10</x:f>
        <x:v>2438.8</x:v>
      </x:c>
      <x:c r="I10" s="10" t="n">
        <x:f>H10/F10</x:f>
        <x:v>0.54015503875969</x:v>
      </x:c>
    </x:row>
    <x:row r="11" ht="22" customHeight="1">
      <x:c r="A11" s="11" t="str">
        <x:v>1001</x:v>
      </x:c>
      <x:c r="B11" s="8" t="str">
        <x:v>A. Datum Rangefinder Digital Camera X200 Orange</x:v>
      </x:c>
      <x:c r="C11" s="8" t="n">
        <x:v>43</x:v>
      </x:c>
      <x:c r="D11" s="9" t="n">
        <x:v>200</x:v>
      </x:c>
      <x:c r="E11" s="9" t="n">
        <x:v>66.26</x:v>
      </x:c>
      <x:c r="F11" s="8" t="n">
        <x:f>C11*D11</x:f>
        <x:v>8600</x:v>
      </x:c>
      <x:c r="G11" s="8" t="n">
        <x:f>C11*E11</x:f>
        <x:v>2849.1800000000003</x:v>
      </x:c>
      <x:c r="H11" s="8" t="n">
        <x:f>F11-G11</x:f>
        <x:v>5750.82</x:v>
      </x:c>
      <x:c r="I11" s="10" t="n">
        <x:f>H11/F11</x:f>
        <x:v>0.6687</x:v>
      </x:c>
    </x:row>
    <x:row r="12" ht="22" customHeight="1">
      <x:c r="A12" s="11" t="str">
        <x:v>1002</x:v>
      </x:c>
      <x:c r="B12" s="8" t="str">
        <x:v>A. Datum Slim Digital Camera M180 Orange</x:v>
      </x:c>
      <x:c r="C12" s="8" t="n">
        <x:v>15</x:v>
      </x:c>
      <x:c r="D12" s="9" t="n">
        <x:v>148</x:v>
      </x:c>
      <x:c r="E12" s="9" t="n">
        <x:v>68.06</x:v>
      </x:c>
      <x:c r="F12" s="8" t="n">
        <x:f>C12*D12</x:f>
        <x:v>2220</x:v>
      </x:c>
      <x:c r="G12" s="8" t="n">
        <x:f>C12*E12</x:f>
        <x:v>1020.9000000000001</x:v>
      </x:c>
      <x:c r="H12" s="8" t="n">
        <x:f>F12-G12</x:f>
        <x:v>1199.1</x:v>
      </x:c>
      <x:c r="I12" s="10" t="n">
        <x:f>H12/F12</x:f>
        <x:v>0.5401351351351351</x:v>
      </x:c>
    </x:row>
    <x:row r="13" ht="22" customHeight="1">
      <x:c r="A13" s="11" t="str">
        <x:v>1003</x:v>
      </x:c>
      <x:c r="B13" s="8" t="str">
        <x:v>A. Datum Ultra Compact Digital Camera M190 Orange</x:v>
      </x:c>
      <x:c r="C13" s="8" t="n">
        <x:v>38</x:v>
      </x:c>
      <x:c r="D13" s="9" t="n">
        <x:v>165</x:v>
      </x:c>
      <x:c r="E13" s="9" t="n">
        <x:v>75.88</x:v>
      </x:c>
      <x:c r="F13" s="8" t="n">
        <x:f>C13*D13</x:f>
        <x:v>6270</x:v>
      </x:c>
      <x:c r="G13" s="8" t="n">
        <x:f>C13*E13</x:f>
        <x:v>2883.4399999999996</x:v>
      </x:c>
      <x:c r="H13" s="8" t="n">
        <x:f>F13-G13</x:f>
        <x:v>3386.5600000000004</x:v>
      </x:c>
      <x:c r="I13" s="10" t="n">
        <x:f>H13/F13</x:f>
        <x:v>0.5401212121212122</x:v>
      </x:c>
    </x:row>
    <x:row r="14" ht="22" customHeight="1">
      <x:c r="A14" s="11" t="str">
        <x:v>1004</x:v>
      </x:c>
      <x:c r="B14" s="8" t="str">
        <x:v>A. Datum All in One Digital Camera M200 Orange</x:v>
      </x:c>
      <x:c r="C14" s="8" t="n">
        <x:v>58</x:v>
      </x:c>
      <x:c r="D14" s="9" t="n">
        <x:v>188</x:v>
      </x:c>
      <x:c r="E14" s="9" t="n">
        <x:v>86.45</x:v>
      </x:c>
      <x:c r="F14" s="8" t="n">
        <x:f>C14*D14</x:f>
        <x:v>10904</x:v>
      </x:c>
      <x:c r="G14" s="8" t="n">
        <x:f>C14*E14</x:f>
        <x:v>5014.1</x:v>
      </x:c>
      <x:c r="H14" s="8" t="n">
        <x:f>F14-G14</x:f>
        <x:v>5889.9</x:v>
      </x:c>
      <x:c r="I14" s="10" t="n">
        <x:f>H14/F14</x:f>
        <x:v>0.540159574468085</x:v>
      </x:c>
    </x:row>
    <x:row r="15" ht="22" customHeight="1">
      <x:c r="A15" s="11" t="str">
        <x:v>1005</x:v>
      </x:c>
      <x:c r="B15" s="8" t="str">
        <x:v>A. Datum Interchangeable lens Non-SLR Digital Camera X250 Orange</x:v>
      </x:c>
      <x:c r="C15" s="8" t="n">
        <x:v>45</x:v>
      </x:c>
      <x:c r="D15" s="9" t="n">
        <x:v>268</x:v>
      </x:c>
      <x:c r="E15" s="9" t="n">
        <x:v>88.79</x:v>
      </x:c>
      <x:c r="F15" s="8" t="n">
        <x:f>C15*D15</x:f>
        <x:v>12060</x:v>
      </x:c>
      <x:c r="G15" s="8" t="n">
        <x:f>C15*E15</x:f>
        <x:v>3995.55</x:v>
      </x:c>
      <x:c r="H15" s="8" t="n">
        <x:f>F15-G15</x:f>
        <x:v>8064.45</x:v>
      </x:c>
      <x:c r="I15" s="10" t="n">
        <x:f>H15/F15</x:f>
        <x:v>0.6686940298507462</x:v>
      </x:c>
    </x:row>
    <x:row r="16" ht="22" customHeight="1">
      <x:c r="A16" s="11" t="str">
        <x:v>1006</x:v>
      </x:c>
      <x:c r="B16" s="8" t="str">
        <x:v>A. Datum Super-zoom Digital Camera X300 Orange</x:v>
      </x:c>
      <x:c r="C16" s="8" t="n">
        <x:v>29</x:v>
      </x:c>
      <x:c r="D16" s="9" t="n">
        <x:v>290</x:v>
      </x:c>
      <x:c r="E16" s="9" t="n">
        <x:v>96.08</x:v>
      </x:c>
      <x:c r="F16" s="8" t="n">
        <x:f>C16*D16</x:f>
        <x:v>8410</x:v>
      </x:c>
      <x:c r="G16" s="8" t="n">
        <x:f>C16*E16</x:f>
        <x:v>2786.32</x:v>
      </x:c>
      <x:c r="H16" s="8" t="n">
        <x:f>F16-G16</x:f>
        <x:v>5623.68</x:v>
      </x:c>
      <x:c r="I16" s="10" t="n">
        <x:f>H16/F16</x:f>
        <x:v>0.6686896551724139</x:v>
      </x:c>
    </x:row>
    <x:row r="17" ht="22" customHeight="1">
      <x:c r="A17" s="11" t="str">
        <x:v>1007</x:v>
      </x:c>
      <x:c r="B17" s="8" t="str">
        <x:v>A. Datum Consumer Digital Camera E100 Orange</x:v>
      </x:c>
      <x:c r="C17" s="8" t="n">
        <x:v>55</x:v>
      </x:c>
      <x:c r="D17" s="9" t="n">
        <x:v>281</x:v>
      </x:c>
      <x:c r="E17" s="9" t="n">
        <x:v>143.26</x:v>
      </x:c>
      <x:c r="F17" s="8" t="n">
        <x:f>C17*D17</x:f>
        <x:v>15455</x:v>
      </x:c>
      <x:c r="G17" s="8" t="n">
        <x:f>C17*E17</x:f>
        <x:v>7879.299999999999</x:v>
      </x:c>
      <x:c r="H17" s="8" t="n">
        <x:f>F17-G17</x:f>
        <x:v>7575.700000000001</x:v>
      </x:c>
      <x:c r="I17" s="10" t="n">
        <x:f>H17/F17</x:f>
        <x:v>0.4901779359430605</x:v>
      </x:c>
    </x:row>
    <x:row r="18" ht="22" customHeight="1">
      <x:c r="A18" s="11" t="str">
        <x:v>1008</x:v>
      </x:c>
      <x:c r="B18" s="8" t="str">
        <x:v>A. Datum Consumer Digital Camera M300 Orange</x:v>
      </x:c>
      <x:c r="C18" s="8" t="n">
        <x:v>32</x:v>
      </x:c>
      <x:c r="D18" s="9" t="n">
        <x:v>184.5</x:v>
      </x:c>
      <x:c r="E18" s="9" t="n">
        <x:v>84.84</x:v>
      </x:c>
      <x:c r="F18" s="8" t="n">
        <x:f>C18*D18</x:f>
        <x:v>5904</x:v>
      </x:c>
      <x:c r="G18" s="8" t="n">
        <x:f>C18*E18</x:f>
        <x:v>2714.88</x:v>
      </x:c>
      <x:c r="H18" s="8" t="n">
        <x:f>F18-G18</x:f>
        <x:v>3189.12</x:v>
      </x:c>
      <x:c r="I18" s="10" t="n">
        <x:f>H18/F18</x:f>
        <x:v>0.5401626016260163</x:v>
      </x:c>
    </x:row>
    <x:row r="19" ht="22" customHeight="1">
      <x:c r="A19" s="11" t="str">
        <x:v>1009</x:v>
      </x:c>
      <x:c r="B19" s="8" t="str">
        <x:v>A. Datum Advanced Digital Camera M300 Orange</x:v>
      </x:c>
      <x:c r="C19" s="8" t="n">
        <x:v>46</x:v>
      </x:c>
      <x:c r="D19" s="9" t="n">
        <x:v>188.5</x:v>
      </x:c>
      <x:c r="E19" s="9" t="n">
        <x:v>86.68</x:v>
      </x:c>
      <x:c r="F19" s="8" t="n">
        <x:f>C19*D19</x:f>
        <x:v>8671</x:v>
      </x:c>
      <x:c r="G19" s="8" t="n">
        <x:f>C19*E19</x:f>
        <x:v>3987.28</x:v>
      </x:c>
      <x:c r="H19" s="8" t="n">
        <x:f>F19-G19</x:f>
        <x:v>4683.719999999999</x:v>
      </x:c>
      <x:c r="I19" s="10" t="n">
        <x:f>H19/F19</x:f>
        <x:v>0.5401591511936339</x:v>
      </x:c>
    </x:row>
    <x:row r="20" ht="22" customHeight="1">
      <x:c r="A20" s="11" t="str">
        <x:v>101</x:v>
      </x:c>
      <x:c r="B20" s="8" t="str">
        <x:v>WWI Wireless Bluetooth Stereo Headphones M170 Pink</x:v>
      </x:c>
      <x:c r="C20" s="8" t="n">
        <x:v>251</x:v>
      </x:c>
      <x:c r="D20" s="9" t="n">
        <x:v>120</x:v>
      </x:c>
      <x:c r="E20" s="9" t="n">
        <x:v>55.18</x:v>
      </x:c>
      <x:c r="F20" s="8" t="n">
        <x:f>C20*D20</x:f>
        <x:v>30120</x:v>
      </x:c>
      <x:c r="G20" s="8" t="n">
        <x:f>C20*E20</x:f>
        <x:v>13850.18</x:v>
      </x:c>
      <x:c r="H20" s="8" t="n">
        <x:f>F20-G20</x:f>
        <x:v>16269.82</x:v>
      </x:c>
      <x:c r="I20" s="10" t="n">
        <x:f>H20/F20</x:f>
        <x:v>0.5401666666666667</x:v>
      </x:c>
    </x:row>
    <x:row r="21" ht="22" customHeight="1">
      <x:c r="A21" s="11" t="str">
        <x:v>1010</x:v>
      </x:c>
      <x:c r="B21" s="8" t="str">
        <x:v>A. Datum Bridge Digital Camera M300 Orange</x:v>
      </x:c>
      <x:c r="C21" s="8" t="n">
        <x:v>81</x:v>
      </x:c>
      <x:c r="D21" s="9" t="n">
        <x:v>186.9</x:v>
      </x:c>
      <x:c r="E21" s="9" t="n">
        <x:v>85.95</x:v>
      </x:c>
      <x:c r="F21" s="8" t="n">
        <x:f>C21*D21</x:f>
        <x:v>15138.9</x:v>
      </x:c>
      <x:c r="G21" s="8" t="n">
        <x:f>C21*E21</x:f>
        <x:v>6961.95</x:v>
      </x:c>
      <x:c r="H21" s="8" t="n">
        <x:f>F21-G21</x:f>
        <x:v>8176.95</x:v>
      </x:c>
      <x:c r="I21" s="10" t="n">
        <x:f>H21/F21</x:f>
        <x:v>0.5401284109149278</x:v>
      </x:c>
    </x:row>
    <x:row r="22" ht="22" customHeight="1">
      <x:c r="A22" s="11" t="str">
        <x:v>1011</x:v>
      </x:c>
      <x:c r="B22" s="8" t="str">
        <x:v>A. Datum SLR-like Digital Camera M400 Orange</x:v>
      </x:c>
      <x:c r="C22" s="8" t="n">
        <x:v>28</x:v>
      </x:c>
      <x:c r="D22" s="9" t="n">
        <x:v>196.9</x:v>
      </x:c>
      <x:c r="E22" s="9" t="n">
        <x:v>90.55</x:v>
      </x:c>
      <x:c r="F22" s="8" t="n">
        <x:f>C22*D22</x:f>
        <x:v>5513.2</x:v>
      </x:c>
      <x:c r="G22" s="8" t="n">
        <x:f>C22*E22</x:f>
        <x:v>2535.4</x:v>
      </x:c>
      <x:c r="H22" s="8" t="n">
        <x:f>F22-G22</x:f>
        <x:v>2977.7999999999997</x:v>
      </x:c>
      <x:c r="I22" s="10" t="n">
        <x:f>H22/F22</x:f>
        <x:v>0.5401218892839005</x:v>
      </x:c>
    </x:row>
    <x:row r="23" ht="22" customHeight="1">
      <x:c r="A23" s="11" t="str">
        <x:v>1012</x:v>
      </x:c>
      <x:c r="B23" s="8" t="str">
        <x:v>A. Datum Point Shoot Digital Camera M500 Orange</x:v>
      </x:c>
      <x:c r="C23" s="8" t="n">
        <x:v>69</x:v>
      </x:c>
      <x:c r="D23" s="9" t="n">
        <x:v>198</x:v>
      </x:c>
      <x:c r="E23" s="9" t="n">
        <x:v>91.05</x:v>
      </x:c>
      <x:c r="F23" s="8" t="n">
        <x:f>C23*D23</x:f>
        <x:v>13662</x:v>
      </x:c>
      <x:c r="G23" s="8" t="n">
        <x:f>C23*E23</x:f>
        <x:v>6282.45</x:v>
      </x:c>
      <x:c r="H23" s="8" t="n">
        <x:f>F23-G23</x:f>
        <x:v>7379.55</x:v>
      </x:c>
      <x:c r="I23" s="10" t="n">
        <x:f>H23/F23</x:f>
        <x:v>0.5401515151515152</x:v>
      </x:c>
    </x:row>
    <x:row r="24" ht="22" customHeight="1">
      <x:c r="A24" s="11" t="str">
        <x:v>1013</x:v>
      </x:c>
      <x:c r="B24" s="8" t="str">
        <x:v>A. Datum Full Frame Digital Camera X300 Orange</x:v>
      </x:c>
      <x:c r="C24" s="8" t="n">
        <x:v>39</x:v>
      </x:c>
      <x:c r="D24" s="9" t="n">
        <x:v>231</x:v>
      </x:c>
      <x:c r="E24" s="9" t="n">
        <x:v>76.53</x:v>
      </x:c>
      <x:c r="F24" s="8" t="n">
        <x:f>C24*D24</x:f>
        <x:v>9009</x:v>
      </x:c>
      <x:c r="G24" s="8" t="n">
        <x:f>C24*E24</x:f>
        <x:v>2984.67</x:v>
      </x:c>
      <x:c r="H24" s="8" t="n">
        <x:f>F24-G24</x:f>
        <x:v>6024.33</x:v>
      </x:c>
      <x:c r="I24" s="10" t="n">
        <x:f>H24/F24</x:f>
        <x:v>0.6687012987012987</x:v>
      </x:c>
    </x:row>
    <x:row r="25" ht="22" customHeight="1">
      <x:c r="A25" s="11" t="str">
        <x:v>1014</x:v>
      </x:c>
      <x:c r="B25" s="8" t="str">
        <x:v>A. Datum Compact Digital Camera M200 Green</x:v>
      </x:c>
      <x:c r="C25" s="8" t="n">
        <x:v>35</x:v>
      </x:c>
      <x:c r="D25" s="9" t="n">
        <x:v>129</x:v>
      </x:c>
      <x:c r="E25" s="9" t="n">
        <x:v>59.32</x:v>
      </x:c>
      <x:c r="F25" s="8" t="n">
        <x:f>C25*D25</x:f>
        <x:v>4515</x:v>
      </x:c>
      <x:c r="G25" s="8" t="n">
        <x:f>C25*E25</x:f>
        <x:v>2076.2</x:v>
      </x:c>
      <x:c r="H25" s="8" t="n">
        <x:f>F25-G25</x:f>
        <x:v>2438.8</x:v>
      </x:c>
      <x:c r="I25" s="10" t="n">
        <x:f>H25/F25</x:f>
        <x:v>0.54015503875969</x:v>
      </x:c>
    </x:row>
    <x:row r="26" ht="22" customHeight="1">
      <x:c r="A26" s="11" t="str">
        <x:v>1015</x:v>
      </x:c>
      <x:c r="B26" s="8" t="str">
        <x:v>A. Datum Rangefinder Digital Camera X200 Green</x:v>
      </x:c>
      <x:c r="C26" s="8" t="n">
        <x:v>39</x:v>
      </x:c>
      <x:c r="D26" s="9" t="n">
        <x:v>200</x:v>
      </x:c>
      <x:c r="E26" s="9" t="n">
        <x:v>66.26</x:v>
      </x:c>
      <x:c r="F26" s="8" t="n">
        <x:f>C26*D26</x:f>
        <x:v>7800</x:v>
      </x:c>
      <x:c r="G26" s="8" t="n">
        <x:f>C26*E26</x:f>
        <x:v>2584.1400000000003</x:v>
      </x:c>
      <x:c r="H26" s="8" t="n">
        <x:f>F26-G26</x:f>
        <x:v>5215.86</x:v>
      </x:c>
      <x:c r="I26" s="10" t="n">
        <x:f>H26/F26</x:f>
        <x:v>0.6687</x:v>
      </x:c>
    </x:row>
    <x:row r="27" ht="22" customHeight="1">
      <x:c r="A27" s="11" t="str">
        <x:v>1016</x:v>
      </x:c>
      <x:c r="B27" s="8" t="str">
        <x:v>A. Datum Slim Digital Camera M180 Green</x:v>
      </x:c>
      <x:c r="C27" s="8" t="n">
        <x:v>40</x:v>
      </x:c>
      <x:c r="D27" s="9" t="n">
        <x:v>148</x:v>
      </x:c>
      <x:c r="E27" s="9" t="n">
        <x:v>68.06</x:v>
      </x:c>
      <x:c r="F27" s="8" t="n">
        <x:f>C27*D27</x:f>
        <x:v>5920</x:v>
      </x:c>
      <x:c r="G27" s="8" t="n">
        <x:f>C27*E27</x:f>
        <x:v>2722.4</x:v>
      </x:c>
      <x:c r="H27" s="8" t="n">
        <x:f>F27-G27</x:f>
        <x:v>3197.6</x:v>
      </x:c>
      <x:c r="I27" s="10" t="n">
        <x:f>H27/F27</x:f>
        <x:v>0.5401351351351351</x:v>
      </x:c>
    </x:row>
    <x:row r="28" ht="22" customHeight="1">
      <x:c r="A28" s="11" t="str">
        <x:v>1017</x:v>
      </x:c>
      <x:c r="B28" s="8" t="str">
        <x:v>A. Datum Ultra Compact Digital Camera M190 Green</x:v>
      </x:c>
      <x:c r="C28" s="8" t="n">
        <x:v>30</x:v>
      </x:c>
      <x:c r="D28" s="9" t="n">
        <x:v>165</x:v>
      </x:c>
      <x:c r="E28" s="9" t="n">
        <x:v>75.88</x:v>
      </x:c>
      <x:c r="F28" s="8" t="n">
        <x:f>C28*D28</x:f>
        <x:v>4950</x:v>
      </x:c>
      <x:c r="G28" s="8" t="n">
        <x:f>C28*E28</x:f>
        <x:v>2276.3999999999996</x:v>
      </x:c>
      <x:c r="H28" s="8" t="n">
        <x:f>F28-G28</x:f>
        <x:v>2673.6000000000004</x:v>
      </x:c>
      <x:c r="I28" s="10" t="n">
        <x:f>H28/F28</x:f>
        <x:v>0.5401212121212122</x:v>
      </x:c>
    </x:row>
    <x:row r="29" ht="22" customHeight="1">
      <x:c r="A29" s="11" t="str">
        <x:v>1018</x:v>
      </x:c>
      <x:c r="B29" s="8" t="str">
        <x:v>A. Datum All in One Digital Camera M200 Green</x:v>
      </x:c>
      <x:c r="C29" s="8" t="n">
        <x:v>63</x:v>
      </x:c>
      <x:c r="D29" s="9" t="n">
        <x:v>188</x:v>
      </x:c>
      <x:c r="E29" s="9" t="n">
        <x:v>86.45</x:v>
      </x:c>
      <x:c r="F29" s="8" t="n">
        <x:f>C29*D29</x:f>
        <x:v>11844</x:v>
      </x:c>
      <x:c r="G29" s="8" t="n">
        <x:f>C29*E29</x:f>
        <x:v>5446.35</x:v>
      </x:c>
      <x:c r="H29" s="8" t="n">
        <x:f>F29-G29</x:f>
        <x:v>6397.65</x:v>
      </x:c>
      <x:c r="I29" s="10" t="n">
        <x:f>H29/F29</x:f>
        <x:v>0.540159574468085</x:v>
      </x:c>
    </x:row>
    <x:row r="30" ht="22" customHeight="1">
      <x:c r="A30" s="11" t="str">
        <x:v>1019</x:v>
      </x:c>
      <x:c r="B30" s="8" t="str">
        <x:v>A. Datum Interchangeable lens Non-SLR Digital Camera X250 Green</x:v>
      </x:c>
      <x:c r="C30" s="8" t="n">
        <x:v>42</x:v>
      </x:c>
      <x:c r="D30" s="9" t="n">
        <x:v>268</x:v>
      </x:c>
      <x:c r="E30" s="9" t="n">
        <x:v>88.79</x:v>
      </x:c>
      <x:c r="F30" s="8" t="n">
        <x:f>C30*D30</x:f>
        <x:v>11256</x:v>
      </x:c>
      <x:c r="G30" s="8" t="n">
        <x:f>C30*E30</x:f>
        <x:v>3729.1800000000003</x:v>
      </x:c>
      <x:c r="H30" s="8" t="n">
        <x:f>F30-G30</x:f>
        <x:v>7526.82</x:v>
      </x:c>
      <x:c r="I30" s="10" t="n">
        <x:f>H30/F30</x:f>
        <x:v>0.6686940298507462</x:v>
      </x:c>
    </x:row>
    <x:row r="31" ht="22" customHeight="1">
      <x:c r="A31" s="11" t="str">
        <x:v>102</x:v>
      </x:c>
      <x:c r="B31" s="8" t="str">
        <x:v>WWI Wireless Bluetooth Stereo Headphones M270 Silver</x:v>
      </x:c>
      <x:c r="C31" s="8" t="n">
        <x:v>299</x:v>
      </x:c>
      <x:c r="D31" s="9" t="n">
        <x:v>115</x:v>
      </x:c>
      <x:c r="E31" s="9" t="n">
        <x:v>52.88</x:v>
      </x:c>
      <x:c r="F31" s="8" t="n">
        <x:f>C31*D31</x:f>
        <x:v>34385</x:v>
      </x:c>
      <x:c r="G31" s="8" t="n">
        <x:f>C31*E31</x:f>
        <x:v>15811.12</x:v>
      </x:c>
      <x:c r="H31" s="8" t="n">
        <x:f>F31-G31</x:f>
        <x:v>18573.879999999997</x:v>
      </x:c>
      <x:c r="I31" s="10" t="n">
        <x:f>H31/F31</x:f>
        <x:v>0.5401739130434782</x:v>
      </x:c>
    </x:row>
    <x:row r="32" ht="22" customHeight="1">
      <x:c r="A32" s="11" t="str">
        <x:v>1020</x:v>
      </x:c>
      <x:c r="B32" s="8" t="str">
        <x:v>A. Datum Super-zoom Digital Camera X300 Green</x:v>
      </x:c>
      <x:c r="C32" s="8" t="n">
        <x:v>23</x:v>
      </x:c>
      <x:c r="D32" s="9" t="n">
        <x:v>290</x:v>
      </x:c>
      <x:c r="E32" s="9" t="n">
        <x:v>96.08</x:v>
      </x:c>
      <x:c r="F32" s="8" t="n">
        <x:f>C32*D32</x:f>
        <x:v>6670</x:v>
      </x:c>
      <x:c r="G32" s="8" t="n">
        <x:f>C32*E32</x:f>
        <x:v>2209.84</x:v>
      </x:c>
      <x:c r="H32" s="8" t="n">
        <x:f>F32-G32</x:f>
        <x:v>4460.16</x:v>
      </x:c>
      <x:c r="I32" s="10" t="n">
        <x:f>H32/F32</x:f>
        <x:v>0.6686896551724137</x:v>
      </x:c>
    </x:row>
    <x:row r="33" ht="22" customHeight="1">
      <x:c r="A33" s="11" t="str">
        <x:v>1021</x:v>
      </x:c>
      <x:c r="B33" s="8" t="str">
        <x:v>A. Datum Consumer Digital Camera E100 Green</x:v>
      </x:c>
      <x:c r="C33" s="8" t="n">
        <x:v>54</x:v>
      </x:c>
      <x:c r="D33" s="9" t="n">
        <x:v>281</x:v>
      </x:c>
      <x:c r="E33" s="9" t="n">
        <x:v>143.26</x:v>
      </x:c>
      <x:c r="F33" s="8" t="n">
        <x:f>C33*D33</x:f>
        <x:v>15174</x:v>
      </x:c>
      <x:c r="G33" s="8" t="n">
        <x:f>C33*E33</x:f>
        <x:v>7736.039999999999</x:v>
      </x:c>
      <x:c r="H33" s="8" t="n">
        <x:f>F33-G33</x:f>
        <x:v>7437.960000000001</x:v>
      </x:c>
      <x:c r="I33" s="10" t="n">
        <x:f>H33/F33</x:f>
        <x:v>0.4901779359430606</x:v>
      </x:c>
    </x:row>
    <x:row r="34" ht="22" customHeight="1">
      <x:c r="A34" s="11" t="str">
        <x:v>1022</x:v>
      </x:c>
      <x:c r="B34" s="8" t="str">
        <x:v>A. Datum Consumer Digital Camera M300 Green</x:v>
      </x:c>
      <x:c r="C34" s="8" t="n">
        <x:v>40</x:v>
      </x:c>
      <x:c r="D34" s="9" t="n">
        <x:v>184.5</x:v>
      </x:c>
      <x:c r="E34" s="9" t="n">
        <x:v>84.84</x:v>
      </x:c>
      <x:c r="F34" s="8" t="n">
        <x:f>C34*D34</x:f>
        <x:v>7380</x:v>
      </x:c>
      <x:c r="G34" s="8" t="n">
        <x:f>C34*E34</x:f>
        <x:v>3393.6000000000004</x:v>
      </x:c>
      <x:c r="H34" s="8" t="n">
        <x:f>F34-G34</x:f>
        <x:v>3986.3999999999996</x:v>
      </x:c>
      <x:c r="I34" s="10" t="n">
        <x:f>H34/F34</x:f>
        <x:v>0.5401626016260163</x:v>
      </x:c>
    </x:row>
    <x:row r="35" ht="22" customHeight="1">
      <x:c r="A35" s="11" t="str">
        <x:v>1023</x:v>
      </x:c>
      <x:c r="B35" s="8" t="str">
        <x:v>A. Datum Advanced Digital Camera M300 Green</x:v>
      </x:c>
      <x:c r="C35" s="8" t="n">
        <x:v>41</x:v>
      </x:c>
      <x:c r="D35" s="9" t="n">
        <x:v>188.5</x:v>
      </x:c>
      <x:c r="E35" s="9" t="n">
        <x:v>86.68</x:v>
      </x:c>
      <x:c r="F35" s="8" t="n">
        <x:f>C35*D35</x:f>
        <x:v>7728.5</x:v>
      </x:c>
      <x:c r="G35" s="8" t="n">
        <x:f>C35*E35</x:f>
        <x:v>3553.88</x:v>
      </x:c>
      <x:c r="H35" s="8" t="n">
        <x:f>F35-G35</x:f>
        <x:v>4174.62</x:v>
      </x:c>
      <x:c r="I35" s="10" t="n">
        <x:f>H35/F35</x:f>
        <x:v>0.5401591511936339</x:v>
      </x:c>
    </x:row>
    <x:row r="36" ht="22" customHeight="1">
      <x:c r="A36" s="11" t="str">
        <x:v>1024</x:v>
      </x:c>
      <x:c r="B36" s="8" t="str">
        <x:v>A. Datum Bridge Digital Camera M300 Green</x:v>
      </x:c>
      <x:c r="C36" s="8" t="n">
        <x:v>72</x:v>
      </x:c>
      <x:c r="D36" s="9" t="n">
        <x:v>186.9</x:v>
      </x:c>
      <x:c r="E36" s="9" t="n">
        <x:v>85.95</x:v>
      </x:c>
      <x:c r="F36" s="8" t="n">
        <x:f>C36*D36</x:f>
        <x:v>13456.800000000001</x:v>
      </x:c>
      <x:c r="G36" s="8" t="n">
        <x:f>C36*E36</x:f>
        <x:v>6188.400000000001</x:v>
      </x:c>
      <x:c r="H36" s="8" t="n">
        <x:f>F36-G36</x:f>
        <x:v>7268.400000000001</x:v>
      </x:c>
      <x:c r="I36" s="10" t="n">
        <x:f>H36/F36</x:f>
        <x:v>0.5401284109149278</x:v>
      </x:c>
    </x:row>
    <x:row r="37" ht="22" customHeight="1">
      <x:c r="A37" s="11" t="str">
        <x:v>1025</x:v>
      </x:c>
      <x:c r="B37" s="8" t="str">
        <x:v>A. Datum SLR-like Digital Camera M400 Green</x:v>
      </x:c>
      <x:c r="C37" s="8" t="n">
        <x:v>25</x:v>
      </x:c>
      <x:c r="D37" s="9" t="n">
        <x:v>196.9</x:v>
      </x:c>
      <x:c r="E37" s="9" t="n">
        <x:v>90.55</x:v>
      </x:c>
      <x:c r="F37" s="8" t="n">
        <x:f>C37*D37</x:f>
        <x:v>4922.5</x:v>
      </x:c>
      <x:c r="G37" s="8" t="n">
        <x:f>C37*E37</x:f>
        <x:v>2263.75</x:v>
      </x:c>
      <x:c r="H37" s="8" t="n">
        <x:f>F37-G37</x:f>
        <x:v>2658.75</x:v>
      </x:c>
      <x:c r="I37" s="10" t="n">
        <x:f>H37/F37</x:f>
        <x:v>0.5401218892839005</x:v>
      </x:c>
    </x:row>
    <x:row r="38" ht="22" customHeight="1">
      <x:c r="A38" s="11" t="str">
        <x:v>1026</x:v>
      </x:c>
      <x:c r="B38" s="8" t="str">
        <x:v>A. Datum Point Shoot Digital Camera M500 Green</x:v>
      </x:c>
      <x:c r="C38" s="8" t="n">
        <x:v>47</x:v>
      </x:c>
      <x:c r="D38" s="9" t="n">
        <x:v>198</x:v>
      </x:c>
      <x:c r="E38" s="9" t="n">
        <x:v>91.05</x:v>
      </x:c>
      <x:c r="F38" s="8" t="n">
        <x:f>C38*D38</x:f>
        <x:v>9306</x:v>
      </x:c>
      <x:c r="G38" s="8" t="n">
        <x:f>C38*E38</x:f>
        <x:v>4279.349999999999</x:v>
      </x:c>
      <x:c r="H38" s="8" t="n">
        <x:f>F38-G38</x:f>
        <x:v>5026.650000000001</x:v>
      </x:c>
      <x:c r="I38" s="10" t="n">
        <x:f>H38/F38</x:f>
        <x:v>0.5401515151515152</x:v>
      </x:c>
    </x:row>
    <x:row r="39" ht="22" customHeight="1">
      <x:c r="A39" s="11" t="str">
        <x:v>1027</x:v>
      </x:c>
      <x:c r="B39" s="8" t="str">
        <x:v>A. Datum Full Frame Digital Camera X300 Green</x:v>
      </x:c>
      <x:c r="C39" s="8" t="n">
        <x:v>32</x:v>
      </x:c>
      <x:c r="D39" s="9" t="n">
        <x:v>231</x:v>
      </x:c>
      <x:c r="E39" s="9" t="n">
        <x:v>76.53</x:v>
      </x:c>
      <x:c r="F39" s="8" t="n">
        <x:f>C39*D39</x:f>
        <x:v>7392</x:v>
      </x:c>
      <x:c r="G39" s="8" t="n">
        <x:f>C39*E39</x:f>
        <x:v>2448.96</x:v>
      </x:c>
      <x:c r="H39" s="8" t="n">
        <x:f>F39-G39</x:f>
        <x:v>4943.04</x:v>
      </x:c>
      <x:c r="I39" s="10" t="n">
        <x:f>H39/F39</x:f>
        <x:v>0.6687012987012987</x:v>
      </x:c>
    </x:row>
    <x:row r="40" ht="22" customHeight="1">
      <x:c r="A40" s="11" t="str">
        <x:v>1028</x:v>
      </x:c>
      <x:c r="B40" s="8" t="str">
        <x:v>A. Datum Compact Digital Camera M200 Azure</x:v>
      </x:c>
      <x:c r="C40" s="8" t="n">
        <x:v>23</x:v>
      </x:c>
      <x:c r="D40" s="9" t="n">
        <x:v>129</x:v>
      </x:c>
      <x:c r="E40" s="9" t="n">
        <x:v>59.32</x:v>
      </x:c>
      <x:c r="F40" s="8" t="n">
        <x:f>C40*D40</x:f>
        <x:v>2967</x:v>
      </x:c>
      <x:c r="G40" s="8" t="n">
        <x:f>C40*E40</x:f>
        <x:v>1364.36</x:v>
      </x:c>
      <x:c r="H40" s="8" t="n">
        <x:f>F40-G40</x:f>
        <x:v>1602.64</x:v>
      </x:c>
      <x:c r="I40" s="10" t="n">
        <x:f>H40/F40</x:f>
        <x:v>0.54015503875969</x:v>
      </x:c>
    </x:row>
    <x:row r="41" ht="22" customHeight="1">
      <x:c r="A41" s="11" t="str">
        <x:v>1029</x:v>
      </x:c>
      <x:c r="B41" s="8" t="str">
        <x:v>A. Datum Rangefinder Digital Camera X200 Azure</x:v>
      </x:c>
      <x:c r="C41" s="8" t="n">
        <x:v>61</x:v>
      </x:c>
      <x:c r="D41" s="9" t="n">
        <x:v>200</x:v>
      </x:c>
      <x:c r="E41" s="9" t="n">
        <x:v>66.26</x:v>
      </x:c>
      <x:c r="F41" s="8" t="n">
        <x:f>C41*D41</x:f>
        <x:v>12200</x:v>
      </x:c>
      <x:c r="G41" s="8" t="n">
        <x:f>C41*E41</x:f>
        <x:v>4041.86</x:v>
      </x:c>
      <x:c r="H41" s="8" t="n">
        <x:f>F41-G41</x:f>
        <x:v>8158.139999999999</x:v>
      </x:c>
      <x:c r="I41" s="10" t="n">
        <x:f>H41/F41</x:f>
        <x:v>0.6687</x:v>
      </x:c>
    </x:row>
    <x:row r="42" ht="22" customHeight="1">
      <x:c r="A42" s="11" t="str">
        <x:v>103</x:v>
      </x:c>
      <x:c r="B42" s="8" t="str">
        <x:v>WWI Wireless Bluetooth Stereo Headphones M270 Black</x:v>
      </x:c>
      <x:c r="C42" s="8" t="n">
        <x:v>359</x:v>
      </x:c>
      <x:c r="D42" s="9" t="n">
        <x:v>115</x:v>
      </x:c>
      <x:c r="E42" s="9" t="n">
        <x:v>52.88</x:v>
      </x:c>
      <x:c r="F42" s="8" t="n">
        <x:f>C42*D42</x:f>
        <x:v>41285</x:v>
      </x:c>
      <x:c r="G42" s="8" t="n">
        <x:f>C42*E42</x:f>
        <x:v>18983.920000000002</x:v>
      </x:c>
      <x:c r="H42" s="8" t="n">
        <x:f>F42-G42</x:f>
        <x:v>22301.079999999998</x:v>
      </x:c>
      <x:c r="I42" s="10" t="n">
        <x:f>H42/F42</x:f>
        <x:v>0.5401739130434782</x:v>
      </x:c>
    </x:row>
    <x:row r="43" ht="22" customHeight="1">
      <x:c r="A43" s="11" t="str">
        <x:v>1030</x:v>
      </x:c>
      <x:c r="B43" s="8" t="str">
        <x:v>A. Datum Slim Digital Camera M180 Azure</x:v>
      </x:c>
      <x:c r="C43" s="8" t="n">
        <x:v>40</x:v>
      </x:c>
      <x:c r="D43" s="9" t="n">
        <x:v>148</x:v>
      </x:c>
      <x:c r="E43" s="9" t="n">
        <x:v>68.06</x:v>
      </x:c>
      <x:c r="F43" s="8" t="n">
        <x:f>C43*D43</x:f>
        <x:v>5920</x:v>
      </x:c>
      <x:c r="G43" s="8" t="n">
        <x:f>C43*E43</x:f>
        <x:v>2722.4</x:v>
      </x:c>
      <x:c r="H43" s="8" t="n">
        <x:f>F43-G43</x:f>
        <x:v>3197.6</x:v>
      </x:c>
      <x:c r="I43" s="10" t="n">
        <x:f>H43/F43</x:f>
        <x:v>0.5401351351351351</x:v>
      </x:c>
    </x:row>
    <x:row r="44" ht="22" customHeight="1">
      <x:c r="A44" s="11" t="str">
        <x:v>1031</x:v>
      </x:c>
      <x:c r="B44" s="8" t="str">
        <x:v>A. Datum Ultra Compact Digital Camera M190 Azure</x:v>
      </x:c>
      <x:c r="C44" s="8" t="n">
        <x:v>49</x:v>
      </x:c>
      <x:c r="D44" s="9" t="n">
        <x:v>165</x:v>
      </x:c>
      <x:c r="E44" s="9" t="n">
        <x:v>75.88</x:v>
      </x:c>
      <x:c r="F44" s="8" t="n">
        <x:f>C44*D44</x:f>
        <x:v>8085</x:v>
      </x:c>
      <x:c r="G44" s="8" t="n">
        <x:f>C44*E44</x:f>
        <x:v>3718.12</x:v>
      </x:c>
      <x:c r="H44" s="8" t="n">
        <x:f>F44-G44</x:f>
        <x:v>4366.88</x:v>
      </x:c>
      <x:c r="I44" s="10" t="n">
        <x:f>H44/F44</x:f>
        <x:v>0.5401212121212121</x:v>
      </x:c>
    </x:row>
    <x:row r="45" ht="22" customHeight="1">
      <x:c r="A45" s="11" t="str">
        <x:v>1032</x:v>
      </x:c>
      <x:c r="B45" s="8" t="str">
        <x:v>A. Datum All in One Digital Camera M200 Azure</x:v>
      </x:c>
      <x:c r="C45" s="8" t="n">
        <x:v>72</x:v>
      </x:c>
      <x:c r="D45" s="9" t="n">
        <x:v>188</x:v>
      </x:c>
      <x:c r="E45" s="9" t="n">
        <x:v>86.45</x:v>
      </x:c>
      <x:c r="F45" s="8" t="n">
        <x:f>C45*D45</x:f>
        <x:v>13536</x:v>
      </x:c>
      <x:c r="G45" s="8" t="n">
        <x:f>C45*E45</x:f>
        <x:v>6224.400000000001</x:v>
      </x:c>
      <x:c r="H45" s="8" t="n">
        <x:f>F45-G45</x:f>
        <x:v>7311.599999999999</x:v>
      </x:c>
      <x:c r="I45" s="10" t="n">
        <x:f>H45/F45</x:f>
        <x:v>0.540159574468085</x:v>
      </x:c>
    </x:row>
    <x:row r="46" ht="22" customHeight="1">
      <x:c r="A46" s="11" t="str">
        <x:v>1033</x:v>
      </x:c>
      <x:c r="B46" s="8" t="str">
        <x:v>A. Datum Interchangeable lens Non-SLR Digital Camera X250 Azure</x:v>
      </x:c>
      <x:c r="C46" s="8" t="n">
        <x:v>60</x:v>
      </x:c>
      <x:c r="D46" s="9" t="n">
        <x:v>268</x:v>
      </x:c>
      <x:c r="E46" s="9" t="n">
        <x:v>88.79</x:v>
      </x:c>
      <x:c r="F46" s="8" t="n">
        <x:f>C46*D46</x:f>
        <x:v>16080</x:v>
      </x:c>
      <x:c r="G46" s="8" t="n">
        <x:f>C46*E46</x:f>
        <x:v>5327.400000000001</x:v>
      </x:c>
      <x:c r="H46" s="8" t="n">
        <x:f>F46-G46</x:f>
        <x:v>10752.599999999999</x:v>
      </x:c>
      <x:c r="I46" s="10" t="n">
        <x:f>H46/F46</x:f>
        <x:v>0.6686940298507462</x:v>
      </x:c>
    </x:row>
    <x:row r="47" ht="22" customHeight="1">
      <x:c r="A47" s="11" t="str">
        <x:v>1034</x:v>
      </x:c>
      <x:c r="B47" s="8" t="str">
        <x:v>A. Datum Super-zoom Digital Camera X300 Azure</x:v>
      </x:c>
      <x:c r="C47" s="8" t="n">
        <x:v>39</x:v>
      </x:c>
      <x:c r="D47" s="9" t="n">
        <x:v>290</x:v>
      </x:c>
      <x:c r="E47" s="9" t="n">
        <x:v>96.08</x:v>
      </x:c>
      <x:c r="F47" s="8" t="n">
        <x:f>C47*D47</x:f>
        <x:v>11310</x:v>
      </x:c>
      <x:c r="G47" s="8" t="n">
        <x:f>C47*E47</x:f>
        <x:v>3747.12</x:v>
      </x:c>
      <x:c r="H47" s="8" t="n">
        <x:f>F47-G47</x:f>
        <x:v>7562.88</x:v>
      </x:c>
      <x:c r="I47" s="10" t="n">
        <x:f>H47/F47</x:f>
        <x:v>0.6686896551724139</x:v>
      </x:c>
    </x:row>
    <x:row r="48" ht="22" customHeight="1">
      <x:c r="A48" s="11" t="str">
        <x:v>1035</x:v>
      </x:c>
      <x:c r="B48" s="8" t="str">
        <x:v>A. Datum Consumer Digital Camera E100 Azure</x:v>
      </x:c>
      <x:c r="C48" s="8" t="n">
        <x:v>36</x:v>
      </x:c>
      <x:c r="D48" s="9" t="n">
        <x:v>281</x:v>
      </x:c>
      <x:c r="E48" s="9" t="n">
        <x:v>143.26</x:v>
      </x:c>
      <x:c r="F48" s="8" t="n">
        <x:f>C48*D48</x:f>
        <x:v>10116</x:v>
      </x:c>
      <x:c r="G48" s="8" t="n">
        <x:f>C48*E48</x:f>
        <x:v>5157.36</x:v>
      </x:c>
      <x:c r="H48" s="8" t="n">
        <x:f>F48-G48</x:f>
        <x:v>4958.64</x:v>
      </x:c>
      <x:c r="I48" s="10" t="n">
        <x:f>H48/F48</x:f>
        <x:v>0.4901779359430605</x:v>
      </x:c>
    </x:row>
    <x:row r="49" ht="22" customHeight="1">
      <x:c r="A49" s="11" t="str">
        <x:v>1036</x:v>
      </x:c>
      <x:c r="B49" s="8" t="str">
        <x:v>A. Datum Consumer Digital Camera M300 Azure</x:v>
      </x:c>
      <x:c r="C49" s="8" t="n">
        <x:v>58</x:v>
      </x:c>
      <x:c r="D49" s="9" t="n">
        <x:v>184.5</x:v>
      </x:c>
      <x:c r="E49" s="9" t="n">
        <x:v>84.84</x:v>
      </x:c>
      <x:c r="F49" s="8" t="n">
        <x:f>C49*D49</x:f>
        <x:v>10701</x:v>
      </x:c>
      <x:c r="G49" s="8" t="n">
        <x:f>C49*E49</x:f>
        <x:v>4920.72</x:v>
      </x:c>
      <x:c r="H49" s="8" t="n">
        <x:f>F49-G49</x:f>
        <x:v>5780.28</x:v>
      </x:c>
      <x:c r="I49" s="10" t="n">
        <x:f>H49/F49</x:f>
        <x:v>0.5401626016260163</x:v>
      </x:c>
    </x:row>
    <x:row r="50" ht="22" customHeight="1">
      <x:c r="A50" s="11" t="str">
        <x:v>1037</x:v>
      </x:c>
      <x:c r="B50" s="8" t="str">
        <x:v>A. Datum Advanced Digital Camera M300 Azure</x:v>
      </x:c>
      <x:c r="C50" s="8" t="n">
        <x:v>31</x:v>
      </x:c>
      <x:c r="D50" s="9" t="n">
        <x:v>188.5</x:v>
      </x:c>
      <x:c r="E50" s="9" t="n">
        <x:v>86.68</x:v>
      </x:c>
      <x:c r="F50" s="8" t="n">
        <x:f>C50*D50</x:f>
        <x:v>5843.5</x:v>
      </x:c>
      <x:c r="G50" s="8" t="n">
        <x:f>C50*E50</x:f>
        <x:v>2687.0800000000004</x:v>
      </x:c>
      <x:c r="H50" s="8" t="n">
        <x:f>F50-G50</x:f>
        <x:v>3156.4199999999996</x:v>
      </x:c>
      <x:c r="I50" s="10" t="n">
        <x:f>H50/F50</x:f>
        <x:v>0.5401591511936339</x:v>
      </x:c>
    </x:row>
    <x:row r="51" ht="22" customHeight="1">
      <x:c r="A51" s="11" t="str">
        <x:v>1038</x:v>
      </x:c>
      <x:c r="B51" s="8" t="str">
        <x:v>A. Datum Bridge Digital Camera M300 Azure</x:v>
      </x:c>
      <x:c r="C51" s="8" t="n">
        <x:v>36</x:v>
      </x:c>
      <x:c r="D51" s="9" t="n">
        <x:v>186.9</x:v>
      </x:c>
      <x:c r="E51" s="9" t="n">
        <x:v>85.95</x:v>
      </x:c>
      <x:c r="F51" s="8" t="n">
        <x:f>C51*D51</x:f>
        <x:v>6728.400000000001</x:v>
      </x:c>
      <x:c r="G51" s="8" t="n">
        <x:f>C51*E51</x:f>
        <x:v>3094.2000000000003</x:v>
      </x:c>
      <x:c r="H51" s="8" t="n">
        <x:f>F51-G51</x:f>
        <x:v>3634.2000000000003</x:v>
      </x:c>
      <x:c r="I51" s="10" t="n">
        <x:f>H51/F51</x:f>
        <x:v>0.5401284109149278</x:v>
      </x:c>
    </x:row>
    <x:row r="52" ht="22" customHeight="1">
      <x:c r="A52" s="11" t="str">
        <x:v>1039</x:v>
      </x:c>
      <x:c r="B52" s="8" t="str">
        <x:v>A. Datum SLR-like Digital Camera M400 Azure</x:v>
      </x:c>
      <x:c r="C52" s="8" t="n">
        <x:v>44</x:v>
      </x:c>
      <x:c r="D52" s="9" t="n">
        <x:v>196.9</x:v>
      </x:c>
      <x:c r="E52" s="9" t="n">
        <x:v>90.55</x:v>
      </x:c>
      <x:c r="F52" s="8" t="n">
        <x:f>C52*D52</x:f>
        <x:v>8663.6</x:v>
      </x:c>
      <x:c r="G52" s="8" t="n">
        <x:f>C52*E52</x:f>
        <x:v>3984.2</x:v>
      </x:c>
      <x:c r="H52" s="8" t="n">
        <x:f>F52-G52</x:f>
        <x:v>4679.400000000001</x:v>
      </x:c>
      <x:c r="I52" s="10" t="n">
        <x:f>H52/F52</x:f>
        <x:v>0.5401218892839005</x:v>
      </x:c>
    </x:row>
    <x:row r="53" ht="22" customHeight="1">
      <x:c r="A53" s="11" t="str">
        <x:v>104</x:v>
      </x:c>
      <x:c r="B53" s="8" t="str">
        <x:v>WWI Wireless Bluetooth Stereo Headphones M270 White</x:v>
      </x:c>
      <x:c r="C53" s="8" t="n">
        <x:v>308</x:v>
      </x:c>
      <x:c r="D53" s="9" t="n">
        <x:v>115</x:v>
      </x:c>
      <x:c r="E53" s="9" t="n">
        <x:v>52.88</x:v>
      </x:c>
      <x:c r="F53" s="8" t="n">
        <x:f>C53*D53</x:f>
        <x:v>35420</x:v>
      </x:c>
      <x:c r="G53" s="8" t="n">
        <x:f>C53*E53</x:f>
        <x:v>16287.04</x:v>
      </x:c>
      <x:c r="H53" s="8" t="n">
        <x:f>F53-G53</x:f>
        <x:v>19132.96</x:v>
      </x:c>
      <x:c r="I53" s="10" t="n">
        <x:f>H53/F53</x:f>
        <x:v>0.5401739130434783</x:v>
      </x:c>
    </x:row>
    <x:row r="54" ht="22" customHeight="1">
      <x:c r="A54" s="11" t="str">
        <x:v>1040</x:v>
      </x:c>
      <x:c r="B54" s="8" t="str">
        <x:v>A. Datum Point n' Shoot Digital Camera M500 Azure</x:v>
      </x:c>
      <x:c r="C54" s="8" t="n">
        <x:v>58</x:v>
      </x:c>
      <x:c r="D54" s="9" t="n">
        <x:v>198</x:v>
      </x:c>
      <x:c r="E54" s="9" t="n">
        <x:v>91.05</x:v>
      </x:c>
      <x:c r="F54" s="8" t="n">
        <x:f>C54*D54</x:f>
        <x:v>11484</x:v>
      </x:c>
      <x:c r="G54" s="8" t="n">
        <x:f>C54*E54</x:f>
        <x:v>5280.9</x:v>
      </x:c>
      <x:c r="H54" s="8" t="n">
        <x:f>F54-G54</x:f>
        <x:v>6203.1</x:v>
      </x:c>
      <x:c r="I54" s="10" t="n">
        <x:f>H54/F54</x:f>
        <x:v>0.5401515151515152</x:v>
      </x:c>
    </x:row>
    <x:row r="55" ht="22" customHeight="1">
      <x:c r="A55" s="11" t="str">
        <x:v>1041</x:v>
      </x:c>
      <x:c r="B55" s="8" t="str">
        <x:v>A. Datum Full Frame Digital Camera X300 Azure</x:v>
      </x:c>
      <x:c r="C55" s="8" t="n">
        <x:v>33</x:v>
      </x:c>
      <x:c r="D55" s="9" t="n">
        <x:v>231</x:v>
      </x:c>
      <x:c r="E55" s="9" t="n">
        <x:v>76.53</x:v>
      </x:c>
      <x:c r="F55" s="8" t="n">
        <x:f>C55*D55</x:f>
        <x:v>7623</x:v>
      </x:c>
      <x:c r="G55" s="8" t="n">
        <x:f>C55*E55</x:f>
        <x:v>2525.4900000000002</x:v>
      </x:c>
      <x:c r="H55" s="8" t="n">
        <x:f>F55-G55</x:f>
        <x:v>5097.51</x:v>
      </x:c>
      <x:c r="I55" s="10" t="n">
        <x:f>H55/F55</x:f>
        <x:v>0.6687012987012987</x:v>
      </x:c>
    </x:row>
    <x:row r="56" ht="22" customHeight="1">
      <x:c r="A56" s="11" t="str">
        <x:v>1042</x:v>
      </x:c>
      <x:c r="B56" s="8" t="str">
        <x:v>A. Datum Point Shoot Digital Camera M500 Silver Grey</x:v>
      </x:c>
      <x:c r="C56" s="8" t="n">
        <x:v>70</x:v>
      </x:c>
      <x:c r="D56" s="9" t="n">
        <x:v>198</x:v>
      </x:c>
      <x:c r="E56" s="9" t="n">
        <x:v>91.05</x:v>
      </x:c>
      <x:c r="F56" s="8" t="n">
        <x:f>C56*D56</x:f>
        <x:v>13860</x:v>
      </x:c>
      <x:c r="G56" s="8" t="n">
        <x:f>C56*E56</x:f>
        <x:v>6373.5</x:v>
      </x:c>
      <x:c r="H56" s="8" t="n">
        <x:f>F56-G56</x:f>
        <x:v>7486.5</x:v>
      </x:c>
      <x:c r="I56" s="10" t="n">
        <x:f>H56/F56</x:f>
        <x:v>0.5401515151515152</x:v>
      </x:c>
    </x:row>
    <x:row r="57" ht="22" customHeight="1">
      <x:c r="A57" s="11" t="str">
        <x:v>1043</x:v>
      </x:c>
      <x:c r="B57" s="8" t="str">
        <x:v>A. Datum Full Frame Digital Camera X300 Silver Grey</x:v>
      </x:c>
      <x:c r="C57" s="8" t="n">
        <x:v>21</x:v>
      </x:c>
      <x:c r="D57" s="9" t="n">
        <x:v>231</x:v>
      </x:c>
      <x:c r="E57" s="9" t="n">
        <x:v>76.53</x:v>
      </x:c>
      <x:c r="F57" s="8" t="n">
        <x:f>C57*D57</x:f>
        <x:v>4851</x:v>
      </x:c>
      <x:c r="G57" s="8" t="n">
        <x:f>C57*E57</x:f>
        <x:v>1607.13</x:v>
      </x:c>
      <x:c r="H57" s="8" t="n">
        <x:f>F57-G57</x:f>
        <x:v>3243.87</x:v>
      </x:c>
      <x:c r="I57" s="10" t="n">
        <x:f>H57/F57</x:f>
        <x:v>0.6687012987012987</x:v>
      </x:c>
    </x:row>
    <x:row r="58" ht="22" customHeight="1">
      <x:c r="A58" s="11" t="str">
        <x:v>1044</x:v>
      </x:c>
      <x:c r="B58" s="8" t="str">
        <x:v>A. Datum SLR Camera X135 Black</x:v>
      </x:c>
      <x:c r="C58" s="8" t="n">
        <x:v>38</x:v>
      </x:c>
      <x:c r="D58" s="9" t="n">
        <x:v>627</x:v>
      </x:c>
      <x:c r="E58" s="9" t="n">
        <x:v>207.74</x:v>
      </x:c>
      <x:c r="F58" s="8" t="n">
        <x:f>C58*D58</x:f>
        <x:v>23826</x:v>
      </x:c>
      <x:c r="G58" s="8" t="n">
        <x:f>C58*E58</x:f>
        <x:v>7894.120000000001</x:v>
      </x:c>
      <x:c r="H58" s="8" t="n">
        <x:f>F58-G58</x:f>
        <x:v>15931.88</x:v>
      </x:c>
      <x:c r="I58" s="10" t="n">
        <x:f>H58/F58</x:f>
        <x:v>0.6686762360446571</x:v>
      </x:c>
    </x:row>
    <x:row r="59" ht="22" customHeight="1">
      <x:c r="A59" s="11" t="str">
        <x:v>1045</x:v>
      </x:c>
      <x:c r="B59" s="8" t="str">
        <x:v>A. Datum SLR Camera 35" X358 Black</x:v>
      </x:c>
      <x:c r="C59" s="8" t="n">
        <x:v>57</x:v>
      </x:c>
      <x:c r="D59" s="9" t="n">
        <x:v>588</x:v>
      </x:c>
      <x:c r="E59" s="9" t="n">
        <x:v>194.82</x:v>
      </x:c>
      <x:c r="F59" s="8" t="n">
        <x:f>C59*D59</x:f>
        <x:v>33516</x:v>
      </x:c>
      <x:c r="G59" s="8" t="n">
        <x:f>C59*E59</x:f>
        <x:v>11104.74</x:v>
      </x:c>
      <x:c r="H59" s="8" t="n">
        <x:f>F59-G59</x:f>
        <x:v>22411.260000000002</x:v>
      </x:c>
      <x:c r="I59" s="10" t="n">
        <x:f>H59/F59</x:f>
        <x:v>0.6686734693877552</x:v>
      </x:c>
    </x:row>
    <x:row r="60" ht="22" customHeight="1">
      <x:c r="A60" s="11" t="str">
        <x:v>1046</x:v>
      </x:c>
      <x:c r="B60" s="8" t="str">
        <x:v>A. Datum SLR Camera M135 Black</x:v>
      </x:c>
      <x:c r="C60" s="8" t="n">
        <x:v>46</x:v>
      </x:c>
      <x:c r="D60" s="9" t="n">
        <x:v>312</x:v>
      </x:c>
      <x:c r="E60" s="9" t="n">
        <x:v>143.48</x:v>
      </x:c>
      <x:c r="F60" s="8" t="n">
        <x:f>C60*D60</x:f>
        <x:v>14352</x:v>
      </x:c>
      <x:c r="G60" s="8" t="n">
        <x:f>C60*E60</x:f>
        <x:v>6600.08</x:v>
      </x:c>
      <x:c r="H60" s="8" t="n">
        <x:f>F60-G60</x:f>
        <x:v>7751.92</x:v>
      </x:c>
      <x:c r="I60" s="10" t="n">
        <x:f>H60/F60</x:f>
        <x:v>0.5401282051282051</x:v>
      </x:c>
    </x:row>
    <x:row r="61" ht="22" customHeight="1">
      <x:c r="A61" s="11" t="str">
        <x:v>1047</x:v>
      </x:c>
      <x:c r="B61" s="8" t="str">
        <x:v>A. Datum SLR Camera 35" M358 Black</x:v>
      </x:c>
      <x:c r="C61" s="8" t="n">
        <x:v>24</x:v>
      </x:c>
      <x:c r="D61" s="9" t="n">
        <x:v>338</x:v>
      </x:c>
      <x:c r="E61" s="9" t="n">
        <x:v>155.43</x:v>
      </x:c>
      <x:c r="F61" s="8" t="n">
        <x:f>C61*D61</x:f>
        <x:v>8112</x:v>
      </x:c>
      <x:c r="G61" s="8" t="n">
        <x:f>C61*E61</x:f>
        <x:v>3730.32</x:v>
      </x:c>
      <x:c r="H61" s="8" t="n">
        <x:f>F61-G61</x:f>
        <x:v>4381.68</x:v>
      </x:c>
      <x:c r="I61" s="10" t="n">
        <x:f>H61/F61</x:f>
        <x:v>0.5401479289940829</x:v>
      </x:c>
    </x:row>
    <x:row r="62" ht="22" customHeight="1">
      <x:c r="A62" s="11" t="str">
        <x:v>1048</x:v>
      </x:c>
      <x:c r="B62" s="8" t="str">
        <x:v>A. Datum SLR Camera X136 Silver</x:v>
      </x:c>
      <x:c r="C62" s="8" t="n">
        <x:v>49</x:v>
      </x:c>
      <x:c r="D62" s="9" t="n">
        <x:v>427</x:v>
      </x:c>
      <x:c r="E62" s="9" t="n">
        <x:v>141.47</x:v>
      </x:c>
      <x:c r="F62" s="8" t="n">
        <x:f>C62*D62</x:f>
        <x:v>20923</x:v>
      </x:c>
      <x:c r="G62" s="8" t="n">
        <x:f>C62*E62</x:f>
        <x:v>6932.03</x:v>
      </x:c>
      <x:c r="H62" s="8" t="n">
        <x:f>F62-G62</x:f>
        <x:v>13990.970000000001</x:v>
      </x:c>
      <x:c r="I62" s="10" t="n">
        <x:f>H62/F62</x:f>
        <x:v>0.668688524590164</x:v>
      </x:c>
    </x:row>
    <x:row r="63" ht="22" customHeight="1">
      <x:c r="A63" s="11" t="str">
        <x:v>1049</x:v>
      </x:c>
      <x:c r="B63" s="8" t="str">
        <x:v>A. Datum SLR Camera 35" X358 Silver</x:v>
      </x:c>
      <x:c r="C63" s="8" t="n">
        <x:v>31</x:v>
      </x:c>
      <x:c r="D63" s="9" t="n">
        <x:v>588</x:v>
      </x:c>
      <x:c r="E63" s="9" t="n">
        <x:v>194.82</x:v>
      </x:c>
      <x:c r="F63" s="8" t="n">
        <x:f>C63*D63</x:f>
        <x:v>18228</x:v>
      </x:c>
      <x:c r="G63" s="8" t="n">
        <x:f>C63*E63</x:f>
        <x:v>6039.42</x:v>
      </x:c>
      <x:c r="H63" s="8" t="n">
        <x:f>F63-G63</x:f>
        <x:v>12188.58</x:v>
      </x:c>
      <x:c r="I63" s="10" t="n">
        <x:f>H63/F63</x:f>
        <x:v>0.6686734693877551</x:v>
      </x:c>
    </x:row>
    <x:row r="64" ht="22" customHeight="1">
      <x:c r="A64" s="11" t="str">
        <x:v>105</x:v>
      </x:c>
      <x:c r="B64" s="8" t="str">
        <x:v>WWI Wireless Bluetooth Stereo Headphones M270 Pink</x:v>
      </x:c>
      <x:c r="C64" s="8" t="n">
        <x:v>319</x:v>
      </x:c>
      <x:c r="D64" s="9" t="n">
        <x:v>115</x:v>
      </x:c>
      <x:c r="E64" s="9" t="n">
        <x:v>52.88</x:v>
      </x:c>
      <x:c r="F64" s="8" t="n">
        <x:f>C64*D64</x:f>
        <x:v>36685</x:v>
      </x:c>
      <x:c r="G64" s="8" t="n">
        <x:f>C64*E64</x:f>
        <x:v>16868.72</x:v>
      </x:c>
      <x:c r="H64" s="8" t="n">
        <x:f>F64-G64</x:f>
        <x:v>19816.28</x:v>
      </x:c>
      <x:c r="I64" s="10" t="n">
        <x:f>H64/F64</x:f>
        <x:v>0.5401739130434783</x:v>
      </x:c>
    </x:row>
    <x:row r="65" ht="22" customHeight="1">
      <x:c r="A65" s="11" t="str">
        <x:v>1050</x:v>
      </x:c>
      <x:c r="B65" s="8" t="str">
        <x:v>A. Datum SLR Camera M136 Silver</x:v>
      </x:c>
      <x:c r="C65" s="8" t="n">
        <x:v>30</x:v>
      </x:c>
      <x:c r="D65" s="9" t="n">
        <x:v>312</x:v>
      </x:c>
      <x:c r="E65" s="9" t="n">
        <x:v>143.48</x:v>
      </x:c>
      <x:c r="F65" s="8" t="n">
        <x:f>C65*D65</x:f>
        <x:v>9360</x:v>
      </x:c>
      <x:c r="G65" s="8" t="n">
        <x:f>C65*E65</x:f>
        <x:v>4304.4</x:v>
      </x:c>
      <x:c r="H65" s="8" t="n">
        <x:f>F65-G65</x:f>
        <x:v>5055.6</x:v>
      </x:c>
      <x:c r="I65" s="10" t="n">
        <x:f>H65/F65</x:f>
        <x:v>0.5401282051282051</x:v>
      </x:c>
    </x:row>
    <x:row r="66" ht="22" customHeight="1">
      <x:c r="A66" s="11" t="str">
        <x:v>1051</x:v>
      </x:c>
      <x:c r="B66" s="8" t="str">
        <x:v>A. Datum SLR Camera 35" M358 Silver</x:v>
      </x:c>
      <x:c r="C66" s="8" t="n">
        <x:v>48</x:v>
      </x:c>
      <x:c r="D66" s="9" t="n">
        <x:v>338</x:v>
      </x:c>
      <x:c r="E66" s="9" t="n">
        <x:v>155.43</x:v>
      </x:c>
      <x:c r="F66" s="8" t="n">
        <x:f>C66*D66</x:f>
        <x:v>16224</x:v>
      </x:c>
      <x:c r="G66" s="8" t="n">
        <x:f>C66*E66</x:f>
        <x:v>7460.64</x:v>
      </x:c>
      <x:c r="H66" s="8" t="n">
        <x:f>F66-G66</x:f>
        <x:v>8763.36</x:v>
      </x:c>
      <x:c r="I66" s="10" t="n">
        <x:f>H66/F66</x:f>
        <x:v>0.5401479289940829</x:v>
      </x:c>
    </x:row>
    <x:row r="67" ht="22" customHeight="1">
      <x:c r="A67" s="11" t="str">
        <x:v>1052</x:v>
      </x:c>
      <x:c r="B67" s="8" t="str">
        <x:v>A. Datum SLR Camera X137 Grey</x:v>
      </x:c>
      <x:c r="C67" s="8" t="n">
        <x:v>32</x:v>
      </x:c>
      <x:c r="D67" s="9" t="n">
        <x:v>627</x:v>
      </x:c>
      <x:c r="E67" s="9" t="n">
        <x:v>207.74</x:v>
      </x:c>
      <x:c r="F67" s="8" t="n">
        <x:f>C67*D67</x:f>
        <x:v>20064</x:v>
      </x:c>
      <x:c r="G67" s="8" t="n">
        <x:f>C67*E67</x:f>
        <x:v>6647.68</x:v>
      </x:c>
      <x:c r="H67" s="8" t="n">
        <x:f>F67-G67</x:f>
        <x:v>13416.32</x:v>
      </x:c>
      <x:c r="I67" s="10" t="n">
        <x:f>H67/F67</x:f>
        <x:v>0.6686762360446571</x:v>
      </x:c>
    </x:row>
    <x:row r="68" ht="22" customHeight="1">
      <x:c r="A68" s="11" t="str">
        <x:v>1053</x:v>
      </x:c>
      <x:c r="B68" s="8" t="str">
        <x:v>A. Datum SLR Camera 35" X358 Grey</x:v>
      </x:c>
      <x:c r="C68" s="8" t="n">
        <x:v>38</x:v>
      </x:c>
      <x:c r="D68" s="9" t="n">
        <x:v>588</x:v>
      </x:c>
      <x:c r="E68" s="9" t="n">
        <x:v>194.82</x:v>
      </x:c>
      <x:c r="F68" s="8" t="n">
        <x:f>C68*D68</x:f>
        <x:v>22344</x:v>
      </x:c>
      <x:c r="G68" s="8" t="n">
        <x:f>C68*E68</x:f>
        <x:v>7403.16</x:v>
      </x:c>
      <x:c r="H68" s="8" t="n">
        <x:f>F68-G68</x:f>
        <x:v>14940.84</x:v>
      </x:c>
      <x:c r="I68" s="10" t="n">
        <x:f>H68/F68</x:f>
        <x:v>0.6686734693877551</x:v>
      </x:c>
    </x:row>
    <x:row r="69" ht="22" customHeight="1">
      <x:c r="A69" s="11" t="str">
        <x:v>1054</x:v>
      </x:c>
      <x:c r="B69" s="8" t="str">
        <x:v>A. Datum SLR Camera M137 Grey</x:v>
      </x:c>
      <x:c r="C69" s="8" t="n">
        <x:v>71</x:v>
      </x:c>
      <x:c r="D69" s="9" t="n">
        <x:v>312</x:v>
      </x:c>
      <x:c r="E69" s="9" t="n">
        <x:v>143.48</x:v>
      </x:c>
      <x:c r="F69" s="8" t="n">
        <x:f>C69*D69</x:f>
        <x:v>22152</x:v>
      </x:c>
      <x:c r="G69" s="8" t="n">
        <x:f>C69*E69</x:f>
        <x:v>10187.08</x:v>
      </x:c>
      <x:c r="H69" s="8" t="n">
        <x:f>F69-G69</x:f>
        <x:v>11964.92</x:v>
      </x:c>
      <x:c r="I69" s="10" t="n">
        <x:f>H69/F69</x:f>
        <x:v>0.5401282051282051</x:v>
      </x:c>
    </x:row>
    <x:row r="70" ht="22" customHeight="1">
      <x:c r="A70" s="11" t="str">
        <x:v>1055</x:v>
      </x:c>
      <x:c r="B70" s="8" t="str">
        <x:v>A. Datum SLR Camera 35" M358 Grey</x:v>
      </x:c>
      <x:c r="C70" s="8" t="n">
        <x:v>54</x:v>
      </x:c>
      <x:c r="D70" s="9" t="n">
        <x:v>338</x:v>
      </x:c>
      <x:c r="E70" s="9" t="n">
        <x:v>155.43</x:v>
      </x:c>
      <x:c r="F70" s="8" t="n">
        <x:f>C70*D70</x:f>
        <x:v>18252</x:v>
      </x:c>
      <x:c r="G70" s="8" t="n">
        <x:f>C70*E70</x:f>
        <x:v>8393.220000000001</x:v>
      </x:c>
      <x:c r="H70" s="8" t="n">
        <x:f>F70-G70</x:f>
        <x:v>9858.779999999999</x:v>
      </x:c>
      <x:c r="I70" s="10" t="n">
        <x:f>H70/F70</x:f>
        <x:v>0.5401479289940828</x:v>
      </x:c>
    </x:row>
    <x:row r="71" ht="22" customHeight="1">
      <x:c r="A71" s="11" t="str">
        <x:v>1056</x:v>
      </x:c>
      <x:c r="B71" s="8" t="str">
        <x:v>A. Datum SLR Camera X138 Silver Grey</x:v>
      </x:c>
      <x:c r="C71" s="8" t="n">
        <x:v>41</x:v>
      </x:c>
      <x:c r="D71" s="9" t="n">
        <x:v>627</x:v>
      </x:c>
      <x:c r="E71" s="9" t="n">
        <x:v>207.74</x:v>
      </x:c>
      <x:c r="F71" s="8" t="n">
        <x:f>C71*D71</x:f>
        <x:v>25707</x:v>
      </x:c>
      <x:c r="G71" s="8" t="n">
        <x:f>C71*E71</x:f>
        <x:v>8517.34</x:v>
      </x:c>
      <x:c r="H71" s="8" t="n">
        <x:f>F71-G71</x:f>
        <x:v>17189.66</x:v>
      </x:c>
      <x:c r="I71" s="10" t="n">
        <x:f>H71/F71</x:f>
        <x:v>0.6686762360446571</x:v>
      </x:c>
    </x:row>
    <x:row r="72" ht="22" customHeight="1">
      <x:c r="A72" s="11" t="str">
        <x:v>1057</x:v>
      </x:c>
      <x:c r="B72" s="8" t="str">
        <x:v>A. Datum SLR Camera 35" X358 Silver Grey</x:v>
      </x:c>
      <x:c r="C72" s="8" t="n">
        <x:v>56</x:v>
      </x:c>
      <x:c r="D72" s="9" t="n">
        <x:v>588</x:v>
      </x:c>
      <x:c r="E72" s="9" t="n">
        <x:v>194.82</x:v>
      </x:c>
      <x:c r="F72" s="8" t="n">
        <x:f>C72*D72</x:f>
        <x:v>32928</x:v>
      </x:c>
      <x:c r="G72" s="8" t="n">
        <x:f>C72*E72</x:f>
        <x:v>10909.92</x:v>
      </x:c>
      <x:c r="H72" s="8" t="n">
        <x:f>F72-G72</x:f>
        <x:v>22018.08</x:v>
      </x:c>
      <x:c r="I72" s="10" t="n">
        <x:f>H72/F72</x:f>
        <x:v>0.6686734693877552</x:v>
      </x:c>
    </x:row>
    <x:row r="73" ht="22" customHeight="1">
      <x:c r="A73" s="11" t="str">
        <x:v>1058</x:v>
      </x:c>
      <x:c r="B73" s="8" t="str">
        <x:v>A. Datum SLR Camera M138 Silver Grey</x:v>
      </x:c>
      <x:c r="C73" s="8" t="n">
        <x:v>39</x:v>
      </x:c>
      <x:c r="D73" s="9" t="n">
        <x:v>312</x:v>
      </x:c>
      <x:c r="E73" s="9" t="n">
        <x:v>143.48</x:v>
      </x:c>
      <x:c r="F73" s="8" t="n">
        <x:f>C73*D73</x:f>
        <x:v>12168</x:v>
      </x:c>
      <x:c r="G73" s="8" t="n">
        <x:f>C73*E73</x:f>
        <x:v>5595.719999999999</x:v>
      </x:c>
      <x:c r="H73" s="8" t="n">
        <x:f>F73-G73</x:f>
        <x:v>6572.280000000001</x:v>
      </x:c>
      <x:c r="I73" s="10" t="n">
        <x:f>H73/F73</x:f>
        <x:v>0.5401282051282051</x:v>
      </x:c>
    </x:row>
    <x:row r="74" ht="22" customHeight="1">
      <x:c r="A74" s="11" t="str">
        <x:v>1059</x:v>
      </x:c>
      <x:c r="B74" s="8" t="str">
        <x:v>A. Datum SLR Camera 35" M358 Silver Grey</x:v>
      </x:c>
      <x:c r="C74" s="8" t="n">
        <x:v>33</x:v>
      </x:c>
      <x:c r="D74" s="9" t="n">
        <x:v>338</x:v>
      </x:c>
      <x:c r="E74" s="9" t="n">
        <x:v>155.43</x:v>
      </x:c>
      <x:c r="F74" s="8" t="n">
        <x:f>C74*D74</x:f>
        <x:v>11154</x:v>
      </x:c>
      <x:c r="G74" s="8" t="n">
        <x:f>C74*E74</x:f>
        <x:v>5129.1900000000005</x:v>
      </x:c>
      <x:c r="H74" s="8" t="n">
        <x:f>F74-G74</x:f>
        <x:v>6024.8099999999995</x:v>
      </x:c>
      <x:c r="I74" s="10" t="n">
        <x:f>H74/F74</x:f>
        <x:v>0.5401479289940828</x:v>
      </x:c>
    </x:row>
    <x:row r="75" ht="22" customHeight="1">
      <x:c r="A75" s="11" t="str">
        <x:v>106</x:v>
      </x:c>
      <x:c r="B75" s="8" t="str">
        <x:v>WWI Stereo Bluetooth Headphones New Generation M370 Black</x:v>
      </x:c>
      <x:c r="C75" s="8" t="n">
        <x:v>271</x:v>
      </x:c>
      <x:c r="D75" s="9" t="n">
        <x:v>132.99</x:v>
      </x:c>
      <x:c r="E75" s="9" t="n">
        <x:v>61.16</x:v>
      </x:c>
      <x:c r="F75" s="8" t="n">
        <x:f>C75*D75</x:f>
        <x:v>36040.29</x:v>
      </x:c>
      <x:c r="G75" s="8" t="n">
        <x:f>C75*E75</x:f>
        <x:v>16574.36</x:v>
      </x:c>
      <x:c r="H75" s="8" t="n">
        <x:f>F75-G75</x:f>
        <x:v>19465.93</x:v>
      </x:c>
      <x:c r="I75" s="10" t="n">
        <x:f>H75/F75</x:f>
        <x:v>0.5401157981803143</x:v>
      </x:c>
    </x:row>
    <x:row r="76" ht="22" customHeight="1">
      <x:c r="A76" s="11" t="str">
        <x:v>1060</x:v>
      </x:c>
      <x:c r="B76" s="8" t="str">
        <x:v>A. Datum SLR Camera X139 Gold</x:v>
      </x:c>
      <x:c r="C76" s="8" t="n">
        <x:v>43</x:v>
      </x:c>
      <x:c r="D76" s="9" t="n">
        <x:v>627</x:v>
      </x:c>
      <x:c r="E76" s="9" t="n">
        <x:v>207.74</x:v>
      </x:c>
      <x:c r="F76" s="8" t="n">
        <x:f>C76*D76</x:f>
        <x:v>26961</x:v>
      </x:c>
      <x:c r="G76" s="8" t="n">
        <x:f>C76*E76</x:f>
        <x:v>8932.82</x:v>
      </x:c>
      <x:c r="H76" s="8" t="n">
        <x:f>F76-G76</x:f>
        <x:v>18028.18</x:v>
      </x:c>
      <x:c r="I76" s="10" t="n">
        <x:f>H76/F76</x:f>
        <x:v>0.6686762360446571</x:v>
      </x:c>
    </x:row>
    <x:row r="77" ht="22" customHeight="1">
      <x:c r="A77" s="11" t="str">
        <x:v>1061</x:v>
      </x:c>
      <x:c r="B77" s="8" t="str">
        <x:v>A. Datum SLR Camera 35" X358 Gold</x:v>
      </x:c>
      <x:c r="C77" s="8" t="n">
        <x:v>49</x:v>
      </x:c>
      <x:c r="D77" s="9" t="n">
        <x:v>588</x:v>
      </x:c>
      <x:c r="E77" s="9" t="n">
        <x:v>194.82</x:v>
      </x:c>
      <x:c r="F77" s="8" t="n">
        <x:f>C77*D77</x:f>
        <x:v>28812</x:v>
      </x:c>
      <x:c r="G77" s="8" t="n">
        <x:f>C77*E77</x:f>
        <x:v>9546.18</x:v>
      </x:c>
      <x:c r="H77" s="8" t="n">
        <x:f>F77-G77</x:f>
        <x:v>19265.82</x:v>
      </x:c>
      <x:c r="I77" s="10" t="n">
        <x:f>H77/F77</x:f>
        <x:v>0.6686734693877551</x:v>
      </x:c>
    </x:row>
    <x:row r="78" ht="22" customHeight="1">
      <x:c r="A78" s="11" t="str">
        <x:v>1062</x:v>
      </x:c>
      <x:c r="B78" s="8" t="str">
        <x:v>A. Datum SLR Camera M139 Gold</x:v>
      </x:c>
      <x:c r="C78" s="8" t="n">
        <x:v>62</x:v>
      </x:c>
      <x:c r="D78" s="9" t="n">
        <x:v>312</x:v>
      </x:c>
      <x:c r="E78" s="9" t="n">
        <x:v>143.48</x:v>
      </x:c>
      <x:c r="F78" s="8" t="n">
        <x:f>C78*D78</x:f>
        <x:v>19344</x:v>
      </x:c>
      <x:c r="G78" s="8" t="n">
        <x:f>C78*E78</x:f>
        <x:v>8895.76</x:v>
      </x:c>
      <x:c r="H78" s="8" t="n">
        <x:f>F78-G78</x:f>
        <x:v>10448.24</x:v>
      </x:c>
      <x:c r="I78" s="10" t="n">
        <x:f>H78/F78</x:f>
        <x:v>0.5401282051282051</x:v>
      </x:c>
    </x:row>
    <x:row r="79" ht="22" customHeight="1">
      <x:c r="A79" s="11" t="str">
        <x:v>1063</x:v>
      </x:c>
      <x:c r="B79" s="8" t="str">
        <x:v>A. Datum SLR Camera 35" M358 Gold</x:v>
      </x:c>
      <x:c r="C79" s="8" t="n">
        <x:v>50</x:v>
      </x:c>
      <x:c r="D79" s="9" t="n">
        <x:v>338</x:v>
      </x:c>
      <x:c r="E79" s="9" t="n">
        <x:v>155.43</x:v>
      </x:c>
      <x:c r="F79" s="8" t="n">
        <x:f>C79*D79</x:f>
        <x:v>16900</x:v>
      </x:c>
      <x:c r="G79" s="8" t="n">
        <x:f>C79*E79</x:f>
        <x:v>7771.5</x:v>
      </x:c>
      <x:c r="H79" s="8" t="n">
        <x:f>F79-G79</x:f>
        <x:v>9128.5</x:v>
      </x:c>
      <x:c r="I79" s="10" t="n">
        <x:f>H79/F79</x:f>
        <x:v>0.5401479289940828</x:v>
      </x:c>
    </x:row>
    <x:row r="80" ht="22" customHeight="1">
      <x:c r="A80" s="11" t="str">
        <x:v>1064</x:v>
      </x:c>
      <x:c r="B80" s="8" t="str">
        <x:v>A. Datum SLR Camera X140 Pink</x:v>
      </x:c>
      <x:c r="C80" s="8" t="n">
        <x:v>55</x:v>
      </x:c>
      <x:c r="D80" s="9" t="n">
        <x:v>627</x:v>
      </x:c>
      <x:c r="E80" s="9" t="n">
        <x:v>207.74</x:v>
      </x:c>
      <x:c r="F80" s="8" t="n">
        <x:f>C80*D80</x:f>
        <x:v>34485</x:v>
      </x:c>
      <x:c r="G80" s="8" t="n">
        <x:f>C80*E80</x:f>
        <x:v>11425.7</x:v>
      </x:c>
      <x:c r="H80" s="8" t="n">
        <x:f>F80-G80</x:f>
        <x:v>23059.3</x:v>
      </x:c>
      <x:c r="I80" s="10" t="n">
        <x:f>H80/F80</x:f>
        <x:v>0.6686762360446571</x:v>
      </x:c>
    </x:row>
    <x:row r="81" ht="22" customHeight="1">
      <x:c r="A81" s="11" t="str">
        <x:v>1065</x:v>
      </x:c>
      <x:c r="B81" s="8" t="str">
        <x:v>A. Datum SLR Camera 35" X358 Pink</x:v>
      </x:c>
      <x:c r="C81" s="8" t="n">
        <x:v>31</x:v>
      </x:c>
      <x:c r="D81" s="9" t="n">
        <x:v>588</x:v>
      </x:c>
      <x:c r="E81" s="9" t="n">
        <x:v>194.82</x:v>
      </x:c>
      <x:c r="F81" s="8" t="n">
        <x:f>C81*D81</x:f>
        <x:v>18228</x:v>
      </x:c>
      <x:c r="G81" s="8" t="n">
        <x:f>C81*E81</x:f>
        <x:v>6039.42</x:v>
      </x:c>
      <x:c r="H81" s="8" t="n">
        <x:f>F81-G81</x:f>
        <x:v>12188.58</x:v>
      </x:c>
      <x:c r="I81" s="10" t="n">
        <x:f>H81/F81</x:f>
        <x:v>0.6686734693877551</x:v>
      </x:c>
    </x:row>
    <x:row r="82" ht="22" customHeight="1">
      <x:c r="A82" s="11" t="str">
        <x:v>1066</x:v>
      </x:c>
      <x:c r="B82" s="8" t="str">
        <x:v>A. Datum SLR Camera M140 Pink</x:v>
      </x:c>
      <x:c r="C82" s="8" t="n">
        <x:v>19</x:v>
      </x:c>
      <x:c r="D82" s="9" t="n">
        <x:v>312</x:v>
      </x:c>
      <x:c r="E82" s="9" t="n">
        <x:v>143.48</x:v>
      </x:c>
      <x:c r="F82" s="8" t="n">
        <x:f>C82*D82</x:f>
        <x:v>5928</x:v>
      </x:c>
      <x:c r="G82" s="8" t="n">
        <x:f>C82*E82</x:f>
        <x:v>2726.12</x:v>
      </x:c>
      <x:c r="H82" s="8" t="n">
        <x:f>F82-G82</x:f>
        <x:v>3201.88</x:v>
      </x:c>
      <x:c r="I82" s="10" t="n">
        <x:f>H82/F82</x:f>
        <x:v>0.5401282051282051</x:v>
      </x:c>
    </x:row>
    <x:row r="83" ht="22" customHeight="1">
      <x:c r="A83" s="11" t="str">
        <x:v>1067</x:v>
      </x:c>
      <x:c r="B83" s="8" t="str">
        <x:v>A. Datum SLR Camera 35" M358 Pink</x:v>
      </x:c>
      <x:c r="C83" s="8" t="n">
        <x:v>55</x:v>
      </x:c>
      <x:c r="D83" s="9" t="n">
        <x:v>338</x:v>
      </x:c>
      <x:c r="E83" s="9" t="n">
        <x:v>155.43</x:v>
      </x:c>
      <x:c r="F83" s="8" t="n">
        <x:f>C83*D83</x:f>
        <x:v>18590</x:v>
      </x:c>
      <x:c r="G83" s="8" t="n">
        <x:f>C83*E83</x:f>
        <x:v>8548.65</x:v>
      </x:c>
      <x:c r="H83" s="8" t="n">
        <x:f>F83-G83</x:f>
        <x:v>10041.35</x:v>
      </x:c>
      <x:c r="I83" s="10" t="n">
        <x:f>H83/F83</x:f>
        <x:v>0.5401479289940828</x:v>
      </x:c>
    </x:row>
    <x:row r="84" ht="22" customHeight="1">
      <x:c r="A84" s="11" t="str">
        <x:v>1068</x:v>
      </x:c>
      <x:c r="B84" s="8" t="str">
        <x:v>A. Datum SLR Camera X141 Blue</x:v>
      </x:c>
      <x:c r="C84" s="8" t="n">
        <x:v>42</x:v>
      </x:c>
      <x:c r="D84" s="9" t="n">
        <x:v>427</x:v>
      </x:c>
      <x:c r="E84" s="9" t="n">
        <x:v>141.47</x:v>
      </x:c>
      <x:c r="F84" s="8" t="n">
        <x:f>C84*D84</x:f>
        <x:v>17934</x:v>
      </x:c>
      <x:c r="G84" s="8" t="n">
        <x:f>C84*E84</x:f>
        <x:v>5941.74</x:v>
      </x:c>
      <x:c r="H84" s="8" t="n">
        <x:f>F84-G84</x:f>
        <x:v>11992.26</x:v>
      </x:c>
      <x:c r="I84" s="10" t="n">
        <x:f>H84/F84</x:f>
        <x:v>0.6686885245901639</x:v>
      </x:c>
    </x:row>
    <x:row r="85" ht="22" customHeight="1">
      <x:c r="A85" s="11" t="str">
        <x:v>1069</x:v>
      </x:c>
      <x:c r="B85" s="8" t="str">
        <x:v>A. Datum SLR Camera 35" X358 Blue</x:v>
      </x:c>
      <x:c r="C85" s="8" t="n">
        <x:v>38</x:v>
      </x:c>
      <x:c r="D85" s="9" t="n">
        <x:v>588</x:v>
      </x:c>
      <x:c r="E85" s="9" t="n">
        <x:v>194.82</x:v>
      </x:c>
      <x:c r="F85" s="8" t="n">
        <x:f>C85*D85</x:f>
        <x:v>22344</x:v>
      </x:c>
      <x:c r="G85" s="8" t="n">
        <x:f>C85*E85</x:f>
        <x:v>7403.16</x:v>
      </x:c>
      <x:c r="H85" s="8" t="n">
        <x:f>F85-G85</x:f>
        <x:v>14940.84</x:v>
      </x:c>
      <x:c r="I85" s="10" t="n">
        <x:f>H85/F85</x:f>
        <x:v>0.6686734693877551</x:v>
      </x:c>
    </x:row>
    <x:row r="86" ht="22" customHeight="1">
      <x:c r="A86" s="11" t="str">
        <x:v>107</x:v>
      </x:c>
      <x:c r="B86" s="8" t="str">
        <x:v>WWI Stereo Bluetooth Headphones New Generation M370 White</x:v>
      </x:c>
      <x:c r="C86" s="8" t="n">
        <x:v>258</x:v>
      </x:c>
      <x:c r="D86" s="9" t="n">
        <x:v>132.99</x:v>
      </x:c>
      <x:c r="E86" s="9" t="n">
        <x:v>61.16</x:v>
      </x:c>
      <x:c r="F86" s="8" t="n">
        <x:f>C86*D86</x:f>
        <x:v>34311.420000000006</x:v>
      </x:c>
      <x:c r="G86" s="8" t="n">
        <x:f>C86*E86</x:f>
        <x:v>15779.279999999999</x:v>
      </x:c>
      <x:c r="H86" s="8" t="n">
        <x:f>F86-G86</x:f>
        <x:v>18532.140000000007</x:v>
      </x:c>
      <x:c r="I86" s="10" t="n">
        <x:f>H86/F86</x:f>
        <x:v>0.5401157981803144</x:v>
      </x:c>
    </x:row>
    <x:row r="87" ht="22" customHeight="1">
      <x:c r="A87" s="11" t="str">
        <x:v>1070</x:v>
      </x:c>
      <x:c r="B87" s="8" t="str">
        <x:v>A. Datum SLR Camera M141 Blue</x:v>
      </x:c>
      <x:c r="C87" s="8" t="n">
        <x:v>42</x:v>
      </x:c>
      <x:c r="D87" s="9" t="n">
        <x:v>312</x:v>
      </x:c>
      <x:c r="E87" s="9" t="n">
        <x:v>143.48</x:v>
      </x:c>
      <x:c r="F87" s="8" t="n">
        <x:f>C87*D87</x:f>
        <x:v>13104</x:v>
      </x:c>
      <x:c r="G87" s="8" t="n">
        <x:f>C87*E87</x:f>
        <x:v>6026.16</x:v>
      </x:c>
      <x:c r="H87" s="8" t="n">
        <x:f>F87-G87</x:f>
        <x:v>7077.84</x:v>
      </x:c>
      <x:c r="I87" s="10" t="n">
        <x:f>H87/F87</x:f>
        <x:v>0.5401282051282051</x:v>
      </x:c>
    </x:row>
    <x:row r="88" ht="22" customHeight="1">
      <x:c r="A88" s="11" t="str">
        <x:v>1071</x:v>
      </x:c>
      <x:c r="B88" s="8" t="str">
        <x:v>A. Datum SLR Camera 35" M358 Blue</x:v>
      </x:c>
      <x:c r="C88" s="8" t="n">
        <x:v>30</x:v>
      </x:c>
      <x:c r="D88" s="9" t="n">
        <x:v>338</x:v>
      </x:c>
      <x:c r="E88" s="9" t="n">
        <x:v>155.43</x:v>
      </x:c>
      <x:c r="F88" s="8" t="n">
        <x:f>C88*D88</x:f>
        <x:v>10140</x:v>
      </x:c>
      <x:c r="G88" s="8" t="n">
        <x:f>C88*E88</x:f>
        <x:v>4662.900000000001</x:v>
      </x:c>
      <x:c r="H88" s="8" t="n">
        <x:f>F88-G88</x:f>
        <x:v>5477.099999999999</x:v>
      </x:c>
      <x:c r="I88" s="10" t="n">
        <x:f>H88/F88</x:f>
        <x:v>0.5401479289940828</x:v>
      </x:c>
    </x:row>
    <x:row r="89" ht="22" customHeight="1">
      <x:c r="A89" s="11" t="str">
        <x:v>1072</x:v>
      </x:c>
      <x:c r="B89" s="8" t="str">
        <x:v>A. Datum SLR Camera X142 Orange</x:v>
      </x:c>
      <x:c r="C89" s="8" t="n">
        <x:v>32</x:v>
      </x:c>
      <x:c r="D89" s="9" t="n">
        <x:v>427</x:v>
      </x:c>
      <x:c r="E89" s="9" t="n">
        <x:v>141.47</x:v>
      </x:c>
      <x:c r="F89" s="8" t="n">
        <x:f>C89*D89</x:f>
        <x:v>13664</x:v>
      </x:c>
      <x:c r="G89" s="8" t="n">
        <x:f>C89*E89</x:f>
        <x:v>4527.04</x:v>
      </x:c>
      <x:c r="H89" s="8" t="n">
        <x:f>F89-G89</x:f>
        <x:v>9136.96</x:v>
      </x:c>
      <x:c r="I89" s="10" t="n">
        <x:f>H89/F89</x:f>
        <x:v>0.6686885245901639</x:v>
      </x:c>
    </x:row>
    <x:row r="90" ht="22" customHeight="1">
      <x:c r="A90" s="11" t="str">
        <x:v>1073</x:v>
      </x:c>
      <x:c r="B90" s="8" t="str">
        <x:v>A. Datum SLR Camera 35" X358 Orange</x:v>
      </x:c>
      <x:c r="C90" s="8" t="n">
        <x:v>30</x:v>
      </x:c>
      <x:c r="D90" s="9" t="n">
        <x:v>588</x:v>
      </x:c>
      <x:c r="E90" s="9" t="n">
        <x:v>194.82</x:v>
      </x:c>
      <x:c r="F90" s="8" t="n">
        <x:f>C90*D90</x:f>
        <x:v>17640</x:v>
      </x:c>
      <x:c r="G90" s="8" t="n">
        <x:f>C90*E90</x:f>
        <x:v>5844.599999999999</x:v>
      </x:c>
      <x:c r="H90" s="8" t="n">
        <x:f>F90-G90</x:f>
        <x:v>11795.400000000001</x:v>
      </x:c>
      <x:c r="I90" s="10" t="n">
        <x:f>H90/F90</x:f>
        <x:v>0.6686734693877552</x:v>
      </x:c>
    </x:row>
    <x:row r="91" ht="22" customHeight="1">
      <x:c r="A91" s="11" t="str">
        <x:v>1074</x:v>
      </x:c>
      <x:c r="B91" s="8" t="str">
        <x:v>A. Datum SLR Camera M142 Orange</x:v>
      </x:c>
      <x:c r="C91" s="8" t="n">
        <x:v>35</x:v>
      </x:c>
      <x:c r="D91" s="9" t="n">
        <x:v>312</x:v>
      </x:c>
      <x:c r="E91" s="9" t="n">
        <x:v>143.48</x:v>
      </x:c>
      <x:c r="F91" s="8" t="n">
        <x:f>C91*D91</x:f>
        <x:v>10920</x:v>
      </x:c>
      <x:c r="G91" s="8" t="n">
        <x:f>C91*E91</x:f>
        <x:v>5021.799999999999</x:v>
      </x:c>
      <x:c r="H91" s="8" t="n">
        <x:f>F91-G91</x:f>
        <x:v>5898.200000000001</x:v>
      </x:c>
      <x:c r="I91" s="10" t="n">
        <x:f>H91/F91</x:f>
        <x:v>0.5401282051282051</x:v>
      </x:c>
    </x:row>
    <x:row r="92" ht="22" customHeight="1">
      <x:c r="A92" s="11" t="str">
        <x:v>1075</x:v>
      </x:c>
      <x:c r="B92" s="8" t="str">
        <x:v>A. Datum SLR Camera 35" M358 Orange</x:v>
      </x:c>
      <x:c r="C92" s="8" t="n">
        <x:v>48</x:v>
      </x:c>
      <x:c r="D92" s="9" t="n">
        <x:v>338</x:v>
      </x:c>
      <x:c r="E92" s="9" t="n">
        <x:v>155.43</x:v>
      </x:c>
      <x:c r="F92" s="8" t="n">
        <x:f>C92*D92</x:f>
        <x:v>16224</x:v>
      </x:c>
      <x:c r="G92" s="8" t="n">
        <x:f>C92*E92</x:f>
        <x:v>7460.64</x:v>
      </x:c>
      <x:c r="H92" s="8" t="n">
        <x:f>F92-G92</x:f>
        <x:v>8763.36</x:v>
      </x:c>
      <x:c r="I92" s="10" t="n">
        <x:f>H92/F92</x:f>
        <x:v>0.5401479289940829</x:v>
      </x:c>
    </x:row>
    <x:row r="93" ht="22" customHeight="1">
      <x:c r="A93" s="11" t="str">
        <x:v>1076</x:v>
      </x:c>
      <x:c r="B93" s="8" t="str">
        <x:v>Contoso SLR Camera X142 Black</x:v>
      </x:c>
      <x:c r="C93" s="8" t="n">
        <x:v>35</x:v>
      </x:c>
      <x:c r="D93" s="9" t="n">
        <x:v>637</x:v>
      </x:c>
      <x:c r="E93" s="9" t="n">
        <x:v>211.05</x:v>
      </x:c>
      <x:c r="F93" s="8" t="n">
        <x:f>C93*D93</x:f>
        <x:v>22295</x:v>
      </x:c>
      <x:c r="G93" s="8" t="n">
        <x:f>C93*E93</x:f>
        <x:v>7386.75</x:v>
      </x:c>
      <x:c r="H93" s="8" t="n">
        <x:f>F93-G93</x:f>
        <x:v>14908.25</x:v>
      </x:c>
      <x:c r="I93" s="10" t="n">
        <x:f>H93/F93</x:f>
        <x:v>0.6686813186813186</x:v>
      </x:c>
    </x:row>
    <x:row r="94" ht="22" customHeight="1">
      <x:c r="A94" s="11" t="str">
        <x:v>1077</x:v>
      </x:c>
      <x:c r="B94" s="8" t="str">
        <x:v>Contoso SLR Camera 35" X358 Black</x:v>
      </x:c>
      <x:c r="C94" s="8" t="n">
        <x:v>38</x:v>
      </x:c>
      <x:c r="D94" s="9" t="n">
        <x:v>568</x:v>
      </x:c>
      <x:c r="E94" s="9" t="n">
        <x:v>188.19</x:v>
      </x:c>
      <x:c r="F94" s="8" t="n">
        <x:f>C94*D94</x:f>
        <x:v>21584</x:v>
      </x:c>
      <x:c r="G94" s="8" t="n">
        <x:f>C94*E94</x:f>
        <x:v>7151.22</x:v>
      </x:c>
      <x:c r="H94" s="8" t="n">
        <x:f>F94-G94</x:f>
        <x:v>14432.779999999999</x:v>
      </x:c>
      <x:c r="I94" s="10" t="n">
        <x:f>H94/F94</x:f>
        <x:v>0.6686795774647887</x:v>
      </x:c>
    </x:row>
    <x:row r="95" ht="22" customHeight="1">
      <x:c r="A95" s="11" t="str">
        <x:v>1078</x:v>
      </x:c>
      <x:c r="B95" s="8" t="str">
        <x:v>Contoso SLR Camera M142 Black</x:v>
      </x:c>
      <x:c r="C95" s="8" t="n">
        <x:v>47</x:v>
      </x:c>
      <x:c r="D95" s="9" t="n">
        <x:v>314</x:v>
      </x:c>
      <x:c r="E95" s="9" t="n">
        <x:v>144.4</x:v>
      </x:c>
      <x:c r="F95" s="8" t="n">
        <x:f>C95*D95</x:f>
        <x:v>14758</x:v>
      </x:c>
      <x:c r="G95" s="8" t="n">
        <x:f>C95*E95</x:f>
        <x:v>6786.8</x:v>
      </x:c>
      <x:c r="H95" s="8" t="n">
        <x:f>F95-G95</x:f>
        <x:v>7971.2</x:v>
      </x:c>
      <x:c r="I95" s="10" t="n">
        <x:f>H95/F95</x:f>
        <x:v>0.5401273885350318</x:v>
      </x:c>
    </x:row>
    <x:row r="96" ht="22" customHeight="1">
      <x:c r="A96" s="11" t="str">
        <x:v>1079</x:v>
      </x:c>
      <x:c r="B96" s="8" t="str">
        <x:v>Contoso SLR Camera 35" M358 Black</x:v>
      </x:c>
      <x:c r="C96" s="8" t="n">
        <x:v>43</x:v>
      </x:c>
      <x:c r="D96" s="9" t="n">
        <x:v>358</x:v>
      </x:c>
      <x:c r="E96" s="9" t="n">
        <x:v>164.63</x:v>
      </x:c>
      <x:c r="F96" s="8" t="n">
        <x:f>C96*D96</x:f>
        <x:v>15394</x:v>
      </x:c>
      <x:c r="G96" s="8" t="n">
        <x:f>C96*E96</x:f>
        <x:v>7079.09</x:v>
      </x:c>
      <x:c r="H96" s="8" t="n">
        <x:f>F96-G96</x:f>
        <x:v>8314.91</x:v>
      </x:c>
      <x:c r="I96" s="10" t="n">
        <x:f>H96/F96</x:f>
        <x:v>0.5401396648044693</x:v>
      </x:c>
    </x:row>
    <x:row r="97" ht="22" customHeight="1">
      <x:c r="A97" s="11" t="str">
        <x:v>108</x:v>
      </x:c>
      <x:c r="B97" s="8" t="str">
        <x:v>WWI Stereo Bluetooth Headphones New Generation M370 Yellow</x:v>
      </x:c>
      <x:c r="C97" s="8" t="n">
        <x:v>251</x:v>
      </x:c>
      <x:c r="D97" s="9" t="n">
        <x:v>132.99</x:v>
      </x:c>
      <x:c r="E97" s="9" t="n">
        <x:v>61.16</x:v>
      </x:c>
      <x:c r="F97" s="8" t="n">
        <x:f>C97*D97</x:f>
        <x:v>33380.490000000005</x:v>
      </x:c>
      <x:c r="G97" s="8" t="n">
        <x:f>C97*E97</x:f>
        <x:v>15351.16</x:v>
      </x:c>
      <x:c r="H97" s="8" t="n">
        <x:f>F97-G97</x:f>
        <x:v>18029.330000000005</x:v>
      </x:c>
      <x:c r="I97" s="10" t="n">
        <x:f>H97/F97</x:f>
        <x:v>0.5401157981803144</x:v>
      </x:c>
    </x:row>
    <x:row r="98" ht="22" customHeight="1">
      <x:c r="A98" s="11" t="str">
        <x:v>1080</x:v>
      </x:c>
      <x:c r="B98" s="8" t="str">
        <x:v>Contoso SLR Camera X143 Silver</x:v>
      </x:c>
      <x:c r="C98" s="8" t="n">
        <x:v>51</x:v>
      </x:c>
      <x:c r="D98" s="9" t="n">
        <x:v>646</x:v>
      </x:c>
      <x:c r="E98" s="9" t="n">
        <x:v>214.03</x:v>
      </x:c>
      <x:c r="F98" s="8" t="n">
        <x:f>C98*D98</x:f>
        <x:v>32946</x:v>
      </x:c>
      <x:c r="G98" s="8" t="n">
        <x:f>C98*E98</x:f>
        <x:v>10915.53</x:v>
      </x:c>
      <x:c r="H98" s="8" t="n">
        <x:f>F98-G98</x:f>
        <x:v>22030.47</x:v>
      </x:c>
      <x:c r="I98" s="10" t="n">
        <x:f>H98/F98</x:f>
        <x:v>0.6686842105263158</x:v>
      </x:c>
    </x:row>
    <x:row r="99" ht="22" customHeight="1">
      <x:c r="A99" s="11" t="str">
        <x:v>1081</x:v>
      </x:c>
      <x:c r="B99" s="8" t="str">
        <x:v>Contoso SLR Camera 35" X358 Silver</x:v>
      </x:c>
      <x:c r="C99" s="8" t="n">
        <x:v>35</x:v>
      </x:c>
      <x:c r="D99" s="9" t="n">
        <x:v>568</x:v>
      </x:c>
      <x:c r="E99" s="9" t="n">
        <x:v>188.19</x:v>
      </x:c>
      <x:c r="F99" s="8" t="n">
        <x:f>C99*D99</x:f>
        <x:v>19880</x:v>
      </x:c>
      <x:c r="G99" s="8" t="n">
        <x:f>C99*E99</x:f>
        <x:v>6586.65</x:v>
      </x:c>
      <x:c r="H99" s="8" t="n">
        <x:f>F99-G99</x:f>
        <x:v>13293.35</x:v>
      </x:c>
      <x:c r="I99" s="10" t="n">
        <x:f>H99/F99</x:f>
        <x:v>0.6686795774647888</x:v>
      </x:c>
    </x:row>
    <x:row r="100" ht="22" customHeight="1">
      <x:c r="A100" s="11" t="str">
        <x:v>1082</x:v>
      </x:c>
      <x:c r="B100" s="8" t="str">
        <x:v>Contoso SLR Camera M143 Silver</x:v>
      </x:c>
      <x:c r="C100" s="8" t="n">
        <x:v>42</x:v>
      </x:c>
      <x:c r="D100" s="9" t="n">
        <x:v>304</x:v>
      </x:c>
      <x:c r="E100" s="9" t="n">
        <x:v>139.8</x:v>
      </x:c>
      <x:c r="F100" s="8" t="n">
        <x:f>C100*D100</x:f>
        <x:v>12768</x:v>
      </x:c>
      <x:c r="G100" s="8" t="n">
        <x:f>C100*E100</x:f>
        <x:v>5871.6</x:v>
      </x:c>
      <x:c r="H100" s="8" t="n">
        <x:f>F100-G100</x:f>
        <x:v>6896.4</x:v>
      </x:c>
      <x:c r="I100" s="10" t="n">
        <x:f>H100/F100</x:f>
        <x:v>0.5401315789473684</x:v>
      </x:c>
    </x:row>
    <x:row r="101" ht="22" customHeight="1">
      <x:c r="A101" s="11" t="str">
        <x:v>1083</x:v>
      </x:c>
      <x:c r="B101" s="8" t="str">
        <x:v>Contoso SLR Camera 35" M358 Silver</x:v>
      </x:c>
      <x:c r="C101" s="8" t="n">
        <x:v>39</x:v>
      </x:c>
      <x:c r="D101" s="9" t="n">
        <x:v>358</x:v>
      </x:c>
      <x:c r="E101" s="9" t="n">
        <x:v>164.63</x:v>
      </x:c>
      <x:c r="F101" s="8" t="n">
        <x:f>C101*D101</x:f>
        <x:v>13962</x:v>
      </x:c>
      <x:c r="G101" s="8" t="n">
        <x:f>C101*E101</x:f>
        <x:v>6420.57</x:v>
      </x:c>
      <x:c r="H101" s="8" t="n">
        <x:f>F101-G101</x:f>
        <x:v>7541.43</x:v>
      </x:c>
      <x:c r="I101" s="10" t="n">
        <x:f>H101/F101</x:f>
        <x:v>0.5401396648044693</x:v>
      </x:c>
    </x:row>
    <x:row r="102" ht="22" customHeight="1">
      <x:c r="A102" s="11" t="str">
        <x:v>1084</x:v>
      </x:c>
      <x:c r="B102" s="8" t="str">
        <x:v>Contoso SLR Camera X143 Grey</x:v>
      </x:c>
      <x:c r="C102" s="8" t="n">
        <x:v>41</x:v>
      </x:c>
      <x:c r="D102" s="9" t="n">
        <x:v>646</x:v>
      </x:c>
      <x:c r="E102" s="9" t="n">
        <x:v>214.03</x:v>
      </x:c>
      <x:c r="F102" s="8" t="n">
        <x:f>C102*D102</x:f>
        <x:v>26486</x:v>
      </x:c>
      <x:c r="G102" s="8" t="n">
        <x:f>C102*E102</x:f>
        <x:v>8775.23</x:v>
      </x:c>
      <x:c r="H102" s="8" t="n">
        <x:f>F102-G102</x:f>
        <x:v>17710.77</x:v>
      </x:c>
      <x:c r="I102" s="10" t="n">
        <x:f>H102/F102</x:f>
        <x:v>0.6686842105263158</x:v>
      </x:c>
    </x:row>
    <x:row r="103" ht="22" customHeight="1">
      <x:c r="A103" s="11" t="str">
        <x:v>1085</x:v>
      </x:c>
      <x:c r="B103" s="8" t="str">
        <x:v>Contoso SLR Camera 35" X358 Grey</x:v>
      </x:c>
      <x:c r="C103" s="8" t="n">
        <x:v>14</x:v>
      </x:c>
      <x:c r="D103" s="9" t="n">
        <x:v>568</x:v>
      </x:c>
      <x:c r="E103" s="9" t="n">
        <x:v>188.19</x:v>
      </x:c>
      <x:c r="F103" s="8" t="n">
        <x:f>C103*D103</x:f>
        <x:v>7952</x:v>
      </x:c>
      <x:c r="G103" s="8" t="n">
        <x:f>C103*E103</x:f>
        <x:v>2634.66</x:v>
      </x:c>
      <x:c r="H103" s="8" t="n">
        <x:f>F103-G103</x:f>
        <x:v>5317.34</x:v>
      </x:c>
      <x:c r="I103" s="10" t="n">
        <x:f>H103/F103</x:f>
        <x:v>0.6686795774647888</x:v>
      </x:c>
    </x:row>
    <x:row r="104" ht="22" customHeight="1">
      <x:c r="A104" s="11" t="str">
        <x:v>1086</x:v>
      </x:c>
      <x:c r="B104" s="8" t="str">
        <x:v>Contoso SLR Camera M143 Grey</x:v>
      </x:c>
      <x:c r="C104" s="8" t="n">
        <x:v>63</x:v>
      </x:c>
      <x:c r="D104" s="9" t="n">
        <x:v>304</x:v>
      </x:c>
      <x:c r="E104" s="9" t="n">
        <x:v>139.8</x:v>
      </x:c>
      <x:c r="F104" s="8" t="n">
        <x:f>C104*D104</x:f>
        <x:v>19152</x:v>
      </x:c>
      <x:c r="G104" s="8" t="n">
        <x:f>C104*E104</x:f>
        <x:v>8807.400000000001</x:v>
      </x:c>
      <x:c r="H104" s="8" t="n">
        <x:f>F104-G104</x:f>
        <x:v>10344.599999999999</x:v>
      </x:c>
      <x:c r="I104" s="10" t="n">
        <x:f>H104/F104</x:f>
        <x:v>0.5401315789473683</x:v>
      </x:c>
    </x:row>
    <x:row r="105" ht="22" customHeight="1">
      <x:c r="A105" s="11" t="str">
        <x:v>1087</x:v>
      </x:c>
      <x:c r="B105" s="8" t="str">
        <x:v>Contoso SLR Camera 35" M358 Grey</x:v>
      </x:c>
      <x:c r="C105" s="8" t="n">
        <x:v>25</x:v>
      </x:c>
      <x:c r="D105" s="9" t="n">
        <x:v>358</x:v>
      </x:c>
      <x:c r="E105" s="9" t="n">
        <x:v>164.63</x:v>
      </x:c>
      <x:c r="F105" s="8" t="n">
        <x:f>C105*D105</x:f>
        <x:v>8950</x:v>
      </x:c>
      <x:c r="G105" s="8" t="n">
        <x:f>C105*E105</x:f>
        <x:v>4115.75</x:v>
      </x:c>
      <x:c r="H105" s="8" t="n">
        <x:f>F105-G105</x:f>
        <x:v>4834.25</x:v>
      </x:c>
      <x:c r="I105" s="10" t="n">
        <x:f>H105/F105</x:f>
        <x:v>0.5401396648044693</x:v>
      </x:c>
    </x:row>
    <x:row r="106" ht="22" customHeight="1">
      <x:c r="A106" s="11" t="str">
        <x:v>1088</x:v>
      </x:c>
      <x:c r="B106" s="8" t="str">
        <x:v>Contoso SLR Camera X144 Silver Grey</x:v>
      </x:c>
      <x:c r="C106" s="8" t="n">
        <x:v>40</x:v>
      </x:c>
      <x:c r="D106" s="9" t="n">
        <x:v>673</x:v>
      </x:c>
      <x:c r="E106" s="9" t="n">
        <x:v>222.98</x:v>
      </x:c>
      <x:c r="F106" s="8" t="n">
        <x:f>C106*D106</x:f>
        <x:v>26920</x:v>
      </x:c>
      <x:c r="G106" s="8" t="n">
        <x:f>C106*E106</x:f>
        <x:v>8919.199999999999</x:v>
      </x:c>
      <x:c r="H106" s="8" t="n">
        <x:f>F106-G106</x:f>
        <x:v>18000.800000000003</x:v>
      </x:c>
      <x:c r="I106" s="10" t="n">
        <x:f>H106/F106</x:f>
        <x:v>0.6686775631500744</x:v>
      </x:c>
    </x:row>
    <x:row r="107" ht="22" customHeight="1">
      <x:c r="A107" s="11" t="str">
        <x:v>1089</x:v>
      </x:c>
      <x:c r="B107" s="8" t="str">
        <x:v>Contoso SLR Camera 35" X358 Silver Grey</x:v>
      </x:c>
      <x:c r="C107" s="8" t="n">
        <x:v>65</x:v>
      </x:c>
      <x:c r="D107" s="9" t="n">
        <x:v>568</x:v>
      </x:c>
      <x:c r="E107" s="9" t="n">
        <x:v>188.19</x:v>
      </x:c>
      <x:c r="F107" s="8" t="n">
        <x:f>C107*D107</x:f>
        <x:v>36920</x:v>
      </x:c>
      <x:c r="G107" s="8" t="n">
        <x:f>C107*E107</x:f>
        <x:v>12232.35</x:v>
      </x:c>
      <x:c r="H107" s="8" t="n">
        <x:f>F107-G107</x:f>
        <x:v>24687.65</x:v>
      </x:c>
      <x:c r="I107" s="10" t="n">
        <x:f>H107/F107</x:f>
        <x:v>0.6686795774647888</x:v>
      </x:c>
    </x:row>
    <x:row r="108" ht="22" customHeight="1">
      <x:c r="A108" s="11" t="str">
        <x:v>109</x:v>
      </x:c>
      <x:c r="B108" s="8" t="str">
        <x:v>WWI Stereo Bluetooth Headphones New Generation M370 Orange</x:v>
      </x:c>
      <x:c r="C108" s="8" t="n">
        <x:v>272</x:v>
      </x:c>
      <x:c r="D108" s="9" t="n">
        <x:v>132.99</x:v>
      </x:c>
      <x:c r="E108" s="9" t="n">
        <x:v>61.16</x:v>
      </x:c>
      <x:c r="F108" s="8" t="n">
        <x:f>C108*D108</x:f>
        <x:v>36173.28</x:v>
      </x:c>
      <x:c r="G108" s="8" t="n">
        <x:f>C108*E108</x:f>
        <x:v>16635.52</x:v>
      </x:c>
      <x:c r="H108" s="8" t="n">
        <x:f>F108-G108</x:f>
        <x:v>19537.76</x:v>
      </x:c>
      <x:c r="I108" s="10" t="n">
        <x:f>H108/F108</x:f>
        <x:v>0.5401157981803143</x:v>
      </x:c>
    </x:row>
    <x:row r="109" ht="22" customHeight="1">
      <x:c r="A109" s="11" t="str">
        <x:v>1090</x:v>
      </x:c>
      <x:c r="B109" s="8" t="str">
        <x:v>Contoso SLR Camera M144 Silver Grey</x:v>
      </x:c>
      <x:c r="C109" s="8" t="n">
        <x:v>52</x:v>
      </x:c>
      <x:c r="D109" s="9" t="n">
        <x:v>332</x:v>
      </x:c>
      <x:c r="E109" s="9" t="n">
        <x:v>152.68</x:v>
      </x:c>
      <x:c r="F109" s="8" t="n">
        <x:f>C109*D109</x:f>
        <x:v>17264</x:v>
      </x:c>
      <x:c r="G109" s="8" t="n">
        <x:f>C109*E109</x:f>
        <x:v>7939.360000000001</x:v>
      </x:c>
      <x:c r="H109" s="8" t="n">
        <x:f>F109-G109</x:f>
        <x:v>9324.64</x:v>
      </x:c>
      <x:c r="I109" s="10" t="n">
        <x:f>H109/F109</x:f>
        <x:v>0.5401204819277108</x:v>
      </x:c>
    </x:row>
    <x:row r="110" ht="22" customHeight="1">
      <x:c r="A110" s="11" t="str">
        <x:v>1091</x:v>
      </x:c>
      <x:c r="B110" s="8" t="str">
        <x:v>Contoso SLR Camera 35" M358 Silver Grey</x:v>
      </x:c>
      <x:c r="C110" s="8" t="n">
        <x:v>60</x:v>
      </x:c>
      <x:c r="D110" s="9" t="n">
        <x:v>358</x:v>
      </x:c>
      <x:c r="E110" s="9" t="n">
        <x:v>164.63</x:v>
      </x:c>
      <x:c r="F110" s="8" t="n">
        <x:f>C110*D110</x:f>
        <x:v>21480</x:v>
      </x:c>
      <x:c r="G110" s="8" t="n">
        <x:f>C110*E110</x:f>
        <x:v>9877.8</x:v>
      </x:c>
      <x:c r="H110" s="8" t="n">
        <x:f>F110-G110</x:f>
        <x:v>11602.2</x:v>
      </x:c>
      <x:c r="I110" s="10" t="n">
        <x:f>H110/F110</x:f>
        <x:v>0.5401396648044693</x:v>
      </x:c>
    </x:row>
    <x:row r="111" ht="22" customHeight="1">
      <x:c r="A111" s="11" t="str">
        <x:v>1092</x:v>
      </x:c>
      <x:c r="B111" s="8" t="str">
        <x:v>Contoso SLR Camera X144 Gold</x:v>
      </x:c>
      <x:c r="C111" s="8" t="n">
        <x:v>47</x:v>
      </x:c>
      <x:c r="D111" s="9" t="n">
        <x:v>673</x:v>
      </x:c>
      <x:c r="E111" s="9" t="n">
        <x:v>222.98</x:v>
      </x:c>
      <x:c r="F111" s="8" t="n">
        <x:f>C111*D111</x:f>
        <x:v>31631</x:v>
      </x:c>
      <x:c r="G111" s="8" t="n">
        <x:f>C111*E111</x:f>
        <x:v>10480.06</x:v>
      </x:c>
      <x:c r="H111" s="8" t="n">
        <x:f>F111-G111</x:f>
        <x:v>21150.940000000002</x:v>
      </x:c>
      <x:c r="I111" s="10" t="n">
        <x:f>H111/F111</x:f>
        <x:v>0.6686775631500743</x:v>
      </x:c>
    </x:row>
    <x:row r="112" ht="22" customHeight="1">
      <x:c r="A112" s="11" t="str">
        <x:v>1093</x:v>
      </x:c>
      <x:c r="B112" s="8" t="str">
        <x:v>Contoso SLR Camera 35" X358 Gold</x:v>
      </x:c>
      <x:c r="C112" s="8" t="n">
        <x:v>36</x:v>
      </x:c>
      <x:c r="D112" s="9" t="n">
        <x:v>568</x:v>
      </x:c>
      <x:c r="E112" s="9" t="n">
        <x:v>188.19</x:v>
      </x:c>
      <x:c r="F112" s="8" t="n">
        <x:f>C112*D112</x:f>
        <x:v>20448</x:v>
      </x:c>
      <x:c r="G112" s="8" t="n">
        <x:f>C112*E112</x:f>
        <x:v>6774.84</x:v>
      </x:c>
      <x:c r="H112" s="8" t="n">
        <x:f>F112-G112</x:f>
        <x:v>13673.16</x:v>
      </x:c>
      <x:c r="I112" s="10" t="n">
        <x:f>H112/F112</x:f>
        <x:v>0.6686795774647887</x:v>
      </x:c>
    </x:row>
    <x:row r="113" ht="22" customHeight="1">
      <x:c r="A113" s="11" t="str">
        <x:v>1094</x:v>
      </x:c>
      <x:c r="B113" s="8" t="str">
        <x:v>Contoso SLR Camera M144 Gold</x:v>
      </x:c>
      <x:c r="C113" s="8" t="n">
        <x:v>51</x:v>
      </x:c>
      <x:c r="D113" s="9" t="n">
        <x:v>332</x:v>
      </x:c>
      <x:c r="E113" s="9" t="n">
        <x:v>152.68</x:v>
      </x:c>
      <x:c r="F113" s="8" t="n">
        <x:f>C113*D113</x:f>
        <x:v>16932</x:v>
      </x:c>
      <x:c r="G113" s="8" t="n">
        <x:f>C113*E113</x:f>
        <x:v>7786.68</x:v>
      </x:c>
      <x:c r="H113" s="8" t="n">
        <x:f>F113-G113</x:f>
        <x:v>9145.32</x:v>
      </x:c>
      <x:c r="I113" s="10" t="n">
        <x:f>H113/F113</x:f>
        <x:v>0.5401204819277108</x:v>
      </x:c>
    </x:row>
    <x:row r="114" ht="22" customHeight="1">
      <x:c r="A114" s="11" t="str">
        <x:v>1095</x:v>
      </x:c>
      <x:c r="B114" s="8" t="str">
        <x:v>Contoso SLR Camera 35" M358 Gold</x:v>
      </x:c>
      <x:c r="C114" s="8" t="n">
        <x:v>55</x:v>
      </x:c>
      <x:c r="D114" s="9" t="n">
        <x:v>358</x:v>
      </x:c>
      <x:c r="E114" s="9" t="n">
        <x:v>164.63</x:v>
      </x:c>
      <x:c r="F114" s="8" t="n">
        <x:f>C114*D114</x:f>
        <x:v>19690</x:v>
      </x:c>
      <x:c r="G114" s="8" t="n">
        <x:f>C114*E114</x:f>
        <x:v>9054.65</x:v>
      </x:c>
      <x:c r="H114" s="8" t="n">
        <x:f>F114-G114</x:f>
        <x:v>10635.35</x:v>
      </x:c>
      <x:c r="I114" s="10" t="n">
        <x:f>H114/F114</x:f>
        <x:v>0.5401396648044693</x:v>
      </x:c>
    </x:row>
    <x:row r="115" ht="22" customHeight="1">
      <x:c r="A115" s="11" t="str">
        <x:v>1096</x:v>
      </x:c>
      <x:c r="B115" s="8" t="str">
        <x:v>Contoso SLR Camera X145 Pink</x:v>
      </x:c>
      <x:c r="C115" s="8" t="n">
        <x:v>35</x:v>
      </x:c>
      <x:c r="D115" s="9" t="n">
        <x:v>632</x:v>
      </x:c>
      <x:c r="E115" s="9" t="n">
        <x:v>209.39</x:v>
      </x:c>
      <x:c r="F115" s="8" t="n">
        <x:f>C115*D115</x:f>
        <x:v>22120</x:v>
      </x:c>
      <x:c r="G115" s="8" t="n">
        <x:f>C115*E115</x:f>
        <x:v>7328.65</x:v>
      </x:c>
      <x:c r="H115" s="8" t="n">
        <x:f>F115-G115</x:f>
        <x:v>14791.35</x:v>
      </x:c>
      <x:c r="I115" s="10" t="n">
        <x:f>H115/F115</x:f>
        <x:v>0.6686867088607595</x:v>
      </x:c>
    </x:row>
    <x:row r="116" ht="22" customHeight="1">
      <x:c r="A116" s="11" t="str">
        <x:v>1097</x:v>
      </x:c>
      <x:c r="B116" s="8" t="str">
        <x:v>Contoso SLR Camera 35" X358 Pink</x:v>
      </x:c>
      <x:c r="C116" s="8" t="n">
        <x:v>26</x:v>
      </x:c>
      <x:c r="D116" s="9" t="n">
        <x:v>568</x:v>
      </x:c>
      <x:c r="E116" s="9" t="n">
        <x:v>188.19</x:v>
      </x:c>
      <x:c r="F116" s="8" t="n">
        <x:f>C116*D116</x:f>
        <x:v>14768</x:v>
      </x:c>
      <x:c r="G116" s="8" t="n">
        <x:f>C116*E116</x:f>
        <x:v>4892.94</x:v>
      </x:c>
      <x:c r="H116" s="8" t="n">
        <x:f>F116-G116</x:f>
        <x:v>9875.060000000001</x:v>
      </x:c>
      <x:c r="I116" s="10" t="n">
        <x:f>H116/F116</x:f>
        <x:v>0.6686795774647888</x:v>
      </x:c>
    </x:row>
    <x:row r="117" ht="22" customHeight="1">
      <x:c r="A117" s="11" t="str">
        <x:v>1098</x:v>
      </x:c>
      <x:c r="B117" s="8" t="str">
        <x:v>Contoso SLR Camera M145 Pink</x:v>
      </x:c>
      <x:c r="C117" s="8" t="n">
        <x:v>56</x:v>
      </x:c>
      <x:c r="D117" s="9" t="n">
        <x:v>343</x:v>
      </x:c>
      <x:c r="E117" s="9" t="n">
        <x:v>157.73</x:v>
      </x:c>
      <x:c r="F117" s="8" t="n">
        <x:f>C117*D117</x:f>
        <x:v>19208</x:v>
      </x:c>
      <x:c r="G117" s="8" t="n">
        <x:f>C117*E117</x:f>
        <x:v>8832.88</x:v>
      </x:c>
      <x:c r="H117" s="8" t="n">
        <x:f>F117-G117</x:f>
        <x:v>10375.12</x:v>
      </x:c>
      <x:c r="I117" s="10" t="n">
        <x:f>H117/F117</x:f>
        <x:v>0.5401457725947523</x:v>
      </x:c>
    </x:row>
    <x:row r="118" ht="22" customHeight="1">
      <x:c r="A118" s="11" t="str">
        <x:v>1099</x:v>
      </x:c>
      <x:c r="B118" s="8" t="str">
        <x:v>Contoso SLR Camera 35" M358 Pink</x:v>
      </x:c>
      <x:c r="C118" s="8" t="n">
        <x:v>28</x:v>
      </x:c>
      <x:c r="D118" s="9" t="n">
        <x:v>358</x:v>
      </x:c>
      <x:c r="E118" s="9" t="n">
        <x:v>164.63</x:v>
      </x:c>
      <x:c r="F118" s="8" t="n">
        <x:f>C118*D118</x:f>
        <x:v>10024</x:v>
      </x:c>
      <x:c r="G118" s="8" t="n">
        <x:f>C118*E118</x:f>
        <x:v>4609.639999999999</x:v>
      </x:c>
      <x:c r="H118" s="8" t="n">
        <x:f>F118-G118</x:f>
        <x:v>5414.360000000001</x:v>
      </x:c>
      <x:c r="I118" s="10" t="n">
        <x:f>H118/F118</x:f>
        <x:v>0.5401396648044693</x:v>
      </x:c>
    </x:row>
    <x:row r="119" ht="22" customHeight="1">
      <x:c r="A119" s="11" t="str">
        <x:v>11</x:v>
      </x:c>
      <x:c r="B119" s="8" t="str">
        <x:v>Contoso 4G MP3 Player E400 Orange</x:v>
      </x:c>
      <x:c r="C119" s="8" t="n">
        <x:v>67</x:v>
      </x:c>
      <x:c r="D119" s="9" t="n">
        <x:v>59.99</x:v>
      </x:c>
      <x:c r="E119" s="9" t="n">
        <x:v>30.58</x:v>
      </x:c>
      <x:c r="F119" s="8" t="n">
        <x:f>C119*D119</x:f>
        <x:v>4019.33</x:v>
      </x:c>
      <x:c r="G119" s="8" t="n">
        <x:f>C119*E119</x:f>
        <x:v>2048.8599999999997</x:v>
      </x:c>
      <x:c r="H119" s="8" t="n">
        <x:f>F119-G119</x:f>
        <x:v>1970.4700000000003</x:v>
      </x:c>
      <x:c r="I119" s="10" t="n">
        <x:f>H119/F119</x:f>
        <x:v>0.4902483747291216</x:v>
      </x:c>
    </x:row>
    <x:row r="120" ht="22" customHeight="1">
      <x:c r="A120" s="11" t="str">
        <x:v>110</x:v>
      </x:c>
      <x:c r="B120" s="8" t="str">
        <x:v>WWI Stereo Bluetooth Headphones New Generation M370 Blue</x:v>
      </x:c>
      <x:c r="C120" s="8" t="n">
        <x:v>237</x:v>
      </x:c>
      <x:c r="D120" s="9" t="n">
        <x:v>132.99</x:v>
      </x:c>
      <x:c r="E120" s="9" t="n">
        <x:v>61.16</x:v>
      </x:c>
      <x:c r="F120" s="8" t="n">
        <x:f>C120*D120</x:f>
        <x:v>31518.63</x:v>
      </x:c>
      <x:c r="G120" s="8" t="n">
        <x:f>C120*E120</x:f>
        <x:v>14494.92</x:v>
      </x:c>
      <x:c r="H120" s="8" t="n">
        <x:f>F120-G120</x:f>
        <x:v>17023.71</x:v>
      </x:c>
      <x:c r="I120" s="10" t="n">
        <x:f>H120/F120</x:f>
        <x:v>0.5401157981803143</x:v>
      </x:c>
    </x:row>
    <x:row r="121" ht="22" customHeight="1">
      <x:c r="A121" s="11" t="str">
        <x:v>1100</x:v>
      </x:c>
      <x:c r="B121" s="8" t="str">
        <x:v>Contoso SLR Camera X145 Blue</x:v>
      </x:c>
      <x:c r="C121" s="8" t="n">
        <x:v>50</x:v>
      </x:c>
      <x:c r="D121" s="9" t="n">
        <x:v>632</x:v>
      </x:c>
      <x:c r="E121" s="9" t="n">
        <x:v>209.39</x:v>
      </x:c>
      <x:c r="F121" s="8" t="n">
        <x:f>C121*D121</x:f>
        <x:v>31600</x:v>
      </x:c>
      <x:c r="G121" s="8" t="n">
        <x:f>C121*E121</x:f>
        <x:v>10469.5</x:v>
      </x:c>
      <x:c r="H121" s="8" t="n">
        <x:f>F121-G121</x:f>
        <x:v>21130.5</x:v>
      </x:c>
      <x:c r="I121" s="10" t="n">
        <x:f>H121/F121</x:f>
        <x:v>0.6686867088607595</x:v>
      </x:c>
    </x:row>
    <x:row r="122" ht="22" customHeight="1">
      <x:c r="A122" s="11" t="str">
        <x:v>1101</x:v>
      </x:c>
      <x:c r="B122" s="8" t="str">
        <x:v>Contoso SLR Camera 35" X358 Blue</x:v>
      </x:c>
      <x:c r="C122" s="8" t="n">
        <x:v>48</x:v>
      </x:c>
      <x:c r="D122" s="9" t="n">
        <x:v>568</x:v>
      </x:c>
      <x:c r="E122" s="9" t="n">
        <x:v>188.19</x:v>
      </x:c>
      <x:c r="F122" s="8" t="n">
        <x:f>C122*D122</x:f>
        <x:v>27264</x:v>
      </x:c>
      <x:c r="G122" s="8" t="n">
        <x:f>C122*E122</x:f>
        <x:v>9033.119999999999</x:v>
      </x:c>
      <x:c r="H122" s="8" t="n">
        <x:f>F122-G122</x:f>
        <x:v>18230.88</x:v>
      </x:c>
      <x:c r="I122" s="10" t="n">
        <x:f>H122/F122</x:f>
        <x:v>0.6686795774647888</x:v>
      </x:c>
    </x:row>
    <x:row r="123" ht="22" customHeight="1">
      <x:c r="A123" s="11" t="str">
        <x:v>1102</x:v>
      </x:c>
      <x:c r="B123" s="8" t="str">
        <x:v>Contoso SLR Camera M145 Blue</x:v>
      </x:c>
      <x:c r="C123" s="8" t="n">
        <x:v>20</x:v>
      </x:c>
      <x:c r="D123" s="9" t="n">
        <x:v>343</x:v>
      </x:c>
      <x:c r="E123" s="9" t="n">
        <x:v>157.73</x:v>
      </x:c>
      <x:c r="F123" s="8" t="n">
        <x:f>C123*D123</x:f>
        <x:v>6860</x:v>
      </x:c>
      <x:c r="G123" s="8" t="n">
        <x:f>C123*E123</x:f>
        <x:v>3154.6</x:v>
      </x:c>
      <x:c r="H123" s="8" t="n">
        <x:f>F123-G123</x:f>
        <x:v>3705.4</x:v>
      </x:c>
      <x:c r="I123" s="10" t="n">
        <x:f>H123/F123</x:f>
        <x:v>0.5401457725947522</x:v>
      </x:c>
    </x:row>
    <x:row r="124" ht="22" customHeight="1">
      <x:c r="A124" s="11" t="str">
        <x:v>1103</x:v>
      </x:c>
      <x:c r="B124" s="8" t="str">
        <x:v>Contoso SLR Camera 35" M358 Blue</x:v>
      </x:c>
      <x:c r="C124" s="8" t="n">
        <x:v>4</x:v>
      </x:c>
      <x:c r="D124" s="9" t="n">
        <x:v>358</x:v>
      </x:c>
      <x:c r="E124" s="9" t="n">
        <x:v>164.63</x:v>
      </x:c>
      <x:c r="F124" s="8" t="n">
        <x:f>C124*D124</x:f>
        <x:v>1432</x:v>
      </x:c>
      <x:c r="G124" s="8" t="n">
        <x:f>C124*E124</x:f>
        <x:v>658.52</x:v>
      </x:c>
      <x:c r="H124" s="8" t="n">
        <x:f>F124-G124</x:f>
        <x:v>773.48</x:v>
      </x:c>
      <x:c r="I124" s="10" t="n">
        <x:f>H124/F124</x:f>
        <x:v>0.5401396648044693</x:v>
      </x:c>
    </x:row>
    <x:row r="125" ht="22" customHeight="1">
      <x:c r="A125" s="11" t="str">
        <x:v>1104</x:v>
      </x:c>
      <x:c r="B125" s="8" t="str">
        <x:v>Contoso SLR Camera X146 Orange</x:v>
      </x:c>
      <x:c r="C125" s="8" t="n">
        <x:v>54</x:v>
      </x:c>
      <x:c r="D125" s="9" t="n">
        <x:v>427</x:v>
      </x:c>
      <x:c r="E125" s="9" t="n">
        <x:v>141.47</x:v>
      </x:c>
      <x:c r="F125" s="8" t="n">
        <x:f>C125*D125</x:f>
        <x:v>23058</x:v>
      </x:c>
      <x:c r="G125" s="8" t="n">
        <x:f>C125*E125</x:f>
        <x:v>7639.38</x:v>
      </x:c>
      <x:c r="H125" s="8" t="n">
        <x:f>F125-G125</x:f>
        <x:v>15418.619999999999</x:v>
      </x:c>
      <x:c r="I125" s="10" t="n">
        <x:f>H125/F125</x:f>
        <x:v>0.6686885245901639</x:v>
      </x:c>
    </x:row>
    <x:row r="126" ht="22" customHeight="1">
      <x:c r="A126" s="11" t="str">
        <x:v>1105</x:v>
      </x:c>
      <x:c r="B126" s="8" t="str">
        <x:v>Contoso SLR Camera 35" X358 Orange</x:v>
      </x:c>
      <x:c r="C126" s="8" t="n">
        <x:v>38</x:v>
      </x:c>
      <x:c r="D126" s="9" t="n">
        <x:v>568</x:v>
      </x:c>
      <x:c r="E126" s="9" t="n">
        <x:v>188.19</x:v>
      </x:c>
      <x:c r="F126" s="8" t="n">
        <x:f>C126*D126</x:f>
        <x:v>21584</x:v>
      </x:c>
      <x:c r="G126" s="8" t="n">
        <x:f>C126*E126</x:f>
        <x:v>7151.22</x:v>
      </x:c>
      <x:c r="H126" s="8" t="n">
        <x:f>F126-G126</x:f>
        <x:v>14432.779999999999</x:v>
      </x:c>
      <x:c r="I126" s="10" t="n">
        <x:f>H126/F126</x:f>
        <x:v>0.6686795774647887</x:v>
      </x:c>
    </x:row>
    <x:row r="127" ht="22" customHeight="1">
      <x:c r="A127" s="11" t="str">
        <x:v>1106</x:v>
      </x:c>
      <x:c r="B127" s="8" t="str">
        <x:v>Contoso SLR Camera M146 Orange</x:v>
      </x:c>
      <x:c r="C127" s="8" t="n">
        <x:v>69</x:v>
      </x:c>
      <x:c r="D127" s="9" t="n">
        <x:v>322</x:v>
      </x:c>
      <x:c r="E127" s="9" t="n">
        <x:v>148.08</x:v>
      </x:c>
      <x:c r="F127" s="8" t="n">
        <x:f>C127*D127</x:f>
        <x:v>22218</x:v>
      </x:c>
      <x:c r="G127" s="8" t="n">
        <x:f>C127*E127</x:f>
        <x:v>10217.52</x:v>
      </x:c>
      <x:c r="H127" s="8" t="n">
        <x:f>F127-G127</x:f>
        <x:v>12000.48</x:v>
      </x:c>
      <x:c r="I127" s="10" t="n">
        <x:f>H127/F127</x:f>
        <x:v>0.5401242236024845</x:v>
      </x:c>
    </x:row>
    <x:row r="128" ht="22" customHeight="1">
      <x:c r="A128" s="11" t="str">
        <x:v>1107</x:v>
      </x:c>
      <x:c r="B128" s="8" t="str">
        <x:v>Contoso SLR Camera 35" M358 Orange</x:v>
      </x:c>
      <x:c r="C128" s="8" t="n">
        <x:v>54</x:v>
      </x:c>
      <x:c r="D128" s="9" t="n">
        <x:v>358</x:v>
      </x:c>
      <x:c r="E128" s="9" t="n">
        <x:v>164.63</x:v>
      </x:c>
      <x:c r="F128" s="8" t="n">
        <x:f>C128*D128</x:f>
        <x:v>19332</x:v>
      </x:c>
      <x:c r="G128" s="8" t="n">
        <x:f>C128*E128</x:f>
        <x:v>8890.02</x:v>
      </x:c>
      <x:c r="H128" s="8" t="n">
        <x:f>F128-G128</x:f>
        <x:v>10441.98</x:v>
      </x:c>
      <x:c r="I128" s="10" t="n">
        <x:f>H128/F128</x:f>
        <x:v>0.5401396648044693</x:v>
      </x:c>
    </x:row>
    <x:row r="129" ht="22" customHeight="1">
      <x:c r="A129" s="11" t="str">
        <x:v>1108</x:v>
      </x:c>
      <x:c r="B129" s="8" t="str">
        <x:v>Fabrikam SLR Camera X146 Black</x:v>
      </x:c>
      <x:c r="C129" s="8" t="n">
        <x:v>52</x:v>
      </x:c>
      <x:c r="D129" s="9" t="n">
        <x:v>629</x:v>
      </x:c>
      <x:c r="E129" s="9" t="n">
        <x:v>208.4</x:v>
      </x:c>
      <x:c r="F129" s="8" t="n">
        <x:f>C129*D129</x:f>
        <x:v>32708</x:v>
      </x:c>
      <x:c r="G129" s="8" t="n">
        <x:f>C129*E129</x:f>
        <x:v>10836.800000000001</x:v>
      </x:c>
      <x:c r="H129" s="8" t="n">
        <x:f>F129-G129</x:f>
        <x:v>21871.199999999997</x:v>
      </x:c>
      <x:c r="I129" s="10" t="n">
        <x:f>H129/F129</x:f>
        <x:v>0.6686804451510333</x:v>
      </x:c>
    </x:row>
    <x:row r="130" ht="22" customHeight="1">
      <x:c r="A130" s="11" t="str">
        <x:v>1109</x:v>
      </x:c>
      <x:c r="B130" s="8" t="str">
        <x:v>Fabrikam SLR Camera 35" X358 Black</x:v>
      </x:c>
      <x:c r="C130" s="8" t="n">
        <x:v>70</x:v>
      </x:c>
      <x:c r="D130" s="9" t="n">
        <x:v>436.2</x:v>
      </x:c>
      <x:c r="E130" s="9" t="n">
        <x:v>144.52</x:v>
      </x:c>
      <x:c r="F130" s="8" t="n">
        <x:f>C130*D130</x:f>
        <x:v>30534</x:v>
      </x:c>
      <x:c r="G130" s="8" t="n">
        <x:f>C130*E130</x:f>
        <x:v>10116.400000000001</x:v>
      </x:c>
      <x:c r="H130" s="8" t="n">
        <x:f>F130-G130</x:f>
        <x:v>20417.6</x:v>
      </x:c>
      <x:c r="I130" s="10" t="n">
        <x:f>H130/F130</x:f>
        <x:v>0.6686840898670334</x:v>
      </x:c>
    </x:row>
    <x:row r="131" ht="22" customHeight="1">
      <x:c r="A131" s="11" t="str">
        <x:v>111</x:v>
      </x:c>
      <x:c r="B131" s="8" t="str">
        <x:v>WWI Wireless Transmitter and Bluetooth Headphones X250 Black</x:v>
      </x:c>
      <x:c r="C131" s="8" t="n">
        <x:v>266</x:v>
      </x:c>
      <x:c r="D131" s="9" t="n">
        <x:v>249.99</x:v>
      </x:c>
      <x:c r="E131" s="9" t="n">
        <x:v>82.83</x:v>
      </x:c>
      <x:c r="F131" s="8" t="n">
        <x:f>C131*D131</x:f>
        <x:v>66497.34</x:v>
      </x:c>
      <x:c r="G131" s="8" t="n">
        <x:f>C131*E131</x:f>
        <x:v>22032.78</x:v>
      </x:c>
      <x:c r="H131" s="8" t="n">
        <x:f>F131-G131</x:f>
        <x:v>44464.56</x:v>
      </x:c>
      <x:c r="I131" s="10" t="n">
        <x:f>H131/F131</x:f>
        <x:v>0.6686667466698668</x:v>
      </x:c>
    </x:row>
    <x:row r="132" ht="22" customHeight="1">
      <x:c r="A132" s="11" t="str">
        <x:v>1110</x:v>
      </x:c>
      <x:c r="B132" s="8" t="str">
        <x:v>Fabrikam SLR Camera M146 Black</x:v>
      </x:c>
      <x:c r="C132" s="8" t="n">
        <x:v>40</x:v>
      </x:c>
      <x:c r="D132" s="9" t="n">
        <x:v>302</x:v>
      </x:c>
      <x:c r="E132" s="9" t="n">
        <x:v>138.88</x:v>
      </x:c>
      <x:c r="F132" s="8" t="n">
        <x:f>C132*D132</x:f>
        <x:v>12080</x:v>
      </x:c>
      <x:c r="G132" s="8" t="n">
        <x:f>C132*E132</x:f>
        <x:v>5555.2</x:v>
      </x:c>
      <x:c r="H132" s="8" t="n">
        <x:f>F132-G132</x:f>
        <x:v>6524.8</x:v>
      </x:c>
      <x:c r="I132" s="10" t="n">
        <x:f>H132/F132</x:f>
        <x:v>0.5401324503311259</x:v>
      </x:c>
    </x:row>
    <x:row r="133" ht="22" customHeight="1">
      <x:c r="A133" s="11" t="str">
        <x:v>1111</x:v>
      </x:c>
      <x:c r="B133" s="8" t="str">
        <x:v>Fabrikam SLR Camera 35" M358 Black</x:v>
      </x:c>
      <x:c r="C133" s="8" t="n">
        <x:v>29</x:v>
      </x:c>
      <x:c r="D133" s="9" t="n">
        <x:v>328</x:v>
      </x:c>
      <x:c r="E133" s="9" t="n">
        <x:v>150.84</x:v>
      </x:c>
      <x:c r="F133" s="8" t="n">
        <x:f>C133*D133</x:f>
        <x:v>9512</x:v>
      </x:c>
      <x:c r="G133" s="8" t="n">
        <x:f>C133*E133</x:f>
        <x:v>4374.36</x:v>
      </x:c>
      <x:c r="H133" s="8" t="n">
        <x:f>F133-G133</x:f>
        <x:v>5137.64</x:v>
      </x:c>
      <x:c r="I133" s="10" t="n">
        <x:f>H133/F133</x:f>
        <x:v>0.5401219512195122</x:v>
      </x:c>
    </x:row>
    <x:row r="134" ht="22" customHeight="1">
      <x:c r="A134" s="11" t="str">
        <x:v>1112</x:v>
      </x:c>
      <x:c r="B134" s="8" t="str">
        <x:v>Fabrikam SLR Camera X147 Silver</x:v>
      </x:c>
      <x:c r="C134" s="8" t="n">
        <x:v>24</x:v>
      </x:c>
      <x:c r="D134" s="9" t="n">
        <x:v>645</x:v>
      </x:c>
      <x:c r="E134" s="9" t="n">
        <x:v>213.7</x:v>
      </x:c>
      <x:c r="F134" s="8" t="n">
        <x:f>C134*D134</x:f>
        <x:v>15480</x:v>
      </x:c>
      <x:c r="G134" s="8" t="n">
        <x:f>C134*E134</x:f>
        <x:v>5128.799999999999</x:v>
      </x:c>
      <x:c r="H134" s="8" t="n">
        <x:f>F134-G134</x:f>
        <x:v>10351.2</x:v>
      </x:c>
      <x:c r="I134" s="10" t="n">
        <x:f>H134/F134</x:f>
        <x:v>0.6686821705426357</x:v>
      </x:c>
    </x:row>
    <x:row r="135" ht="22" customHeight="1">
      <x:c r="A135" s="11" t="str">
        <x:v>1113</x:v>
      </x:c>
      <x:c r="B135" s="8" t="str">
        <x:v>Fabrikam SLR Camera 35" X358 Silver</x:v>
      </x:c>
      <x:c r="C135" s="8" t="n">
        <x:v>66</x:v>
      </x:c>
      <x:c r="D135" s="9" t="n">
        <x:v>436.2</x:v>
      </x:c>
      <x:c r="E135" s="9" t="n">
        <x:v>144.52</x:v>
      </x:c>
      <x:c r="F135" s="8" t="n">
        <x:f>C135*D135</x:f>
        <x:v>28789.2</x:v>
      </x:c>
      <x:c r="G135" s="8" t="n">
        <x:f>C135*E135</x:f>
        <x:v>9538.320000000002</x:v>
      </x:c>
      <x:c r="H135" s="8" t="n">
        <x:f>F135-G135</x:f>
        <x:v>19250.879999999997</x:v>
      </x:c>
      <x:c r="I135" s="10" t="n">
        <x:f>H135/F135</x:f>
        <x:v>0.6686840898670333</x:v>
      </x:c>
    </x:row>
    <x:row r="136" ht="22" customHeight="1">
      <x:c r="A136" s="11" t="str">
        <x:v>1114</x:v>
      </x:c>
      <x:c r="B136" s="8" t="str">
        <x:v>Fabrikam SLR Camera M147 Silver</x:v>
      </x:c>
      <x:c r="C136" s="8" t="n">
        <x:v>40</x:v>
      </x:c>
      <x:c r="D136" s="9" t="n">
        <x:v>334</x:v>
      </x:c>
      <x:c r="E136" s="9" t="n">
        <x:v>153.59</x:v>
      </x:c>
      <x:c r="F136" s="8" t="n">
        <x:f>C136*D136</x:f>
        <x:v>13360</x:v>
      </x:c>
      <x:c r="G136" s="8" t="n">
        <x:f>C136*E136</x:f>
        <x:v>6143.6</x:v>
      </x:c>
      <x:c r="H136" s="8" t="n">
        <x:f>F136-G136</x:f>
        <x:v>7216.4</x:v>
      </x:c>
      <x:c r="I136" s="10" t="n">
        <x:f>H136/F136</x:f>
        <x:v>0.5401497005988024</x:v>
      </x:c>
    </x:row>
    <x:row r="137" ht="22" customHeight="1">
      <x:c r="A137" s="11" t="str">
        <x:v>1115</x:v>
      </x:c>
      <x:c r="B137" s="8" t="str">
        <x:v>Fabrikam SLR Camera 35" M358 Silver</x:v>
      </x:c>
      <x:c r="C137" s="8" t="n">
        <x:v>58</x:v>
      </x:c>
      <x:c r="D137" s="9" t="n">
        <x:v>328</x:v>
      </x:c>
      <x:c r="E137" s="9" t="n">
        <x:v>150.84</x:v>
      </x:c>
      <x:c r="F137" s="8" t="n">
        <x:f>C137*D137</x:f>
        <x:v>19024</x:v>
      </x:c>
      <x:c r="G137" s="8" t="n">
        <x:f>C137*E137</x:f>
        <x:v>8748.72</x:v>
      </x:c>
      <x:c r="H137" s="8" t="n">
        <x:f>F137-G137</x:f>
        <x:v>10275.28</x:v>
      </x:c>
      <x:c r="I137" s="10" t="n">
        <x:f>H137/F137</x:f>
        <x:v>0.5401219512195122</x:v>
      </x:c>
    </x:row>
    <x:row r="138" ht="22" customHeight="1">
      <x:c r="A138" s="11" t="str">
        <x:v>1116</x:v>
      </x:c>
      <x:c r="B138" s="8" t="str">
        <x:v>Fabrikam SLR Camera X147 Grey</x:v>
      </x:c>
      <x:c r="C138" s="8" t="n">
        <x:v>45</x:v>
      </x:c>
      <x:c r="D138" s="9" t="n">
        <x:v>645</x:v>
      </x:c>
      <x:c r="E138" s="9" t="n">
        <x:v>213.7</x:v>
      </x:c>
      <x:c r="F138" s="8" t="n">
        <x:f>C138*D138</x:f>
        <x:v>29025</x:v>
      </x:c>
      <x:c r="G138" s="8" t="n">
        <x:f>C138*E138</x:f>
        <x:v>9616.5</x:v>
      </x:c>
      <x:c r="H138" s="8" t="n">
        <x:f>F138-G138</x:f>
        <x:v>19408.5</x:v>
      </x:c>
      <x:c r="I138" s="10" t="n">
        <x:f>H138/F138</x:f>
        <x:v>0.6686821705426357</x:v>
      </x:c>
    </x:row>
    <x:row r="139" ht="22" customHeight="1">
      <x:c r="A139" s="11" t="str">
        <x:v>1117</x:v>
      </x:c>
      <x:c r="B139" s="8" t="str">
        <x:v>Fabrikam SLR Camera 35" X358 Grey</x:v>
      </x:c>
      <x:c r="C139" s="8" t="n">
        <x:v>27</x:v>
      </x:c>
      <x:c r="D139" s="9" t="n">
        <x:v>436.2</x:v>
      </x:c>
      <x:c r="E139" s="9" t="n">
        <x:v>144.52</x:v>
      </x:c>
      <x:c r="F139" s="8" t="n">
        <x:f>C139*D139</x:f>
        <x:v>11777.4</x:v>
      </x:c>
      <x:c r="G139" s="8" t="n">
        <x:f>C139*E139</x:f>
        <x:v>3902.0400000000004</x:v>
      </x:c>
      <x:c r="H139" s="8" t="n">
        <x:f>F139-G139</x:f>
        <x:v>7875.359999999999</x:v>
      </x:c>
      <x:c r="I139" s="10" t="n">
        <x:f>H139/F139</x:f>
        <x:v>0.6686840898670334</x:v>
      </x:c>
    </x:row>
    <x:row r="140" ht="22" customHeight="1">
      <x:c r="A140" s="11" t="str">
        <x:v>1118</x:v>
      </x:c>
      <x:c r="B140" s="8" t="str">
        <x:v>Fabrikam SLR Camera M147 Grey</x:v>
      </x:c>
      <x:c r="C140" s="8" t="n">
        <x:v>69</x:v>
      </x:c>
      <x:c r="D140" s="9" t="n">
        <x:v>334</x:v>
      </x:c>
      <x:c r="E140" s="9" t="n">
        <x:v>153.59</x:v>
      </x:c>
      <x:c r="F140" s="8" t="n">
        <x:f>C140*D140</x:f>
        <x:v>23046</x:v>
      </x:c>
      <x:c r="G140" s="8" t="n">
        <x:f>C140*E140</x:f>
        <x:v>10597.710000000001</x:v>
      </x:c>
      <x:c r="H140" s="8" t="n">
        <x:f>F140-G140</x:f>
        <x:v>12448.289999999999</x:v>
      </x:c>
      <x:c r="I140" s="10" t="n">
        <x:f>H140/F140</x:f>
        <x:v>0.5401497005988024</x:v>
      </x:c>
    </x:row>
    <x:row r="141" ht="22" customHeight="1">
      <x:c r="A141" s="11" t="str">
        <x:v>1119</x:v>
      </x:c>
      <x:c r="B141" s="8" t="str">
        <x:v>Fabrikam SLR Camera 35" M358 Grey</x:v>
      </x:c>
      <x:c r="C141" s="8" t="n">
        <x:v>53</x:v>
      </x:c>
      <x:c r="D141" s="9" t="n">
        <x:v>328</x:v>
      </x:c>
      <x:c r="E141" s="9" t="n">
        <x:v>150.84</x:v>
      </x:c>
      <x:c r="F141" s="8" t="n">
        <x:f>C141*D141</x:f>
        <x:v>17384</x:v>
      </x:c>
      <x:c r="G141" s="8" t="n">
        <x:f>C141*E141</x:f>
        <x:v>7994.52</x:v>
      </x:c>
      <x:c r="H141" s="8" t="n">
        <x:f>F141-G141</x:f>
        <x:v>9389.48</x:v>
      </x:c>
      <x:c r="I141" s="10" t="n">
        <x:f>H141/F141</x:f>
        <x:v>0.5401219512195121</x:v>
      </x:c>
    </x:row>
    <x:row r="142" ht="22" customHeight="1">
      <x:c r="A142" s="11" t="str">
        <x:v>112</x:v>
      </x:c>
      <x:c r="B142" s="8" t="str">
        <x:v>WWI Wireless Transmitter and Bluetooth Headphones X250 Blue</x:v>
      </x:c>
      <x:c r="C142" s="8" t="n">
        <x:v>220</x:v>
      </x:c>
      <x:c r="D142" s="9" t="n">
        <x:v>249.99</x:v>
      </x:c>
      <x:c r="E142" s="9" t="n">
        <x:v>82.83</x:v>
      </x:c>
      <x:c r="F142" s="8" t="n">
        <x:f>C142*D142</x:f>
        <x:v>54997.8</x:v>
      </x:c>
      <x:c r="G142" s="8" t="n">
        <x:f>C142*E142</x:f>
        <x:v>18222.6</x:v>
      </x:c>
      <x:c r="H142" s="8" t="n">
        <x:f>F142-G142</x:f>
        <x:v>36775.200000000004</x:v>
      </x:c>
      <x:c r="I142" s="10" t="n">
        <x:f>H142/F142</x:f>
        <x:v>0.6686667466698668</x:v>
      </x:c>
    </x:row>
    <x:row r="143" ht="22" customHeight="1">
      <x:c r="A143" s="11" t="str">
        <x:v>1120</x:v>
      </x:c>
      <x:c r="B143" s="8" t="str">
        <x:v>Fabrikam SLR Camera X148 Silver Grey</x:v>
      </x:c>
      <x:c r="C143" s="8" t="n">
        <x:v>38</x:v>
      </x:c>
      <x:c r="D143" s="9" t="n">
        <x:v>657</x:v>
      </x:c>
      <x:c r="E143" s="9" t="n">
        <x:v>217.68</x:v>
      </x:c>
      <x:c r="F143" s="8" t="n">
        <x:f>C143*D143</x:f>
        <x:v>24966</x:v>
      </x:c>
      <x:c r="G143" s="8" t="n">
        <x:f>C143*E143</x:f>
        <x:v>8271.84</x:v>
      </x:c>
      <x:c r="H143" s="8" t="n">
        <x:f>F143-G143</x:f>
        <x:v>16694.16</x:v>
      </x:c>
      <x:c r="I143" s="10" t="n">
        <x:f>H143/F143</x:f>
        <x:v>0.668675799086758</x:v>
      </x:c>
    </x:row>
    <x:row r="144" ht="22" customHeight="1">
      <x:c r="A144" s="11" t="str">
        <x:v>1121</x:v>
      </x:c>
      <x:c r="B144" s="8" t="str">
        <x:v>Fabrikam SLR Camera 35" X358 Silver Grey</x:v>
      </x:c>
      <x:c r="C144" s="8" t="n">
        <x:v>29</x:v>
      </x:c>
      <x:c r="D144" s="9" t="n">
        <x:v>436.2</x:v>
      </x:c>
      <x:c r="E144" s="9" t="n">
        <x:v>144.52</x:v>
      </x:c>
      <x:c r="F144" s="8" t="n">
        <x:f>C144*D144</x:f>
        <x:v>12649.8</x:v>
      </x:c>
      <x:c r="G144" s="8" t="n">
        <x:f>C144*E144</x:f>
        <x:v>4191.08</x:v>
      </x:c>
      <x:c r="H144" s="8" t="n">
        <x:f>F144-G144</x:f>
        <x:v>8458.72</x:v>
      </x:c>
      <x:c r="I144" s="10" t="n">
        <x:f>H144/F144</x:f>
        <x:v>0.6686840898670334</x:v>
      </x:c>
    </x:row>
    <x:row r="145" ht="22" customHeight="1">
      <x:c r="A145" s="11" t="str">
        <x:v>1122</x:v>
      </x:c>
      <x:c r="B145" s="8" t="str">
        <x:v>Fabrikam SLR Camera M148 Silver Grey</x:v>
      </x:c>
      <x:c r="C145" s="8" t="n">
        <x:v>41</x:v>
      </x:c>
      <x:c r="D145" s="9" t="n">
        <x:v>332</x:v>
      </x:c>
      <x:c r="E145" s="9" t="n">
        <x:v>152.68</x:v>
      </x:c>
      <x:c r="F145" s="8" t="n">
        <x:f>C145*D145</x:f>
        <x:v>13612</x:v>
      </x:c>
      <x:c r="G145" s="8" t="n">
        <x:f>C145*E145</x:f>
        <x:v>6259.88</x:v>
      </x:c>
      <x:c r="H145" s="8" t="n">
        <x:f>F145-G145</x:f>
        <x:v>7352.12</x:v>
      </x:c>
      <x:c r="I145" s="10" t="n">
        <x:f>H145/F145</x:f>
        <x:v>0.5401204819277108</x:v>
      </x:c>
    </x:row>
    <x:row r="146" ht="22" customHeight="1">
      <x:c r="A146" s="11" t="str">
        <x:v>1123</x:v>
      </x:c>
      <x:c r="B146" s="8" t="str">
        <x:v>Fabrikam SLR Camera 35" M358 Silver Grey</x:v>
      </x:c>
      <x:c r="C146" s="8" t="n">
        <x:v>40</x:v>
      </x:c>
      <x:c r="D146" s="9" t="n">
        <x:v>328</x:v>
      </x:c>
      <x:c r="E146" s="9" t="n">
        <x:v>150.84</x:v>
      </x:c>
      <x:c r="F146" s="8" t="n">
        <x:f>C146*D146</x:f>
        <x:v>13120</x:v>
      </x:c>
      <x:c r="G146" s="8" t="n">
        <x:f>C146*E146</x:f>
        <x:v>6033.6</x:v>
      </x:c>
      <x:c r="H146" s="8" t="n">
        <x:f>F146-G146</x:f>
        <x:v>7086.4</x:v>
      </x:c>
      <x:c r="I146" s="10" t="n">
        <x:f>H146/F146</x:f>
        <x:v>0.5401219512195121</x:v>
      </x:c>
    </x:row>
    <x:row r="147" ht="22" customHeight="1">
      <x:c r="A147" s="11" t="str">
        <x:v>1124</x:v>
      </x:c>
      <x:c r="B147" s="8" t="str">
        <x:v>Fabrikam SLR Camera X148 Gold</x:v>
      </x:c>
      <x:c r="C147" s="8" t="n">
        <x:v>30</x:v>
      </x:c>
      <x:c r="D147" s="9" t="n">
        <x:v>657</x:v>
      </x:c>
      <x:c r="E147" s="9" t="n">
        <x:v>217.68</x:v>
      </x:c>
      <x:c r="F147" s="8" t="n">
        <x:f>C147*D147</x:f>
        <x:v>19710</x:v>
      </x:c>
      <x:c r="G147" s="8" t="n">
        <x:f>C147*E147</x:f>
        <x:v>6530.400000000001</x:v>
      </x:c>
      <x:c r="H147" s="8" t="n">
        <x:f>F147-G147</x:f>
        <x:v>13179.599999999999</x:v>
      </x:c>
      <x:c r="I147" s="10" t="n">
        <x:f>H147/F147</x:f>
        <x:v>0.6686757990867579</x:v>
      </x:c>
    </x:row>
    <x:row r="148" ht="22" customHeight="1">
      <x:c r="A148" s="11" t="str">
        <x:v>1125</x:v>
      </x:c>
      <x:c r="B148" s="8" t="str">
        <x:v>Fabrikam SLR Camera 35" X358 Gold</x:v>
      </x:c>
      <x:c r="C148" s="8" t="n">
        <x:v>57</x:v>
      </x:c>
      <x:c r="D148" s="9" t="n">
        <x:v>436.2</x:v>
      </x:c>
      <x:c r="E148" s="9" t="n">
        <x:v>144.52</x:v>
      </x:c>
      <x:c r="F148" s="8" t="n">
        <x:f>C148*D148</x:f>
        <x:v>24863.399999999998</x:v>
      </x:c>
      <x:c r="G148" s="8" t="n">
        <x:f>C148*E148</x:f>
        <x:v>8237.640000000001</x:v>
      </x:c>
      <x:c r="H148" s="8" t="n">
        <x:f>F148-G148</x:f>
        <x:v>16625.759999999995</x:v>
      </x:c>
      <x:c r="I148" s="10" t="n">
        <x:f>H148/F148</x:f>
        <x:v>0.6686840898670333</x:v>
      </x:c>
    </x:row>
    <x:row r="149" ht="22" customHeight="1">
      <x:c r="A149" s="11" t="str">
        <x:v>1126</x:v>
      </x:c>
      <x:c r="B149" s="8" t="str">
        <x:v>Fabrikam SLR Camera M148 Gold</x:v>
      </x:c>
      <x:c r="C149" s="8" t="n">
        <x:v>59</x:v>
      </x:c>
      <x:c r="D149" s="9" t="n">
        <x:v>332</x:v>
      </x:c>
      <x:c r="E149" s="9" t="n">
        <x:v>152.68</x:v>
      </x:c>
      <x:c r="F149" s="8" t="n">
        <x:f>C149*D149</x:f>
        <x:v>19588</x:v>
      </x:c>
      <x:c r="G149" s="8" t="n">
        <x:f>C149*E149</x:f>
        <x:v>9008.12</x:v>
      </x:c>
      <x:c r="H149" s="8" t="n">
        <x:f>F149-G149</x:f>
        <x:v>10579.88</x:v>
      </x:c>
      <x:c r="I149" s="10" t="n">
        <x:f>H149/F149</x:f>
        <x:v>0.5401204819277108</x:v>
      </x:c>
    </x:row>
    <x:row r="150" ht="22" customHeight="1">
      <x:c r="A150" s="11" t="str">
        <x:v>1127</x:v>
      </x:c>
      <x:c r="B150" s="8" t="str">
        <x:v>Fabrikam SLR Camera 35" M358 Gold</x:v>
      </x:c>
      <x:c r="C150" s="8" t="n">
        <x:v>21</x:v>
      </x:c>
      <x:c r="D150" s="9" t="n">
        <x:v>328</x:v>
      </x:c>
      <x:c r="E150" s="9" t="n">
        <x:v>150.84</x:v>
      </x:c>
      <x:c r="F150" s="8" t="n">
        <x:f>C150*D150</x:f>
        <x:v>6888</x:v>
      </x:c>
      <x:c r="G150" s="8" t="n">
        <x:f>C150*E150</x:f>
        <x:v>3167.64</x:v>
      </x:c>
      <x:c r="H150" s="8" t="n">
        <x:f>F150-G150</x:f>
        <x:v>3720.36</x:v>
      </x:c>
      <x:c r="I150" s="10" t="n">
        <x:f>H150/F150</x:f>
        <x:v>0.5401219512195122</x:v>
      </x:c>
    </x:row>
    <x:row r="151" ht="22" customHeight="1">
      <x:c r="A151" s="11" t="str">
        <x:v>1128</x:v>
      </x:c>
      <x:c r="B151" s="8" t="str">
        <x:v>Fabrikam SLR Camera X149 Pink</x:v>
      </x:c>
      <x:c r="C151" s="8" t="n">
        <x:v>33</x:v>
      </x:c>
      <x:c r="D151" s="9" t="n">
        <x:v>627</x:v>
      </x:c>
      <x:c r="E151" s="9" t="n">
        <x:v>207.74</x:v>
      </x:c>
      <x:c r="F151" s="8" t="n">
        <x:f>C151*D151</x:f>
        <x:v>20691</x:v>
      </x:c>
      <x:c r="G151" s="8" t="n">
        <x:f>C151*E151</x:f>
        <x:v>6855.42</x:v>
      </x:c>
      <x:c r="H151" s="8" t="n">
        <x:f>F151-G151</x:f>
        <x:v>13835.58</x:v>
      </x:c>
      <x:c r="I151" s="10" t="n">
        <x:f>H151/F151</x:f>
        <x:v>0.6686762360446571</x:v>
      </x:c>
    </x:row>
    <x:row r="152" ht="22" customHeight="1">
      <x:c r="A152" s="11" t="str">
        <x:v>1129</x:v>
      </x:c>
      <x:c r="B152" s="8" t="str">
        <x:v>Fabrikam SLR Camera 35" X358 Pink</x:v>
      </x:c>
      <x:c r="C152" s="8" t="n">
        <x:v>29</x:v>
      </x:c>
      <x:c r="D152" s="9" t="n">
        <x:v>436.2</x:v>
      </x:c>
      <x:c r="E152" s="9" t="n">
        <x:v>144.52</x:v>
      </x:c>
      <x:c r="F152" s="8" t="n">
        <x:f>C152*D152</x:f>
        <x:v>12649.8</x:v>
      </x:c>
      <x:c r="G152" s="8" t="n">
        <x:f>C152*E152</x:f>
        <x:v>4191.08</x:v>
      </x:c>
      <x:c r="H152" s="8" t="n">
        <x:f>F152-G152</x:f>
        <x:v>8458.72</x:v>
      </x:c>
      <x:c r="I152" s="10" t="n">
        <x:f>H152/F152</x:f>
        <x:v>0.6686840898670334</x:v>
      </x:c>
    </x:row>
    <x:row r="153" ht="22" customHeight="1">
      <x:c r="A153" s="11" t="str">
        <x:v>113</x:v>
      </x:c>
      <x:c r="B153" s="8" t="str">
        <x:v>WWI Wireless Transmitter and Bluetooth Headphones X250 White</x:v>
      </x:c>
      <x:c r="C153" s="8" t="n">
        <x:v>292</x:v>
      </x:c>
      <x:c r="D153" s="9" t="n">
        <x:v>249.99</x:v>
      </x:c>
      <x:c r="E153" s="9" t="n">
        <x:v>82.83</x:v>
      </x:c>
      <x:c r="F153" s="8" t="n">
        <x:f>C153*D153</x:f>
        <x:v>72997.08</x:v>
      </x:c>
      <x:c r="G153" s="8" t="n">
        <x:f>C153*E153</x:f>
        <x:v>24186.36</x:v>
      </x:c>
      <x:c r="H153" s="8" t="n">
        <x:f>F153-G153</x:f>
        <x:v>48810.72</x:v>
      </x:c>
      <x:c r="I153" s="10" t="n">
        <x:f>H153/F153</x:f>
        <x:v>0.6686667466698668</x:v>
      </x:c>
    </x:row>
    <x:row r="154" ht="22" customHeight="1">
      <x:c r="A154" s="11" t="str">
        <x:v>1130</x:v>
      </x:c>
      <x:c r="B154" s="8" t="str">
        <x:v>Fabrikam SLR Camera M149 Pink</x:v>
      </x:c>
      <x:c r="C154" s="8" t="n">
        <x:v>44</x:v>
      </x:c>
      <x:c r="D154" s="9" t="n">
        <x:v>319</x:v>
      </x:c>
      <x:c r="E154" s="9" t="n">
        <x:v>146.7</x:v>
      </x:c>
      <x:c r="F154" s="8" t="n">
        <x:f>C154*D154</x:f>
        <x:v>14036</x:v>
      </x:c>
      <x:c r="G154" s="8" t="n">
        <x:f>C154*E154</x:f>
        <x:v>6454.799999999999</x:v>
      </x:c>
      <x:c r="H154" s="8" t="n">
        <x:f>F154-G154</x:f>
        <x:v>7581.200000000001</x:v>
      </x:c>
      <x:c r="I154" s="10" t="n">
        <x:f>H154/F154</x:f>
        <x:v>0.5401253918495298</x:v>
      </x:c>
    </x:row>
    <x:row r="155" ht="22" customHeight="1">
      <x:c r="A155" s="11" t="str">
        <x:v>1131</x:v>
      </x:c>
      <x:c r="B155" s="8" t="str">
        <x:v>Fabrikam SLR Camera 35" M358 Pink</x:v>
      </x:c>
      <x:c r="C155" s="8" t="n">
        <x:v>79</x:v>
      </x:c>
      <x:c r="D155" s="9" t="n">
        <x:v>328</x:v>
      </x:c>
      <x:c r="E155" s="9" t="n">
        <x:v>150.84</x:v>
      </x:c>
      <x:c r="F155" s="8" t="n">
        <x:f>C155*D155</x:f>
        <x:v>25912</x:v>
      </x:c>
      <x:c r="G155" s="8" t="n">
        <x:f>C155*E155</x:f>
        <x:v>11916.36</x:v>
      </x:c>
      <x:c r="H155" s="8" t="n">
        <x:f>F155-G155</x:f>
        <x:v>13995.64</x:v>
      </x:c>
      <x:c r="I155" s="10" t="n">
        <x:f>H155/F155</x:f>
        <x:v>0.5401219512195121</x:v>
      </x:c>
    </x:row>
    <x:row r="156" ht="22" customHeight="1">
      <x:c r="A156" s="11" t="str">
        <x:v>1132</x:v>
      </x:c>
      <x:c r="B156" s="8" t="str">
        <x:v>Fabrikam SLR Camera X149 Blue</x:v>
      </x:c>
      <x:c r="C156" s="8" t="n">
        <x:v>38</x:v>
      </x:c>
      <x:c r="D156" s="9" t="n">
        <x:v>627</x:v>
      </x:c>
      <x:c r="E156" s="9" t="n">
        <x:v>207.74</x:v>
      </x:c>
      <x:c r="F156" s="8" t="n">
        <x:f>C156*D156</x:f>
        <x:v>23826</x:v>
      </x:c>
      <x:c r="G156" s="8" t="n">
        <x:f>C156*E156</x:f>
        <x:v>7894.120000000001</x:v>
      </x:c>
      <x:c r="H156" s="8" t="n">
        <x:f>F156-G156</x:f>
        <x:v>15931.88</x:v>
      </x:c>
      <x:c r="I156" s="10" t="n">
        <x:f>H156/F156</x:f>
        <x:v>0.6686762360446571</x:v>
      </x:c>
    </x:row>
    <x:row r="157" ht="22" customHeight="1">
      <x:c r="A157" s="11" t="str">
        <x:v>1133</x:v>
      </x:c>
      <x:c r="B157" s="8" t="str">
        <x:v>Fabrikam SLR Camera 35" X358 Blue</x:v>
      </x:c>
      <x:c r="C157" s="8" t="n">
        <x:v>41</x:v>
      </x:c>
      <x:c r="D157" s="9" t="n">
        <x:v>436.2</x:v>
      </x:c>
      <x:c r="E157" s="9" t="n">
        <x:v>144.52</x:v>
      </x:c>
      <x:c r="F157" s="8" t="n">
        <x:f>C157*D157</x:f>
        <x:v>17884.2</x:v>
      </x:c>
      <x:c r="G157" s="8" t="n">
        <x:f>C157*E157</x:f>
        <x:v>5925.320000000001</x:v>
      </x:c>
      <x:c r="H157" s="8" t="n">
        <x:f>F157-G157</x:f>
        <x:v>11958.880000000001</x:v>
      </x:c>
      <x:c r="I157" s="10" t="n">
        <x:f>H157/F157</x:f>
        <x:v>0.6686840898670335</x:v>
      </x:c>
    </x:row>
    <x:row r="158" ht="22" customHeight="1">
      <x:c r="A158" s="11" t="str">
        <x:v>1134</x:v>
      </x:c>
      <x:c r="B158" s="8" t="str">
        <x:v>Fabrikam SLR Camera M149 Blue</x:v>
      </x:c>
      <x:c r="C158" s="8" t="n">
        <x:v>71</x:v>
      </x:c>
      <x:c r="D158" s="9" t="n">
        <x:v>319</x:v>
      </x:c>
      <x:c r="E158" s="9" t="n">
        <x:v>146.7</x:v>
      </x:c>
      <x:c r="F158" s="8" t="n">
        <x:f>C158*D158</x:f>
        <x:v>22649</x:v>
      </x:c>
      <x:c r="G158" s="8" t="n">
        <x:f>C158*E158</x:f>
        <x:v>10415.699999999999</x:v>
      </x:c>
      <x:c r="H158" s="8" t="n">
        <x:f>F158-G158</x:f>
        <x:v>12233.300000000001</x:v>
      </x:c>
      <x:c r="I158" s="10" t="n">
        <x:f>H158/F158</x:f>
        <x:v>0.5401253918495298</x:v>
      </x:c>
    </x:row>
    <x:row r="159" ht="22" customHeight="1">
      <x:c r="A159" s="11" t="str">
        <x:v>1135</x:v>
      </x:c>
      <x:c r="B159" s="8" t="str">
        <x:v>Fabrikam SLR Camera 35" M358 Blue</x:v>
      </x:c>
      <x:c r="C159" s="8" t="n">
        <x:v>38</x:v>
      </x:c>
      <x:c r="D159" s="9" t="n">
        <x:v>328</x:v>
      </x:c>
      <x:c r="E159" s="9" t="n">
        <x:v>150.84</x:v>
      </x:c>
      <x:c r="F159" s="8" t="n">
        <x:f>C159*D159</x:f>
        <x:v>12464</x:v>
      </x:c>
      <x:c r="G159" s="8" t="n">
        <x:f>C159*E159</x:f>
        <x:v>5731.92</x:v>
      </x:c>
      <x:c r="H159" s="8" t="n">
        <x:f>F159-G159</x:f>
        <x:v>6732.08</x:v>
      </x:c>
      <x:c r="I159" s="10" t="n">
        <x:f>H159/F159</x:f>
        <x:v>0.5401219512195122</x:v>
      </x:c>
    </x:row>
    <x:row r="160" ht="22" customHeight="1">
      <x:c r="A160" s="11" t="str">
        <x:v>1136</x:v>
      </x:c>
      <x:c r="B160" s="8" t="str">
        <x:v>Fabrikam SLR Camera X150 Orange</x:v>
      </x:c>
      <x:c r="C160" s="8" t="n">
        <x:v>23</x:v>
      </x:c>
      <x:c r="D160" s="9" t="n">
        <x:v>480.5</x:v>
      </x:c>
      <x:c r="E160" s="9" t="n">
        <x:v>159.2</x:v>
      </x:c>
      <x:c r="F160" s="8" t="n">
        <x:f>C160*D160</x:f>
        <x:v>11051.5</x:v>
      </x:c>
      <x:c r="G160" s="8" t="n">
        <x:f>C160*E160</x:f>
        <x:v>3661.6</x:v>
      </x:c>
      <x:c r="H160" s="8" t="n">
        <x:f>F160-G160</x:f>
        <x:v>7389.9</x:v>
      </x:c>
      <x:c r="I160" s="10" t="n">
        <x:f>H160/F160</x:f>
        <x:v>0.668678459937565</x:v>
      </x:c>
    </x:row>
    <x:row r="161" ht="22" customHeight="1">
      <x:c r="A161" s="11" t="str">
        <x:v>1137</x:v>
      </x:c>
      <x:c r="B161" s="8" t="str">
        <x:v>Fabrikam SLR Camera 35" X358 Orange</x:v>
      </x:c>
      <x:c r="C161" s="8" t="n">
        <x:v>20</x:v>
      </x:c>
      <x:c r="D161" s="9" t="n">
        <x:v>436.2</x:v>
      </x:c>
      <x:c r="E161" s="9" t="n">
        <x:v>144.52</x:v>
      </x:c>
      <x:c r="F161" s="8" t="n">
        <x:f>C161*D161</x:f>
        <x:v>8724</x:v>
      </x:c>
      <x:c r="G161" s="8" t="n">
        <x:f>C161*E161</x:f>
        <x:v>2890.4</x:v>
      </x:c>
      <x:c r="H161" s="8" t="n">
        <x:f>F161-G161</x:f>
        <x:v>5833.6</x:v>
      </x:c>
      <x:c r="I161" s="10" t="n">
        <x:f>H161/F161</x:f>
        <x:v>0.6686840898670335</x:v>
      </x:c>
    </x:row>
    <x:row r="162" ht="22" customHeight="1">
      <x:c r="A162" s="11" t="str">
        <x:v>1138</x:v>
      </x:c>
      <x:c r="B162" s="8" t="str">
        <x:v>Fabrikam SLR Camera M150 Orange</x:v>
      </x:c>
      <x:c r="C162" s="8" t="n">
        <x:v>73</x:v>
      </x:c>
      <x:c r="D162" s="9" t="n">
        <x:v>391.9</x:v>
      </x:c>
      <x:c r="E162" s="9" t="n">
        <x:v>180.22</x:v>
      </x:c>
      <x:c r="F162" s="8" t="n">
        <x:f>C162*D162</x:f>
        <x:v>28608.699999999997</x:v>
      </x:c>
      <x:c r="G162" s="8" t="n">
        <x:f>C162*E162</x:f>
        <x:v>13156.06</x:v>
      </x:c>
      <x:c r="H162" s="8" t="n">
        <x:f>F162-G162</x:f>
        <x:v>15452.639999999998</x:v>
      </x:c>
      <x:c r="I162" s="10" t="n">
        <x:f>H162/F162</x:f>
        <x:v>0.5401377902526154</x:v>
      </x:c>
    </x:row>
    <x:row r="163" ht="22" customHeight="1">
      <x:c r="A163" s="11" t="str">
        <x:v>1139</x:v>
      </x:c>
      <x:c r="B163" s="8" t="str">
        <x:v>Fabrikam SLR Camera 35" M358 Orange</x:v>
      </x:c>
      <x:c r="C163" s="8" t="n">
        <x:v>47</x:v>
      </x:c>
      <x:c r="D163" s="9" t="n">
        <x:v>328</x:v>
      </x:c>
      <x:c r="E163" s="9" t="n">
        <x:v>150.84</x:v>
      </x:c>
      <x:c r="F163" s="8" t="n">
        <x:f>C163*D163</x:f>
        <x:v>15416</x:v>
      </x:c>
      <x:c r="G163" s="8" t="n">
        <x:f>C163*E163</x:f>
        <x:v>7089.4800000000005</x:v>
      </x:c>
      <x:c r="H163" s="8" t="n">
        <x:f>F163-G163</x:f>
        <x:v>8326.52</x:v>
      </x:c>
      <x:c r="I163" s="10" t="n">
        <x:f>H163/F163</x:f>
        <x:v>0.5401219512195122</x:v>
      </x:c>
    </x:row>
    <x:row r="164" ht="22" customHeight="1">
      <x:c r="A164" s="11" t="str">
        <x:v>114</x:v>
      </x:c>
      <x:c r="B164" s="8" t="str">
        <x:v>WWI Wireless Transmitter and Bluetooth Headphones X250 Red</x:v>
      </x:c>
      <x:c r="C164" s="8" t="n">
        <x:v>296</x:v>
      </x:c>
      <x:c r="D164" s="9" t="n">
        <x:v>249.99</x:v>
      </x:c>
      <x:c r="E164" s="9" t="n">
        <x:v>82.83</x:v>
      </x:c>
      <x:c r="F164" s="8" t="n">
        <x:f>C164*D164</x:f>
        <x:v>73997.04000000001</x:v>
      </x:c>
      <x:c r="G164" s="8" t="n">
        <x:f>C164*E164</x:f>
        <x:v>24517.68</x:v>
      </x:c>
      <x:c r="H164" s="8" t="n">
        <x:f>F164-G164</x:f>
        <x:v>49479.36000000001</x:v>
      </x:c>
      <x:c r="I164" s="10" t="n">
        <x:f>H164/F164</x:f>
        <x:v>0.6686667466698668</x:v>
      </x:c>
    </x:row>
    <x:row r="165" ht="22" customHeight="1">
      <x:c r="A165" s="11" t="str">
        <x:v>1140</x:v>
      </x:c>
      <x:c r="B165" s="8" t="str">
        <x:v>Fabrikam SLR Camera X150 Green</x:v>
      </x:c>
      <x:c r="C165" s="8" t="n">
        <x:v>64</x:v>
      </x:c>
      <x:c r="D165" s="9" t="n">
        <x:v>480.5</x:v>
      </x:c>
      <x:c r="E165" s="9" t="n">
        <x:v>159.2</x:v>
      </x:c>
      <x:c r="F165" s="8" t="n">
        <x:f>C165*D165</x:f>
        <x:v>30752</x:v>
      </x:c>
      <x:c r="G165" s="8" t="n">
        <x:f>C165*E165</x:f>
        <x:v>10188.8</x:v>
      </x:c>
      <x:c r="H165" s="8" t="n">
        <x:f>F165-G165</x:f>
        <x:v>20563.2</x:v>
      </x:c>
      <x:c r="I165" s="10" t="n">
        <x:f>H165/F165</x:f>
        <x:v>0.668678459937565</x:v>
      </x:c>
    </x:row>
    <x:row r="166" ht="22" customHeight="1">
      <x:c r="A166" s="11" t="str">
        <x:v>1141</x:v>
      </x:c>
      <x:c r="B166" s="8" t="str">
        <x:v>Fabrikam SLR Camera 35" X358 Green</x:v>
      </x:c>
      <x:c r="C166" s="8" t="n">
        <x:v>46</x:v>
      </x:c>
      <x:c r="D166" s="9" t="n">
        <x:v>436.2</x:v>
      </x:c>
      <x:c r="E166" s="9" t="n">
        <x:v>144.52</x:v>
      </x:c>
      <x:c r="F166" s="8" t="n">
        <x:f>C166*D166</x:f>
        <x:v>20065.2</x:v>
      </x:c>
      <x:c r="G166" s="8" t="n">
        <x:f>C166*E166</x:f>
        <x:v>6647.92</x:v>
      </x:c>
      <x:c r="H166" s="8" t="n">
        <x:f>F166-G166</x:f>
        <x:v>13417.28</x:v>
      </x:c>
      <x:c r="I166" s="10" t="n">
        <x:f>H166/F166</x:f>
        <x:v>0.6686840898670334</x:v>
      </x:c>
    </x:row>
    <x:row r="167" ht="22" customHeight="1">
      <x:c r="A167" s="11" t="str">
        <x:v>1142</x:v>
      </x:c>
      <x:c r="B167" s="8" t="str">
        <x:v>Fabrikam SLR Camera M150 Green</x:v>
      </x:c>
      <x:c r="C167" s="8" t="n">
        <x:v>48</x:v>
      </x:c>
      <x:c r="D167" s="9" t="n">
        <x:v>391.9</x:v>
      </x:c>
      <x:c r="E167" s="9" t="n">
        <x:v>180.22</x:v>
      </x:c>
      <x:c r="F167" s="8" t="n">
        <x:f>C167*D167</x:f>
        <x:v>18811.199999999997</x:v>
      </x:c>
      <x:c r="G167" s="8" t="n">
        <x:f>C167*E167</x:f>
        <x:v>8650.56</x:v>
      </x:c>
      <x:c r="H167" s="8" t="n">
        <x:f>F167-G167</x:f>
        <x:v>10160.639999999998</x:v>
      </x:c>
      <x:c r="I167" s="10" t="n">
        <x:f>H167/F167</x:f>
        <x:v>0.5401377902526154</x:v>
      </x:c>
    </x:row>
    <x:row r="168" ht="22" customHeight="1">
      <x:c r="A168" s="11" t="str">
        <x:v>1143</x:v>
      </x:c>
      <x:c r="B168" s="8" t="str">
        <x:v>Fabrikam SLR Camera 35" M358 Green</x:v>
      </x:c>
      <x:c r="C168" s="8" t="n">
        <x:v>17</x:v>
      </x:c>
      <x:c r="D168" s="9" t="n">
        <x:v>328</x:v>
      </x:c>
      <x:c r="E168" s="9" t="n">
        <x:v>150.84</x:v>
      </x:c>
      <x:c r="F168" s="8" t="n">
        <x:f>C168*D168</x:f>
        <x:v>5576</x:v>
      </x:c>
      <x:c r="G168" s="8" t="n">
        <x:f>C168*E168</x:f>
        <x:v>2564.28</x:v>
      </x:c>
      <x:c r="H168" s="8" t="n">
        <x:f>F168-G168</x:f>
        <x:v>3011.72</x:v>
      </x:c>
      <x:c r="I168" s="10" t="n">
        <x:f>H168/F168</x:f>
        <x:v>0.5401219512195121</x:v>
      </x:c>
    </x:row>
    <x:row r="169" ht="22" customHeight="1">
      <x:c r="A169" s="11" t="str">
        <x:v>1144</x:v>
      </x:c>
      <x:c r="B169" s="8" t="str">
        <x:v>Fabrikam Home and Vacation Moviemaker 1" 25mm M400 Blue</x:v>
      </x:c>
      <x:c r="C169" s="8" t="n">
        <x:v>26</x:v>
      </x:c>
      <x:c r="D169" s="9" t="n">
        <x:v>600</x:v>
      </x:c>
      <x:c r="E169" s="9" t="n">
        <x:v>275.92</x:v>
      </x:c>
      <x:c r="F169" s="8" t="n">
        <x:f>C169*D169</x:f>
        <x:v>15600</x:v>
      </x:c>
      <x:c r="G169" s="8" t="n">
        <x:f>C169*E169</x:f>
        <x:v>7173.92</x:v>
      </x:c>
      <x:c r="H169" s="8" t="n">
        <x:f>F169-G169</x:f>
        <x:v>8426.08</x:v>
      </x:c>
      <x:c r="I169" s="10" t="n">
        <x:f>H169/F169</x:f>
        <x:v>0.5401333333333334</x:v>
      </x:c>
    </x:row>
    <x:row r="170" ht="22" customHeight="1">
      <x:c r="A170" s="11" t="str">
        <x:v>1145</x:v>
      </x:c>
      <x:c r="B170" s="8" t="str">
        <x:v>Fabrikam Home and Vacation Moviemaker 1/2" 3mm M300 Orange</x:v>
      </x:c>
      <x:c r="C170" s="8" t="n">
        <x:v>71</x:v>
      </x:c>
      <x:c r="D170" s="9" t="n">
        <x:v>566</x:v>
      </x:c>
      <x:c r="E170" s="9" t="n">
        <x:v>260.28</x:v>
      </x:c>
      <x:c r="F170" s="8" t="n">
        <x:f>C170*D170</x:f>
        <x:v>40186</x:v>
      </x:c>
      <x:c r="G170" s="8" t="n">
        <x:f>C170*E170</x:f>
        <x:v>18479.879999999997</x:v>
      </x:c>
      <x:c r="H170" s="8" t="n">
        <x:f>F170-G170</x:f>
        <x:v>21706.120000000003</x:v>
      </x:c>
      <x:c r="I170" s="10" t="n">
        <x:f>H170/F170</x:f>
        <x:v>0.5401413427561839</x:v>
      </x:c>
    </x:row>
    <x:row r="171" ht="22" customHeight="1">
      <x:c r="A171" s="11" t="str">
        <x:v>1146</x:v>
      </x:c>
      <x:c r="B171" s="8" t="str">
        <x:v>Fabrikam Home and vacation moviemaker 1/3" 8.5mm M200 Blue</x:v>
      </x:c>
      <x:c r="C171" s="8" t="n">
        <x:v>34</x:v>
      </x:c>
      <x:c r="D171" s="9" t="n">
        <x:v>633</x:v>
      </x:c>
      <x:c r="E171" s="9" t="n">
        <x:v>291.09</x:v>
      </x:c>
      <x:c r="F171" s="8" t="n">
        <x:f>C171*D171</x:f>
        <x:v>21522</x:v>
      </x:c>
      <x:c r="G171" s="8" t="n">
        <x:f>C171*E171</x:f>
        <x:v>9897.06</x:v>
      </x:c>
      <x:c r="H171" s="8" t="n">
        <x:f>F171-G171</x:f>
        <x:v>11624.94</x:v>
      </x:c>
      <x:c r="I171" s="10" t="n">
        <x:f>H171/F171</x:f>
        <x:v>0.5401421800947868</x:v>
      </x:c>
    </x:row>
    <x:row r="172" ht="22" customHeight="1">
      <x:c r="A172" s="11" t="str">
        <x:v>1147</x:v>
      </x:c>
      <x:c r="B172" s="8" t="str">
        <x:v>Fabrikam Home and vacation moviemaker 2/3'' 17mm M103 Black</x:v>
      </x:c>
      <x:c r="C172" s="8" t="n">
        <x:v>45</x:v>
      </x:c>
      <x:c r="D172" s="9" t="n">
        <x:v>655</x:v>
      </x:c>
      <x:c r="E172" s="9" t="n">
        <x:v>301.21</x:v>
      </x:c>
      <x:c r="F172" s="8" t="n">
        <x:f>C172*D172</x:f>
        <x:v>29475</x:v>
      </x:c>
      <x:c r="G172" s="8" t="n">
        <x:f>C172*E172</x:f>
        <x:v>13554.449999999999</x:v>
      </x:c>
      <x:c r="H172" s="8" t="n">
        <x:f>F172-G172</x:f>
        <x:v>15920.550000000001</x:v>
      </x:c>
      <x:c r="I172" s="10" t="n">
        <x:f>H172/F172</x:f>
        <x:v>0.5401374045801527</x:v>
      </x:c>
    </x:row>
    <x:row r="173" ht="22" customHeight="1">
      <x:c r="A173" s="11" t="str">
        <x:v>1148</x:v>
      </x:c>
      <x:c r="B173" s="8" t="str">
        <x:v>Fabrikam Budget Movie-Maker 1'' 25mm E400 Black</x:v>
      </x:c>
      <x:c r="C173" s="8" t="n">
        <x:v>38</x:v>
      </x:c>
      <x:c r="D173" s="9" t="n">
        <x:v>422</x:v>
      </x:c>
      <x:c r="E173" s="9" t="n">
        <x:v>215.15</x:v>
      </x:c>
      <x:c r="F173" s="8" t="n">
        <x:f>C173*D173</x:f>
        <x:v>16036</x:v>
      </x:c>
      <x:c r="G173" s="8" t="n">
        <x:f>C173*E173</x:f>
        <x:v>8175.7</x:v>
      </x:c>
      <x:c r="H173" s="8" t="n">
        <x:f>F173-G173</x:f>
        <x:v>7860.3</x:v>
      </x:c>
      <x:c r="I173" s="10" t="n">
        <x:f>H173/F173</x:f>
        <x:v>0.4901658767772512</x:v>
      </x:c>
    </x:row>
    <x:row r="174" ht="22" customHeight="1">
      <x:c r="A174" s="11" t="str">
        <x:v>1149</x:v>
      </x:c>
      <x:c r="B174" s="8" t="str">
        <x:v>Fabrikam Budget Movie-Maker 1/2'' 3mm E300 Black</x:v>
      </x:c>
      <x:c r="C174" s="8" t="n">
        <x:v>35</x:v>
      </x:c>
      <x:c r="D174" s="9" t="n">
        <x:v>432</x:v>
      </x:c>
      <x:c r="E174" s="9" t="n">
        <x:v>220.25</x:v>
      </x:c>
      <x:c r="F174" s="8" t="n">
        <x:f>C174*D174</x:f>
        <x:v>15120</x:v>
      </x:c>
      <x:c r="G174" s="8" t="n">
        <x:f>C174*E174</x:f>
        <x:v>7708.75</x:v>
      </x:c>
      <x:c r="H174" s="8" t="n">
        <x:f>F174-G174</x:f>
        <x:v>7411.25</x:v>
      </x:c>
      <x:c r="I174" s="10" t="n">
        <x:f>H174/F174</x:f>
        <x:v>0.49016203703703703</x:v>
      </x:c>
    </x:row>
    <x:row r="175" ht="22" customHeight="1">
      <x:c r="A175" s="11" t="str">
        <x:v>115</x:v>
      </x:c>
      <x:c r="B175" s="8" t="str">
        <x:v>WWI Wireless Transmitter and Bluetooth Headphones X250 Silver</x:v>
      </x:c>
      <x:c r="C175" s="8" t="n">
        <x:v>277</x:v>
      </x:c>
      <x:c r="D175" s="9" t="n">
        <x:v>249.99</x:v>
      </x:c>
      <x:c r="E175" s="9" t="n">
        <x:v>82.83</x:v>
      </x:c>
      <x:c r="F175" s="8" t="n">
        <x:f>C175*D175</x:f>
        <x:v>69247.23</x:v>
      </x:c>
      <x:c r="G175" s="8" t="n">
        <x:f>C175*E175</x:f>
        <x:v>22943.91</x:v>
      </x:c>
      <x:c r="H175" s="8" t="n">
        <x:f>F175-G175</x:f>
        <x:v>46303.31999999999</x:v>
      </x:c>
      <x:c r="I175" s="10" t="n">
        <x:f>H175/F175</x:f>
        <x:v>0.6686667466698667</x:v>
      </x:c>
    </x:row>
    <x:row r="176" ht="22" customHeight="1">
      <x:c r="A176" s="11" t="str">
        <x:v>1150</x:v>
      </x:c>
      <x:c r="B176" s="8" t="str">
        <x:v>Fabrikam Budget Movie-Maker 1/3'' 8.5mm E200 Black</x:v>
      </x:c>
      <x:c r="C176" s="8" t="n">
        <x:v>52</x:v>
      </x:c>
      <x:c r="D176" s="9" t="n">
        <x:v>411</x:v>
      </x:c>
      <x:c r="E176" s="9" t="n">
        <x:v>209.54</x:v>
      </x:c>
      <x:c r="F176" s="8" t="n">
        <x:f>C176*D176</x:f>
        <x:v>21372</x:v>
      </x:c>
      <x:c r="G176" s="8" t="n">
        <x:f>C176*E176</x:f>
        <x:v>10896.08</x:v>
      </x:c>
      <x:c r="H176" s="8" t="n">
        <x:f>F176-G176</x:f>
        <x:v>10475.92</x:v>
      </x:c>
      <x:c r="I176" s="10" t="n">
        <x:f>H176/F176</x:f>
        <x:v>0.49017031630170316</x:v>
      </x:c>
    </x:row>
    <x:row r="177" ht="22" customHeight="1">
      <x:c r="A177" s="11" t="str">
        <x:v>1151</x:v>
      </x:c>
      <x:c r="B177" s="8" t="str">
        <x:v>Fabrikam Budget Movie-Maker 2/3'' 17mm E100 Black</x:v>
      </x:c>
      <x:c r="C177" s="8" t="n">
        <x:v>44</x:v>
      </x:c>
      <x:c r="D177" s="9" t="n">
        <x:v>410</x:v>
      </x:c>
      <x:c r="E177" s="9" t="n">
        <x:v>209.03</x:v>
      </x:c>
      <x:c r="F177" s="8" t="n">
        <x:f>C177*D177</x:f>
        <x:v>18040</x:v>
      </x:c>
      <x:c r="G177" s="8" t="n">
        <x:f>C177*E177</x:f>
        <x:v>9197.32</x:v>
      </x:c>
      <x:c r="H177" s="8" t="n">
        <x:f>F177-G177</x:f>
        <x:v>8842.68</x:v>
      </x:c>
      <x:c r="I177" s="10" t="n">
        <x:f>H177/F177</x:f>
        <x:v>0.49017073170731706</x:v>
      </x:c>
    </x:row>
    <x:row r="178" ht="22" customHeight="1">
      <x:c r="A178" s="11" t="str">
        <x:v>1152</x:v>
      </x:c>
      <x:c r="B178" s="8" t="str">
        <x:v>Fabrikam Trendsetter 1" 25mm X400 Blue</x:v>
      </x:c>
      <x:c r="C178" s="8" t="n">
        <x:v>40</x:v>
      </x:c>
      <x:c r="D178" s="9" t="n">
        <x:v>1000</x:v>
      </x:c>
      <x:c r="E178" s="9" t="n">
        <x:v>331.32</x:v>
      </x:c>
      <x:c r="F178" s="8" t="n">
        <x:f>C178*D178</x:f>
        <x:v>40000</x:v>
      </x:c>
      <x:c r="G178" s="8" t="n">
        <x:f>C178*E178</x:f>
        <x:v>13252.8</x:v>
      </x:c>
      <x:c r="H178" s="8" t="n">
        <x:f>F178-G178</x:f>
        <x:v>26747.2</x:v>
      </x:c>
      <x:c r="I178" s="10" t="n">
        <x:f>H178/F178</x:f>
        <x:v>0.66868</x:v>
      </x:c>
    </x:row>
    <x:row r="179" ht="22" customHeight="1">
      <x:c r="A179" s="11" t="str">
        <x:v>1153</x:v>
      </x:c>
      <x:c r="B179" s="8" t="str">
        <x:v>Fabrikam Trendsetter 1/2'' 3mm X300 Black</x:v>
      </x:c>
      <x:c r="C179" s="8" t="n">
        <x:v>24</x:v>
      </x:c>
      <x:c r="D179" s="9" t="n">
        <x:v>999</x:v>
      </x:c>
      <x:c r="E179" s="9" t="n">
        <x:v>330.99</x:v>
      </x:c>
      <x:c r="F179" s="8" t="n">
        <x:f>C179*D179</x:f>
        <x:v>23976</x:v>
      </x:c>
      <x:c r="G179" s="8" t="n">
        <x:f>C179*E179</x:f>
        <x:v>7943.76</x:v>
      </x:c>
      <x:c r="H179" s="8" t="n">
        <x:f>F179-G179</x:f>
        <x:v>16032.24</x:v>
      </x:c>
      <x:c r="I179" s="10" t="n">
        <x:f>H179/F179</x:f>
        <x:v>0.6686786786786787</x:v>
      </x:c>
    </x:row>
    <x:row r="180" ht="22" customHeight="1">
      <x:c r="A180" s="11" t="str">
        <x:v>1154</x:v>
      </x:c>
      <x:c r="B180" s="8" t="str">
        <x:v>Fabrikam Trendsetter 1/3" 8.5mm X200 Blue</x:v>
      </x:c>
      <x:c r="C180" s="8" t="n">
        <x:v>65</x:v>
      </x:c>
      <x:c r="D180" s="9" t="n">
        <x:v>998</x:v>
      </x:c>
      <x:c r="E180" s="9" t="n">
        <x:v>330.66</x:v>
      </x:c>
      <x:c r="F180" s="8" t="n">
        <x:f>C180*D180</x:f>
        <x:v>64870</x:v>
      </x:c>
      <x:c r="G180" s="8" t="n">
        <x:f>C180*E180</x:f>
        <x:v>21492.9</x:v>
      </x:c>
      <x:c r="H180" s="8" t="n">
        <x:f>F180-G180</x:f>
        <x:v>43377.1</x:v>
      </x:c>
      <x:c r="I180" s="10" t="n">
        <x:f>H180/F180</x:f>
        <x:v>0.6686773547094188</x:v>
      </x:c>
    </x:row>
    <x:row r="181" ht="22" customHeight="1">
      <x:c r="A181" s="11" t="str">
        <x:v>1155</x:v>
      </x:c>
      <x:c r="B181" s="8" t="str">
        <x:v>Fabrikam Trendsetter 2/3'' 17mm X100 Black</x:v>
      </x:c>
      <x:c r="C181" s="8" t="n">
        <x:v>38</x:v>
      </x:c>
      <x:c r="D181" s="9" t="n">
        <x:v>980</x:v>
      </x:c>
      <x:c r="E181" s="9" t="n">
        <x:v>324.69</x:v>
      </x:c>
      <x:c r="F181" s="8" t="n">
        <x:f>C181*D181</x:f>
        <x:v>37240</x:v>
      </x:c>
      <x:c r="G181" s="8" t="n">
        <x:f>C181*E181</x:f>
        <x:v>12338.22</x:v>
      </x:c>
      <x:c r="H181" s="8" t="n">
        <x:f>F181-G181</x:f>
        <x:v>24901.78</x:v>
      </x:c>
      <x:c r="I181" s="10" t="n">
        <x:f>H181/F181</x:f>
        <x:v>0.6686836734693877</x:v>
      </x:c>
    </x:row>
    <x:row r="182" ht="22" customHeight="1">
      <x:c r="A182" s="11" t="str">
        <x:v>1156</x:v>
      </x:c>
      <x:c r="B182" s="8" t="str">
        <x:v>Fabrikam Independent Filmmaker 1'' 25mm X400 Black</x:v>
      </x:c>
      <x:c r="C182" s="8" t="n">
        <x:v>41</x:v>
      </x:c>
      <x:c r="D182" s="9" t="n">
        <x:v>1600</x:v>
      </x:c>
      <x:c r="E182" s="9" t="n">
        <x:v>530.11</x:v>
      </x:c>
      <x:c r="F182" s="8" t="n">
        <x:f>C182*D182</x:f>
        <x:v>65600</x:v>
      </x:c>
      <x:c r="G182" s="8" t="n">
        <x:f>C182*E182</x:f>
        <x:v>21734.510000000002</x:v>
      </x:c>
      <x:c r="H182" s="8" t="n">
        <x:f>F182-G182</x:f>
        <x:v>43865.49</x:v>
      </x:c>
      <x:c r="I182" s="10" t="n">
        <x:f>H182/F182</x:f>
        <x:v>0.66868125</x:v>
      </x:c>
    </x:row>
    <x:row r="183" ht="22" customHeight="1">
      <x:c r="A183" s="11" t="str">
        <x:v>1157</x:v>
      </x:c>
      <x:c r="B183" s="8" t="str">
        <x:v>Fabrikam Independent Filmmaker 1/2" 3mm X300 Orange</x:v>
      </x:c>
      <x:c r="C183" s="8" t="n">
        <x:v>44</x:v>
      </x:c>
      <x:c r="D183" s="9" t="n">
        <x:v>1580</x:v>
      </x:c>
      <x:c r="E183" s="9" t="n">
        <x:v>523.49</x:v>
      </x:c>
      <x:c r="F183" s="8" t="n">
        <x:f>C183*D183</x:f>
        <x:v>69520</x:v>
      </x:c>
      <x:c r="G183" s="8" t="n">
        <x:f>C183*E183</x:f>
        <x:v>23033.56</x:v>
      </x:c>
      <x:c r="H183" s="8" t="n">
        <x:f>F183-G183</x:f>
        <x:v>46486.44</x:v>
      </x:c>
      <x:c r="I183" s="10" t="n">
        <x:f>H183/F183</x:f>
        <x:v>0.6686772151898734</x:v>
      </x:c>
    </x:row>
    <x:row r="184" ht="22" customHeight="1">
      <x:c r="A184" s="11" t="str">
        <x:v>1158</x:v>
      </x:c>
      <x:c r="B184" s="8" t="str">
        <x:v>Fabrikam Independent Filmmaker 1/3'' 8.5mm X200 Black</x:v>
      </x:c>
      <x:c r="C184" s="8" t="n">
        <x:v>42</x:v>
      </x:c>
      <x:c r="D184" s="9" t="n">
        <x:v>1560</x:v>
      </x:c>
      <x:c r="E184" s="9" t="n">
        <x:v>516.86</x:v>
      </x:c>
      <x:c r="F184" s="8" t="n">
        <x:f>C184*D184</x:f>
        <x:v>65520</x:v>
      </x:c>
      <x:c r="G184" s="8" t="n">
        <x:f>C184*E184</x:f>
        <x:v>21708.12</x:v>
      </x:c>
      <x:c r="H184" s="8" t="n">
        <x:f>F184-G184</x:f>
        <x:v>43811.880000000005</x:v>
      </x:c>
      <x:c r="I184" s="10" t="n">
        <x:f>H184/F184</x:f>
        <x:v>0.6686794871794872</x:v>
      </x:c>
    </x:row>
    <x:row r="185" ht="22" customHeight="1">
      <x:c r="A185" s="11" t="str">
        <x:v>1159</x:v>
      </x:c>
      <x:c r="B185" s="8" t="str">
        <x:v>Fabrikam Independent Filmmaker 2/3" 17mm X100 Blue</x:v>
      </x:c>
      <x:c r="C185" s="8" t="n">
        <x:v>20</x:v>
      </x:c>
      <x:c r="D185" s="9" t="n">
        <x:v>1520</x:v>
      </x:c>
      <x:c r="E185" s="9" t="n">
        <x:v>503.61</x:v>
      </x:c>
      <x:c r="F185" s="8" t="n">
        <x:f>C185*D185</x:f>
        <x:v>30400</x:v>
      </x:c>
      <x:c r="G185" s="8" t="n">
        <x:f>C185*E185</x:f>
        <x:v>10072.2</x:v>
      </x:c>
      <x:c r="H185" s="8" t="n">
        <x:f>F185-G185</x:f>
        <x:v>20327.8</x:v>
      </x:c>
      <x:c r="I185" s="10" t="n">
        <x:f>H185/F185</x:f>
        <x:v>0.6686776315789473</x:v>
      </x:c>
    </x:row>
    <x:row r="186" ht="22" customHeight="1">
      <x:c r="A186" s="11" t="str">
        <x:v>116</x:v>
      </x:c>
      <x:c r="B186" s="8" t="str">
        <x:v>Adventure Works 20" CRT TV E15 Silver</x:v>
      </x:c>
      <x:c r="C186" s="8" t="n">
        <x:v>114</x:v>
      </x:c>
      <x:c r="D186" s="9" t="n">
        <x:v>169.99</x:v>
      </x:c>
      <x:c r="E186" s="9" t="n">
        <x:v>86.67</x:v>
      </x:c>
      <x:c r="F186" s="8" t="n">
        <x:f>C186*D186</x:f>
        <x:v>19378.86</x:v>
      </x:c>
      <x:c r="G186" s="8" t="n">
        <x:f>C186*E186</x:f>
        <x:v>9880.380000000001</x:v>
      </x:c>
      <x:c r="H186" s="8" t="n">
        <x:f>F186-G186</x:f>
        <x:v>9498.48</x:v>
      </x:c>
      <x:c r="I186" s="10" t="n">
        <x:f>H186/F186</x:f>
        <x:v>0.49014647920465904</x:v>
      </x:c>
    </x:row>
    <x:row r="187" ht="22" customHeight="1">
      <x:c r="A187" s="11" t="str">
        <x:v>1160</x:v>
      </x:c>
      <x:c r="B187" s="8" t="str">
        <x:v>Fabrikam Business Videographer 1" 25mm M600 Blue</x:v>
      </x:c>
      <x:c r="C187" s="8" t="n">
        <x:v>33</x:v>
      </x:c>
      <x:c r="D187" s="9" t="n">
        <x:v>890</x:v>
      </x:c>
      <x:c r="E187" s="9" t="n">
        <x:v>409.28</x:v>
      </x:c>
      <x:c r="F187" s="8" t="n">
        <x:f>C187*D187</x:f>
        <x:v>29370</x:v>
      </x:c>
      <x:c r="G187" s="8" t="n">
        <x:f>C187*E187</x:f>
        <x:v>13506.24</x:v>
      </x:c>
      <x:c r="H187" s="8" t="n">
        <x:f>F187-G187</x:f>
        <x:v>15863.76</x:v>
      </x:c>
      <x:c r="I187" s="10" t="n">
        <x:f>H187/F187</x:f>
        <x:v>0.5401348314606742</x:v>
      </x:c>
    </x:row>
    <x:row r="188" ht="22" customHeight="1">
      <x:c r="A188" s="11" t="str">
        <x:v>1161</x:v>
      </x:c>
      <x:c r="B188" s="8" t="str">
        <x:v>Fabrikam Business Videographer 1/2'' 3mm M500 Black</x:v>
      </x:c>
      <x:c r="C188" s="8" t="n">
        <x:v>34</x:v>
      </x:c>
      <x:c r="D188" s="9" t="n">
        <x:v>880</x:v>
      </x:c>
      <x:c r="E188" s="9" t="n">
        <x:v>404.68</x:v>
      </x:c>
      <x:c r="F188" s="8" t="n">
        <x:f>C188*D188</x:f>
        <x:v>29920</x:v>
      </x:c>
      <x:c r="G188" s="8" t="n">
        <x:f>C188*E188</x:f>
        <x:v>13759.12</x:v>
      </x:c>
      <x:c r="H188" s="8" t="n">
        <x:f>F188-G188</x:f>
        <x:v>16160.88</x:v>
      </x:c>
      <x:c r="I188" s="10" t="n">
        <x:f>H188/F188</x:f>
        <x:v>0.5401363636363636</x:v>
      </x:c>
    </x:row>
    <x:row r="189" ht="22" customHeight="1">
      <x:c r="A189" s="11" t="str">
        <x:v>1162</x:v>
      </x:c>
      <x:c r="B189" s="8" t="str">
        <x:v>Fabrikam Business Videographer 1/3'' 8.5mm M380 Black</x:v>
      </x:c>
      <x:c r="C189" s="8" t="n">
        <x:v>48</x:v>
      </x:c>
      <x:c r="D189" s="9" t="n">
        <x:v>860</x:v>
      </x:c>
      <x:c r="E189" s="9" t="n">
        <x:v>395.48</x:v>
      </x:c>
      <x:c r="F189" s="8" t="n">
        <x:f>C189*D189</x:f>
        <x:v>41280</x:v>
      </x:c>
      <x:c r="G189" s="8" t="n">
        <x:f>C189*E189</x:f>
        <x:v>18983.04</x:v>
      </x:c>
      <x:c r="H189" s="8" t="n">
        <x:f>F189-G189</x:f>
        <x:v>22296.96</x:v>
      </x:c>
      <x:c r="I189" s="10" t="n">
        <x:f>H189/F189</x:f>
        <x:v>0.5401395348837209</x:v>
      </x:c>
    </x:row>
    <x:row r="190" ht="22" customHeight="1">
      <x:c r="A190" s="11" t="str">
        <x:v>1163</x:v>
      </x:c>
      <x:c r="B190" s="8" t="str">
        <x:v>Fabrikam Business Videographer 2/3'' 17mm M280 Black</x:v>
      </x:c>
      <x:c r="C190" s="8" t="n">
        <x:v>46</x:v>
      </x:c>
      <x:c r="D190" s="9" t="n">
        <x:v>850</x:v>
      </x:c>
      <x:c r="E190" s="9" t="n">
        <x:v>390.88</x:v>
      </x:c>
      <x:c r="F190" s="8" t="n">
        <x:f>C190*D190</x:f>
        <x:v>39100</x:v>
      </x:c>
      <x:c r="G190" s="8" t="n">
        <x:f>C190*E190</x:f>
        <x:v>17980.48</x:v>
      </x:c>
      <x:c r="H190" s="8" t="n">
        <x:f>F190-G190</x:f>
        <x:v>21119.52</x:v>
      </x:c>
      <x:c r="I190" s="10" t="n">
        <x:f>H190/F190</x:f>
        <x:v>0.5401411764705882</x:v>
      </x:c>
    </x:row>
    <x:row r="191" ht="22" customHeight="1">
      <x:c r="A191" s="11" t="str">
        <x:v>1164</x:v>
      </x:c>
      <x:c r="B191" s="8" t="str">
        <x:v>Fabrikam Social videographer 1'' 25mm E400 Black</x:v>
      </x:c>
      <x:c r="C191" s="8" t="n">
        <x:v>61</x:v>
      </x:c>
      <x:c r="D191" s="9" t="n">
        <x:v>180</x:v>
      </x:c>
      <x:c r="E191" s="9" t="n">
        <x:v>91.77</x:v>
      </x:c>
      <x:c r="F191" s="8" t="n">
        <x:f>C191*D191</x:f>
        <x:v>10980</x:v>
      </x:c>
      <x:c r="G191" s="8" t="n">
        <x:f>C191*E191</x:f>
        <x:v>5597.969999999999</x:v>
      </x:c>
      <x:c r="H191" s="8" t="n">
        <x:f>F191-G191</x:f>
        <x:v>5382.030000000001</x:v>
      </x:c>
      <x:c r="I191" s="10" t="n">
        <x:f>H191/F191</x:f>
        <x:v>0.49016666666666675</x:v>
      </x:c>
    </x:row>
    <x:row r="192" ht="22" customHeight="1">
      <x:c r="A192" s="11" t="str">
        <x:v>1165</x:v>
      </x:c>
      <x:c r="B192" s="8" t="str">
        <x:v>Fabrikam Social Videographer 1/2'' 3mm E300 Black</x:v>
      </x:c>
      <x:c r="C192" s="8" t="n">
        <x:v>43</x:v>
      </x:c>
      <x:c r="D192" s="9" t="n">
        <x:v>170</x:v>
      </x:c>
      <x:c r="E192" s="9" t="n">
        <x:v>86.67</x:v>
      </x:c>
      <x:c r="F192" s="8" t="n">
        <x:f>C192*D192</x:f>
        <x:v>7310</x:v>
      </x:c>
      <x:c r="G192" s="8" t="n">
        <x:f>C192*E192</x:f>
        <x:v>3726.81</x:v>
      </x:c>
      <x:c r="H192" s="8" t="n">
        <x:f>F192-G192</x:f>
        <x:v>3583.19</x:v>
      </x:c>
      <x:c r="I192" s="10" t="n">
        <x:f>H192/F192</x:f>
        <x:v>0.4901764705882353</x:v>
      </x:c>
    </x:row>
    <x:row r="193" ht="22" customHeight="1">
      <x:c r="A193" s="11" t="str">
        <x:v>1166</x:v>
      </x:c>
      <x:c r="B193" s="8" t="str">
        <x:v>Fabrikam Social Videographer 1/3'' 8.5mm E200 Black</x:v>
      </x:c>
      <x:c r="C193" s="8" t="n">
        <x:v>46</x:v>
      </x:c>
      <x:c r="D193" s="9" t="n">
        <x:v>165</x:v>
      </x:c>
      <x:c r="E193" s="9" t="n">
        <x:v>84.12</x:v>
      </x:c>
      <x:c r="F193" s="8" t="n">
        <x:f>C193*D193</x:f>
        <x:v>7590</x:v>
      </x:c>
      <x:c r="G193" s="8" t="n">
        <x:f>C193*E193</x:f>
        <x:v>3869.5200000000004</x:v>
      </x:c>
      <x:c r="H193" s="8" t="n">
        <x:f>F193-G193</x:f>
        <x:v>3720.4799999999996</x:v>
      </x:c>
      <x:c r="I193" s="10" t="n">
        <x:f>H193/F193</x:f>
        <x:v>0.4901818181818181</x:v>
      </x:c>
    </x:row>
    <x:row r="194" ht="22" customHeight="1">
      <x:c r="A194" s="11" t="str">
        <x:v>1167</x:v>
      </x:c>
      <x:c r="B194" s="8" t="str">
        <x:v>Fabrikam Social Videographer 2/3'' 17mm E100 Black</x:v>
      </x:c>
      <x:c r="C194" s="8" t="n">
        <x:v>21</x:v>
      </x:c>
      <x:c r="D194" s="9" t="n">
        <x:v>160</x:v>
      </x:c>
      <x:c r="E194" s="9" t="n">
        <x:v>81.57</x:v>
      </x:c>
      <x:c r="F194" s="8" t="n">
        <x:f>C194*D194</x:f>
        <x:v>3360</x:v>
      </x:c>
      <x:c r="G194" s="8" t="n">
        <x:f>C194*E194</x:f>
        <x:v>1712.9699999999998</x:v>
      </x:c>
      <x:c r="H194" s="8" t="n">
        <x:f>F194-G194</x:f>
        <x:v>1647.0300000000002</x:v>
      </x:c>
      <x:c r="I194" s="10" t="n">
        <x:f>H194/F194</x:f>
        <x:v>0.49018750000000005</x:v>
      </x:c>
    </x:row>
    <x:row r="195" ht="22" customHeight="1">
      <x:c r="A195" s="11" t="str">
        <x:v>1168</x:v>
      </x:c>
      <x:c r="B195" s="8" t="str">
        <x:v>Fabrikam Home and Vacation Moviemaker 1'' 25mm M400 White</x:v>
      </x:c>
      <x:c r="C195" s="8" t="n">
        <x:v>25</x:v>
      </x:c>
      <x:c r="D195" s="9" t="n">
        <x:v>600</x:v>
      </x:c>
      <x:c r="E195" s="9" t="n">
        <x:v>275.92</x:v>
      </x:c>
      <x:c r="F195" s="8" t="n">
        <x:f>C195*D195</x:f>
        <x:v>15000</x:v>
      </x:c>
      <x:c r="G195" s="8" t="n">
        <x:f>C195*E195</x:f>
        <x:v>6898</x:v>
      </x:c>
      <x:c r="H195" s="8" t="n">
        <x:f>F195-G195</x:f>
        <x:v>8102</x:v>
      </x:c>
      <x:c r="I195" s="10" t="n">
        <x:f>H195/F195</x:f>
        <x:v>0.5401333333333334</x:v>
      </x:c>
    </x:row>
    <x:row r="196" ht="22" customHeight="1">
      <x:c r="A196" s="11" t="str">
        <x:v>1169</x:v>
      </x:c>
      <x:c r="B196" s="8" t="str">
        <x:v>Fabrikam Home and Vacation Moviemaker 1/2'' 3mm M300 White</x:v>
      </x:c>
      <x:c r="C196" s="8" t="n">
        <x:v>32</x:v>
      </x:c>
      <x:c r="D196" s="9" t="n">
        <x:v>566</x:v>
      </x:c>
      <x:c r="E196" s="9" t="n">
        <x:v>260.28</x:v>
      </x:c>
      <x:c r="F196" s="8" t="n">
        <x:f>C196*D196</x:f>
        <x:v>18112</x:v>
      </x:c>
      <x:c r="G196" s="8" t="n">
        <x:f>C196*E196</x:f>
        <x:v>8328.96</x:v>
      </x:c>
      <x:c r="H196" s="8" t="n">
        <x:f>F196-G196</x:f>
        <x:v>9783.04</x:v>
      </x:c>
      <x:c r="I196" s="10" t="n">
        <x:f>H196/F196</x:f>
        <x:v>0.5401413427561838</x:v>
      </x:c>
    </x:row>
    <x:row r="197" ht="22" customHeight="1">
      <x:c r="A197" s="11" t="str">
        <x:v>117</x:v>
      </x:c>
      <x:c r="B197" s="8" t="str">
        <x:v>Adventure Works 20" CRT TV E15 Black</x:v>
      </x:c>
      <x:c r="C197" s="8" t="n">
        <x:v>115</x:v>
      </x:c>
      <x:c r="D197" s="9" t="n">
        <x:v>169.99</x:v>
      </x:c>
      <x:c r="E197" s="9" t="n">
        <x:v>86.67</x:v>
      </x:c>
      <x:c r="F197" s="8" t="n">
        <x:f>C197*D197</x:f>
        <x:v>19548.850000000002</x:v>
      </x:c>
      <x:c r="G197" s="8" t="n">
        <x:f>C197*E197</x:f>
        <x:v>9967.050000000001</x:v>
      </x:c>
      <x:c r="H197" s="8" t="n">
        <x:f>F197-G197</x:f>
        <x:v>9581.800000000001</x:v>
      </x:c>
      <x:c r="I197" s="10" t="n">
        <x:f>H197/F197</x:f>
        <x:v>0.4901464792046591</x:v>
      </x:c>
    </x:row>
    <x:row r="198" ht="22" customHeight="1">
      <x:c r="A198" s="11" t="str">
        <x:v>1170</x:v>
      </x:c>
      <x:c r="B198" s="8" t="str">
        <x:v>Fabrikam Home and Vacation Moviemaker 1/3'' 8.5mm M200 White</x:v>
      </x:c>
      <x:c r="C198" s="8" t="n">
        <x:v>51</x:v>
      </x:c>
      <x:c r="D198" s="9" t="n">
        <x:v>633</x:v>
      </x:c>
      <x:c r="E198" s="9" t="n">
        <x:v>291.09</x:v>
      </x:c>
      <x:c r="F198" s="8" t="n">
        <x:f>C198*D198</x:f>
        <x:v>32283</x:v>
      </x:c>
      <x:c r="G198" s="8" t="n">
        <x:f>C198*E198</x:f>
        <x:v>14845.589999999998</x:v>
      </x:c>
      <x:c r="H198" s="8" t="n">
        <x:f>F198-G198</x:f>
        <x:v>17437.410000000003</x:v>
      </x:c>
      <x:c r="I198" s="10" t="n">
        <x:f>H198/F198</x:f>
        <x:v>0.5401421800947869</x:v>
      </x:c>
    </x:row>
    <x:row r="199" ht="22" customHeight="1">
      <x:c r="A199" s="11" t="str">
        <x:v>1171</x:v>
      </x:c>
      <x:c r="B199" s="8" t="str">
        <x:v>Fabrikam Home and Vacation Moviemaker 2/3'' 17mm M103 White</x:v>
      </x:c>
      <x:c r="C199" s="8" t="n">
        <x:v>31</x:v>
      </x:c>
      <x:c r="D199" s="9" t="n">
        <x:v>655</x:v>
      </x:c>
      <x:c r="E199" s="9" t="n">
        <x:v>301.21</x:v>
      </x:c>
      <x:c r="F199" s="8" t="n">
        <x:f>C199*D199</x:f>
        <x:v>20305</x:v>
      </x:c>
      <x:c r="G199" s="8" t="n">
        <x:f>C199*E199</x:f>
        <x:v>9337.51</x:v>
      </x:c>
      <x:c r="H199" s="8" t="n">
        <x:f>F199-G199</x:f>
        <x:v>10967.49</x:v>
      </x:c>
      <x:c r="I199" s="10" t="n">
        <x:f>H199/F199</x:f>
        <x:v>0.5401374045801527</x:v>
      </x:c>
    </x:row>
    <x:row r="200" ht="22" customHeight="1">
      <x:c r="A200" s="11" t="str">
        <x:v>1172</x:v>
      </x:c>
      <x:c r="B200" s="8" t="str">
        <x:v>Fabrikam Budget Moviemaker 1'' 25mm E400 White</x:v>
      </x:c>
      <x:c r="C200" s="8" t="n">
        <x:v>57</x:v>
      </x:c>
      <x:c r="D200" s="9" t="n">
        <x:v>422</x:v>
      </x:c>
      <x:c r="E200" s="9" t="n">
        <x:v>215.15</x:v>
      </x:c>
      <x:c r="F200" s="8" t="n">
        <x:f>C200*D200</x:f>
        <x:v>24054</x:v>
      </x:c>
      <x:c r="G200" s="8" t="n">
        <x:f>C200*E200</x:f>
        <x:v>12263.550000000001</x:v>
      </x:c>
      <x:c r="H200" s="8" t="n">
        <x:f>F200-G200</x:f>
        <x:v>11790.449999999999</x:v>
      </x:c>
      <x:c r="I200" s="10" t="n">
        <x:f>H200/F200</x:f>
        <x:v>0.49016587677725115</x:v>
      </x:c>
    </x:row>
    <x:row r="201" ht="22" customHeight="1">
      <x:c r="A201" s="11" t="str">
        <x:v>1173</x:v>
      </x:c>
      <x:c r="B201" s="8" t="str">
        <x:v>Fabrikam Budget Moviemaker 1/2'' 3mm E300 White</x:v>
      </x:c>
      <x:c r="C201" s="8" t="n">
        <x:v>39</x:v>
      </x:c>
      <x:c r="D201" s="9" t="n">
        <x:v>432</x:v>
      </x:c>
      <x:c r="E201" s="9" t="n">
        <x:v>220.25</x:v>
      </x:c>
      <x:c r="F201" s="8" t="n">
        <x:f>C201*D201</x:f>
        <x:v>16848</x:v>
      </x:c>
      <x:c r="G201" s="8" t="n">
        <x:f>C201*E201</x:f>
        <x:v>8589.75</x:v>
      </x:c>
      <x:c r="H201" s="8" t="n">
        <x:f>F201-G201</x:f>
        <x:v>8258.25</x:v>
      </x:c>
      <x:c r="I201" s="10" t="n">
        <x:f>H201/F201</x:f>
        <x:v>0.49016203703703703</x:v>
      </x:c>
    </x:row>
    <x:row r="202" ht="22" customHeight="1">
      <x:c r="A202" s="11" t="str">
        <x:v>1174</x:v>
      </x:c>
      <x:c r="B202" s="8" t="str">
        <x:v>Fabrikam Budget Moviemaker 1/3'' 8.5mm E200 White</x:v>
      </x:c>
      <x:c r="C202" s="8" t="n">
        <x:v>32</x:v>
      </x:c>
      <x:c r="D202" s="9" t="n">
        <x:v>411</x:v>
      </x:c>
      <x:c r="E202" s="9" t="n">
        <x:v>209.54</x:v>
      </x:c>
      <x:c r="F202" s="8" t="n">
        <x:f>C202*D202</x:f>
        <x:v>13152</x:v>
      </x:c>
      <x:c r="G202" s="8" t="n">
        <x:f>C202*E202</x:f>
        <x:v>6705.28</x:v>
      </x:c>
      <x:c r="H202" s="8" t="n">
        <x:f>F202-G202</x:f>
        <x:v>6446.72</x:v>
      </x:c>
      <x:c r="I202" s="10" t="n">
        <x:f>H202/F202</x:f>
        <x:v>0.49017031630170316</x:v>
      </x:c>
    </x:row>
    <x:row r="203" ht="22" customHeight="1">
      <x:c r="A203" s="11" t="str">
        <x:v>1175</x:v>
      </x:c>
      <x:c r="B203" s="8" t="str">
        <x:v>Fabrikam Budget Moviemaker 2/3'' 17mm E100 White</x:v>
      </x:c>
      <x:c r="C203" s="8" t="n">
        <x:v>34</x:v>
      </x:c>
      <x:c r="D203" s="9" t="n">
        <x:v>410</x:v>
      </x:c>
      <x:c r="E203" s="9" t="n">
        <x:v>209.03</x:v>
      </x:c>
      <x:c r="F203" s="8" t="n">
        <x:f>C203*D203</x:f>
        <x:v>13940</x:v>
      </x:c>
      <x:c r="G203" s="8" t="n">
        <x:f>C203*E203</x:f>
        <x:v>7107.02</x:v>
      </x:c>
      <x:c r="H203" s="8" t="n">
        <x:f>F203-G203</x:f>
        <x:v>6832.98</x:v>
      </x:c>
      <x:c r="I203" s="10" t="n">
        <x:f>H203/F203</x:f>
        <x:v>0.49017073170731706</x:v>
      </x:c>
    </x:row>
    <x:row r="204" ht="22" customHeight="1">
      <x:c r="A204" s="11" t="str">
        <x:v>1176</x:v>
      </x:c>
      <x:c r="B204" s="8" t="str">
        <x:v>Fabrikam Trendsetter 1'' 25mm X400 White</x:v>
      </x:c>
      <x:c r="C204" s="8" t="n">
        <x:v>59</x:v>
      </x:c>
      <x:c r="D204" s="9" t="n">
        <x:v>1000</x:v>
      </x:c>
      <x:c r="E204" s="9" t="n">
        <x:v>331.32</x:v>
      </x:c>
      <x:c r="F204" s="8" t="n">
        <x:f>C204*D204</x:f>
        <x:v>59000</x:v>
      </x:c>
      <x:c r="G204" s="8" t="n">
        <x:f>C204*E204</x:f>
        <x:v>19547.88</x:v>
      </x:c>
      <x:c r="H204" s="8" t="n">
        <x:f>F204-G204</x:f>
        <x:v>39452.119999999995</x:v>
      </x:c>
      <x:c r="I204" s="10" t="n">
        <x:f>H204/F204</x:f>
        <x:v>0.6686799999999999</x:v>
      </x:c>
    </x:row>
    <x:row r="205" ht="22" customHeight="1">
      <x:c r="A205" s="11" t="str">
        <x:v>1177</x:v>
      </x:c>
      <x:c r="B205" s="8" t="str">
        <x:v>Fabrikam Trendsetter 1/2'' 3mm X300 White</x:v>
      </x:c>
      <x:c r="C205" s="8" t="n">
        <x:v>55</x:v>
      </x:c>
      <x:c r="D205" s="9" t="n">
        <x:v>999</x:v>
      </x:c>
      <x:c r="E205" s="9" t="n">
        <x:v>330.99</x:v>
      </x:c>
      <x:c r="F205" s="8" t="n">
        <x:f>C205*D205</x:f>
        <x:v>54945</x:v>
      </x:c>
      <x:c r="G205" s="8" t="n">
        <x:f>C205*E205</x:f>
        <x:v>18204.45</x:v>
      </x:c>
      <x:c r="H205" s="8" t="n">
        <x:f>F205-G205</x:f>
        <x:v>36740.55</x:v>
      </x:c>
      <x:c r="I205" s="10" t="n">
        <x:f>H205/F205</x:f>
        <x:v>0.6686786786786787</x:v>
      </x:c>
    </x:row>
    <x:row r="206" ht="22" customHeight="1">
      <x:c r="A206" s="11" t="str">
        <x:v>1178</x:v>
      </x:c>
      <x:c r="B206" s="8" t="str">
        <x:v>Fabrikam Trendsetter 1/3'' 8.5mm X200 White</x:v>
      </x:c>
      <x:c r="C206" s="8" t="n">
        <x:v>23</x:v>
      </x:c>
      <x:c r="D206" s="9" t="n">
        <x:v>998</x:v>
      </x:c>
      <x:c r="E206" s="9" t="n">
        <x:v>330.66</x:v>
      </x:c>
      <x:c r="F206" s="8" t="n">
        <x:f>C206*D206</x:f>
        <x:v>22954</x:v>
      </x:c>
      <x:c r="G206" s="8" t="n">
        <x:f>C206*E206</x:f>
        <x:v>7605.18</x:v>
      </x:c>
      <x:c r="H206" s="8" t="n">
        <x:f>F206-G206</x:f>
        <x:v>15348.82</x:v>
      </x:c>
      <x:c r="I206" s="10" t="n">
        <x:f>H206/F206</x:f>
        <x:v>0.6686773547094188</x:v>
      </x:c>
    </x:row>
    <x:row r="207" ht="22" customHeight="1">
      <x:c r="A207" s="11" t="str">
        <x:v>1179</x:v>
      </x:c>
      <x:c r="B207" s="8" t="str">
        <x:v>Fabrikam Trendsetter 2/3'' 17mm X100 White</x:v>
      </x:c>
      <x:c r="C207" s="8" t="n">
        <x:v>82</x:v>
      </x:c>
      <x:c r="D207" s="9" t="n">
        <x:v>980</x:v>
      </x:c>
      <x:c r="E207" s="9" t="n">
        <x:v>324.69</x:v>
      </x:c>
      <x:c r="F207" s="8" t="n">
        <x:f>C207*D207</x:f>
        <x:v>80360</x:v>
      </x:c>
      <x:c r="G207" s="8" t="n">
        <x:f>C207*E207</x:f>
        <x:v>26624.579999999998</x:v>
      </x:c>
      <x:c r="H207" s="8" t="n">
        <x:f>F207-G207</x:f>
        <x:v>53735.42</x:v>
      </x:c>
      <x:c r="I207" s="10" t="n">
        <x:f>H207/F207</x:f>
        <x:v>0.6686836734693877</x:v>
      </x:c>
    </x:row>
    <x:row r="208" ht="22" customHeight="1">
      <x:c r="A208" s="11" t="str">
        <x:v>118</x:v>
      </x:c>
      <x:c r="B208" s="8" t="str">
        <x:v>Adventure Works 20" CRT TV E15 White</x:v>
      </x:c>
      <x:c r="C208" s="8" t="n">
        <x:v>113</x:v>
      </x:c>
      <x:c r="D208" s="9" t="n">
        <x:v>169.99</x:v>
      </x:c>
      <x:c r="E208" s="9" t="n">
        <x:v>86.67</x:v>
      </x:c>
      <x:c r="F208" s="8" t="n">
        <x:f>C208*D208</x:f>
        <x:v>19208.870000000003</x:v>
      </x:c>
      <x:c r="G208" s="8" t="n">
        <x:f>C208*E208</x:f>
        <x:v>9793.710000000001</x:v>
      </x:c>
      <x:c r="H208" s="8" t="n">
        <x:f>F208-G208</x:f>
        <x:v>9415.160000000002</x:v>
      </x:c>
      <x:c r="I208" s="10" t="n">
        <x:f>H208/F208</x:f>
        <x:v>0.4901464792046591</x:v>
      </x:c>
    </x:row>
    <x:row r="209" ht="22" customHeight="1">
      <x:c r="A209" s="11" t="str">
        <x:v>1180</x:v>
      </x:c>
      <x:c r="B209" s="8" t="str">
        <x:v>Fabrikam Independent filmmaker 1'' 25mm X400 White</x:v>
      </x:c>
      <x:c r="C209" s="8" t="n">
        <x:v>39</x:v>
      </x:c>
      <x:c r="D209" s="9" t="n">
        <x:v>1600</x:v>
      </x:c>
      <x:c r="E209" s="9" t="n">
        <x:v>530.11</x:v>
      </x:c>
      <x:c r="F209" s="8" t="n">
        <x:f>C209*D209</x:f>
        <x:v>62400</x:v>
      </x:c>
      <x:c r="G209" s="8" t="n">
        <x:f>C209*E209</x:f>
        <x:v>20674.29</x:v>
      </x:c>
      <x:c r="H209" s="8" t="n">
        <x:f>F209-G209</x:f>
        <x:v>41725.71</x:v>
      </x:c>
      <x:c r="I209" s="10" t="n">
        <x:f>H209/F209</x:f>
        <x:v>0.66868125</x:v>
      </x:c>
    </x:row>
    <x:row r="210" ht="22" customHeight="1">
      <x:c r="A210" s="11" t="str">
        <x:v>1181</x:v>
      </x:c>
      <x:c r="B210" s="8" t="str">
        <x:v>Fabrikam Independent filmmaker 1/2'' 3mm X300 White</x:v>
      </x:c>
      <x:c r="C210" s="8" t="n">
        <x:v>48</x:v>
      </x:c>
      <x:c r="D210" s="9" t="n">
        <x:v>1580</x:v>
      </x:c>
      <x:c r="E210" s="9" t="n">
        <x:v>523.49</x:v>
      </x:c>
      <x:c r="F210" s="8" t="n">
        <x:f>C210*D210</x:f>
        <x:v>75840</x:v>
      </x:c>
      <x:c r="G210" s="8" t="n">
        <x:f>C210*E210</x:f>
        <x:v>25127.52</x:v>
      </x:c>
      <x:c r="H210" s="8" t="n">
        <x:f>F210-G210</x:f>
        <x:v>50712.479999999996</x:v>
      </x:c>
      <x:c r="I210" s="10" t="n">
        <x:f>H210/F210</x:f>
        <x:v>0.6686772151898733</x:v>
      </x:c>
    </x:row>
    <x:row r="211" ht="22" customHeight="1">
      <x:c r="A211" s="11" t="str">
        <x:v>1182</x:v>
      </x:c>
      <x:c r="B211" s="8" t="str">
        <x:v>Fabrikam Independent filmmaker 1/3'' 8.5mm X200 White</x:v>
      </x:c>
      <x:c r="C211" s="8" t="n">
        <x:v>40</x:v>
      </x:c>
      <x:c r="D211" s="9" t="n">
        <x:v>1560</x:v>
      </x:c>
      <x:c r="E211" s="9" t="n">
        <x:v>516.86</x:v>
      </x:c>
      <x:c r="F211" s="8" t="n">
        <x:f>C211*D211</x:f>
        <x:v>62400</x:v>
      </x:c>
      <x:c r="G211" s="8" t="n">
        <x:f>C211*E211</x:f>
        <x:v>20674.4</x:v>
      </x:c>
      <x:c r="H211" s="8" t="n">
        <x:f>F211-G211</x:f>
        <x:v>41725.6</x:v>
      </x:c>
      <x:c r="I211" s="10" t="n">
        <x:f>H211/F211</x:f>
        <x:v>0.6686794871794871</x:v>
      </x:c>
    </x:row>
    <x:row r="212" ht="22" customHeight="1">
      <x:c r="A212" s="11" t="str">
        <x:v>1183</x:v>
      </x:c>
      <x:c r="B212" s="8" t="str">
        <x:v>Fabrikam Independent filmmaker 2/3'' 17mm X100 White</x:v>
      </x:c>
      <x:c r="C212" s="8" t="n">
        <x:v>31</x:v>
      </x:c>
      <x:c r="D212" s="9" t="n">
        <x:v>1520</x:v>
      </x:c>
      <x:c r="E212" s="9" t="n">
        <x:v>503.61</x:v>
      </x:c>
      <x:c r="F212" s="8" t="n">
        <x:f>C212*D212</x:f>
        <x:v>47120</x:v>
      </x:c>
      <x:c r="G212" s="8" t="n">
        <x:f>C212*E212</x:f>
        <x:v>15611.91</x:v>
      </x:c>
      <x:c r="H212" s="8" t="n">
        <x:f>F212-G212</x:f>
        <x:v>31508.09</x:v>
      </x:c>
      <x:c r="I212" s="10" t="n">
        <x:f>H212/F212</x:f>
        <x:v>0.6686776315789473</x:v>
      </x:c>
    </x:row>
    <x:row r="213" ht="22" customHeight="1">
      <x:c r="A213" s="11" t="str">
        <x:v>1184</x:v>
      </x:c>
      <x:c r="B213" s="8" t="str">
        <x:v>Fabrikam Business Videographer 1'' 25mm M600 White</x:v>
      </x:c>
      <x:c r="C213" s="8" t="n">
        <x:v>72</x:v>
      </x:c>
      <x:c r="D213" s="9" t="n">
        <x:v>890</x:v>
      </x:c>
      <x:c r="E213" s="9" t="n">
        <x:v>409.28</x:v>
      </x:c>
      <x:c r="F213" s="8" t="n">
        <x:f>C213*D213</x:f>
        <x:v>64080</x:v>
      </x:c>
      <x:c r="G213" s="8" t="n">
        <x:f>C213*E213</x:f>
        <x:v>29468.159999999996</x:v>
      </x:c>
      <x:c r="H213" s="8" t="n">
        <x:f>F213-G213</x:f>
        <x:v>34611.840000000004</x:v>
      </x:c>
      <x:c r="I213" s="10" t="n">
        <x:f>H213/F213</x:f>
        <x:v>0.5401348314606742</x:v>
      </x:c>
    </x:row>
    <x:row r="214" ht="22" customHeight="1">
      <x:c r="A214" s="11" t="str">
        <x:v>1185</x:v>
      </x:c>
      <x:c r="B214" s="8" t="str">
        <x:v>Fabrikam Business Videographer 1/2" 3mm M500 Orange</x:v>
      </x:c>
      <x:c r="C214" s="8" t="n">
        <x:v>30</x:v>
      </x:c>
      <x:c r="D214" s="9" t="n">
        <x:v>880</x:v>
      </x:c>
      <x:c r="E214" s="9" t="n">
        <x:v>404.68</x:v>
      </x:c>
      <x:c r="F214" s="8" t="n">
        <x:f>C214*D214</x:f>
        <x:v>26400</x:v>
      </x:c>
      <x:c r="G214" s="8" t="n">
        <x:f>C214*E214</x:f>
        <x:v>12140.4</x:v>
      </x:c>
      <x:c r="H214" s="8" t="n">
        <x:f>F214-G214</x:f>
        <x:v>14259.6</x:v>
      </x:c>
      <x:c r="I214" s="10" t="n">
        <x:f>H214/F214</x:f>
        <x:v>0.5401363636363636</x:v>
      </x:c>
    </x:row>
    <x:row r="215" ht="22" customHeight="1">
      <x:c r="A215" s="11" t="str">
        <x:v>1186</x:v>
      </x:c>
      <x:c r="B215" s="8" t="str">
        <x:v>Fabrikam Business Videographer 1/3" 8.5mm M380 Orange</x:v>
      </x:c>
      <x:c r="C215" s="8" t="n">
        <x:v>41</x:v>
      </x:c>
      <x:c r="D215" s="9" t="n">
        <x:v>860</x:v>
      </x:c>
      <x:c r="E215" s="9" t="n">
        <x:v>395.48</x:v>
      </x:c>
      <x:c r="F215" s="8" t="n">
        <x:f>C215*D215</x:f>
        <x:v>35260</x:v>
      </x:c>
      <x:c r="G215" s="8" t="n">
        <x:f>C215*E215</x:f>
        <x:v>16214.68</x:v>
      </x:c>
      <x:c r="H215" s="8" t="n">
        <x:f>F215-G215</x:f>
        <x:v>19045.32</x:v>
      </x:c>
      <x:c r="I215" s="10" t="n">
        <x:f>H215/F215</x:f>
        <x:v>0.5401395348837209</x:v>
      </x:c>
    </x:row>
    <x:row r="216" ht="22" customHeight="1">
      <x:c r="A216" s="11" t="str">
        <x:v>1187</x:v>
      </x:c>
      <x:c r="B216" s="8" t="str">
        <x:v>Fabrikam Business Videographer 2/3" 17mm M280 Orange</x:v>
      </x:c>
      <x:c r="C216" s="8" t="n">
        <x:v>43</x:v>
      </x:c>
      <x:c r="D216" s="9" t="n">
        <x:v>850</x:v>
      </x:c>
      <x:c r="E216" s="9" t="n">
        <x:v>390.88</x:v>
      </x:c>
      <x:c r="F216" s="8" t="n">
        <x:f>C216*D216</x:f>
        <x:v>36550</x:v>
      </x:c>
      <x:c r="G216" s="8" t="n">
        <x:f>C216*E216</x:f>
        <x:v>16807.84</x:v>
      </x:c>
      <x:c r="H216" s="8" t="n">
        <x:f>F216-G216</x:f>
        <x:v>19742.16</x:v>
      </x:c>
      <x:c r="I216" s="10" t="n">
        <x:f>H216/F216</x:f>
        <x:v>0.5401411764705882</x:v>
      </x:c>
    </x:row>
    <x:row r="217" ht="22" customHeight="1">
      <x:c r="A217" s="11" t="str">
        <x:v>1188</x:v>
      </x:c>
      <x:c r="B217" s="8" t="str">
        <x:v>Fabrikam Social Videographer 1" 25mm E400 Orange</x:v>
      </x:c>
      <x:c r="C217" s="8" t="n">
        <x:v>50</x:v>
      </x:c>
      <x:c r="D217" s="9" t="n">
        <x:v>180</x:v>
      </x:c>
      <x:c r="E217" s="9" t="n">
        <x:v>91.77</x:v>
      </x:c>
      <x:c r="F217" s="8" t="n">
        <x:f>C217*D217</x:f>
        <x:v>9000</x:v>
      </x:c>
      <x:c r="G217" s="8" t="n">
        <x:f>C217*E217</x:f>
        <x:v>4588.5</x:v>
      </x:c>
      <x:c r="H217" s="8" t="n">
        <x:f>F217-G217</x:f>
        <x:v>4411.5</x:v>
      </x:c>
      <x:c r="I217" s="10" t="n">
        <x:f>H217/F217</x:f>
        <x:v>0.49016666666666664</x:v>
      </x:c>
    </x:row>
    <x:row r="218" ht="22" customHeight="1">
      <x:c r="A218" s="11" t="str">
        <x:v>1189</x:v>
      </x:c>
      <x:c r="B218" s="8" t="str">
        <x:v>Fabrikam Social Videographer 1/2" 3mm E300 Orange</x:v>
      </x:c>
      <x:c r="C218" s="8" t="n">
        <x:v>24</x:v>
      </x:c>
      <x:c r="D218" s="9" t="n">
        <x:v>170</x:v>
      </x:c>
      <x:c r="E218" s="9" t="n">
        <x:v>86.67</x:v>
      </x:c>
      <x:c r="F218" s="8" t="n">
        <x:f>C218*D218</x:f>
        <x:v>4080</x:v>
      </x:c>
      <x:c r="G218" s="8" t="n">
        <x:f>C218*E218</x:f>
        <x:v>2080.08</x:v>
      </x:c>
      <x:c r="H218" s="8" t="n">
        <x:f>F218-G218</x:f>
        <x:v>1999.92</x:v>
      </x:c>
      <x:c r="I218" s="10" t="n">
        <x:f>H218/F218</x:f>
        <x:v>0.4901764705882353</x:v>
      </x:c>
    </x:row>
    <x:row r="219" ht="22" customHeight="1">
      <x:c r="A219" s="11" t="str">
        <x:v>119</x:v>
      </x:c>
      <x:c r="B219" s="8" t="str">
        <x:v>Adventure Works 13" Color TV E25 Silver</x:v>
      </x:c>
      <x:c r="C219" s="8" t="n">
        <x:v>114</x:v>
      </x:c>
      <x:c r="D219" s="9" t="n">
        <x:v>119.99</x:v>
      </x:c>
      <x:c r="E219" s="9" t="n">
        <x:v>61.17</x:v>
      </x:c>
      <x:c r="F219" s="8" t="n">
        <x:f>C219*D219</x:f>
        <x:v>13678.859999999999</x:v>
      </x:c>
      <x:c r="G219" s="8" t="n">
        <x:f>C219*E219</x:f>
        <x:v>6973.38</x:v>
      </x:c>
      <x:c r="H219" s="8" t="n">
        <x:f>F219-G219</x:f>
        <x:v>6705.479999999999</x:v>
      </x:c>
      <x:c r="I219" s="10" t="n">
        <x:f>H219/F219</x:f>
        <x:v>0.4902075172931077</x:v>
      </x:c>
    </x:row>
    <x:row r="220" ht="22" customHeight="1">
      <x:c r="A220" s="11" t="str">
        <x:v>1190</x:v>
      </x:c>
      <x:c r="B220" s="8" t="str">
        <x:v>Fabrikam Social Videographer 1/3" 8.5mm E200 Orange</x:v>
      </x:c>
      <x:c r="C220" s="8" t="n">
        <x:v>34</x:v>
      </x:c>
      <x:c r="D220" s="9" t="n">
        <x:v>165</x:v>
      </x:c>
      <x:c r="E220" s="9" t="n">
        <x:v>84.12</x:v>
      </x:c>
      <x:c r="F220" s="8" t="n">
        <x:f>C220*D220</x:f>
        <x:v>5610</x:v>
      </x:c>
      <x:c r="G220" s="8" t="n">
        <x:f>C220*E220</x:f>
        <x:v>2860.08</x:v>
      </x:c>
      <x:c r="H220" s="8" t="n">
        <x:f>F220-G220</x:f>
        <x:v>2749.92</x:v>
      </x:c>
      <x:c r="I220" s="10" t="n">
        <x:f>H220/F220</x:f>
        <x:v>0.4901818181818182</x:v>
      </x:c>
    </x:row>
    <x:row r="221" ht="22" customHeight="1">
      <x:c r="A221" s="11" t="str">
        <x:v>1191</x:v>
      </x:c>
      <x:c r="B221" s="8" t="str">
        <x:v>Fabrikam Social Videographer 2/3" 17mm E100 Orange</x:v>
      </x:c>
      <x:c r="C221" s="8" t="n">
        <x:v>56</x:v>
      </x:c>
      <x:c r="D221" s="9" t="n">
        <x:v>160</x:v>
      </x:c>
      <x:c r="E221" s="9" t="n">
        <x:v>81.57</x:v>
      </x:c>
      <x:c r="F221" s="8" t="n">
        <x:f>C221*D221</x:f>
        <x:v>8960</x:v>
      </x:c>
      <x:c r="G221" s="8" t="n">
        <x:f>C221*E221</x:f>
        <x:v>4567.92</x:v>
      </x:c>
      <x:c r="H221" s="8" t="n">
        <x:f>F221-G221</x:f>
        <x:v>4392.08</x:v>
      </x:c>
      <x:c r="I221" s="10" t="n">
        <x:f>H221/F221</x:f>
        <x:v>0.4901875</x:v>
      </x:c>
    </x:row>
    <x:row r="222" ht="22" customHeight="1">
      <x:c r="A222" s="11" t="str">
        <x:v>1192</x:v>
      </x:c>
      <x:c r="B222" s="8" t="str">
        <x:v>Fabrikam Home and Vacation Moviemaker 1'' 25mm M400 Grey</x:v>
      </x:c>
      <x:c r="C222" s="8" t="n">
        <x:v>79</x:v>
      </x:c>
      <x:c r="D222" s="9" t="n">
        <x:v>600</x:v>
      </x:c>
      <x:c r="E222" s="9" t="n">
        <x:v>275.92</x:v>
      </x:c>
      <x:c r="F222" s="8" t="n">
        <x:f>C222*D222</x:f>
        <x:v>47400</x:v>
      </x:c>
      <x:c r="G222" s="8" t="n">
        <x:f>C222*E222</x:f>
        <x:v>21797.68</x:v>
      </x:c>
      <x:c r="H222" s="8" t="n">
        <x:f>F222-G222</x:f>
        <x:v>25602.32</x:v>
      </x:c>
      <x:c r="I222" s="10" t="n">
        <x:f>H222/F222</x:f>
        <x:v>0.5401333333333334</x:v>
      </x:c>
    </x:row>
    <x:row r="223" ht="22" customHeight="1">
      <x:c r="A223" s="11" t="str">
        <x:v>1193</x:v>
      </x:c>
      <x:c r="B223" s="8" t="str">
        <x:v>Fabrikam Home and Vacation Moviemaker 1/2'' 3mm M300 Grey</x:v>
      </x:c>
      <x:c r="C223" s="8" t="n">
        <x:v>44</x:v>
      </x:c>
      <x:c r="D223" s="9" t="n">
        <x:v>566</x:v>
      </x:c>
      <x:c r="E223" s="9" t="n">
        <x:v>260.28</x:v>
      </x:c>
      <x:c r="F223" s="8" t="n">
        <x:f>C223*D223</x:f>
        <x:v>24904</x:v>
      </x:c>
      <x:c r="G223" s="8" t="n">
        <x:f>C223*E223</x:f>
        <x:v>11452.32</x:v>
      </x:c>
      <x:c r="H223" s="8" t="n">
        <x:f>F223-G223</x:f>
        <x:v>13451.68</x:v>
      </x:c>
      <x:c r="I223" s="10" t="n">
        <x:f>H223/F223</x:f>
        <x:v>0.5401413427561838</x:v>
      </x:c>
    </x:row>
    <x:row r="224" ht="22" customHeight="1">
      <x:c r="A224" s="11" t="str">
        <x:v>1194</x:v>
      </x:c>
      <x:c r="B224" s="8" t="str">
        <x:v>Fabrikam Home and Vacation Moviemaker 1/3'' 8.5mm M200 Grey</x:v>
      </x:c>
      <x:c r="C224" s="8" t="n">
        <x:v>48</x:v>
      </x:c>
      <x:c r="D224" s="9" t="n">
        <x:v>633</x:v>
      </x:c>
      <x:c r="E224" s="9" t="n">
        <x:v>291.09</x:v>
      </x:c>
      <x:c r="F224" s="8" t="n">
        <x:f>C224*D224</x:f>
        <x:v>30384</x:v>
      </x:c>
      <x:c r="G224" s="8" t="n">
        <x:f>C224*E224</x:f>
        <x:v>13972.32</x:v>
      </x:c>
      <x:c r="H224" s="8" t="n">
        <x:f>F224-G224</x:f>
        <x:v>16411.68</x:v>
      </x:c>
      <x:c r="I224" s="10" t="n">
        <x:f>H224/F224</x:f>
        <x:v>0.5401421800947868</x:v>
      </x:c>
    </x:row>
    <x:row r="225" ht="22" customHeight="1">
      <x:c r="A225" s="11" t="str">
        <x:v>1195</x:v>
      </x:c>
      <x:c r="B225" s="8" t="str">
        <x:v>Fabrikam Home and Vacation Moviemaker 2/3'' 17mm M103 Grey</x:v>
      </x:c>
      <x:c r="C225" s="8" t="n">
        <x:v>42</x:v>
      </x:c>
      <x:c r="D225" s="9" t="n">
        <x:v>655</x:v>
      </x:c>
      <x:c r="E225" s="9" t="n">
        <x:v>301.21</x:v>
      </x:c>
      <x:c r="F225" s="8" t="n">
        <x:f>C225*D225</x:f>
        <x:v>27510</x:v>
      </x:c>
      <x:c r="G225" s="8" t="n">
        <x:f>C225*E225</x:f>
        <x:v>12650.82</x:v>
      </x:c>
      <x:c r="H225" s="8" t="n">
        <x:f>F225-G225</x:f>
        <x:v>14859.18</x:v>
      </x:c>
      <x:c r="I225" s="10" t="n">
        <x:f>H225/F225</x:f>
        <x:v>0.5401374045801527</x:v>
      </x:c>
    </x:row>
    <x:row r="226" ht="22" customHeight="1">
      <x:c r="A226" s="11" t="str">
        <x:v>1196</x:v>
      </x:c>
      <x:c r="B226" s="8" t="str">
        <x:v>Fabrikam Budget Moviemaker 1'' 25mm E400 Grey</x:v>
      </x:c>
      <x:c r="C226" s="8" t="n">
        <x:v>37</x:v>
      </x:c>
      <x:c r="D226" s="9" t="n">
        <x:v>422</x:v>
      </x:c>
      <x:c r="E226" s="9" t="n">
        <x:v>215.15</x:v>
      </x:c>
      <x:c r="F226" s="8" t="n">
        <x:f>C226*D226</x:f>
        <x:v>15614</x:v>
      </x:c>
      <x:c r="G226" s="8" t="n">
        <x:f>C226*E226</x:f>
        <x:v>7960.55</x:v>
      </x:c>
      <x:c r="H226" s="8" t="n">
        <x:f>F226-G226</x:f>
        <x:v>7653.45</x:v>
      </x:c>
      <x:c r="I226" s="10" t="n">
        <x:f>H226/F226</x:f>
        <x:v>0.49016587677725115</x:v>
      </x:c>
    </x:row>
    <x:row r="227" ht="22" customHeight="1">
      <x:c r="A227" s="11" t="str">
        <x:v>1197</x:v>
      </x:c>
      <x:c r="B227" s="8" t="str">
        <x:v>Fabrikam Budget Moviemaker 1/2'' 3mm E300 Grey</x:v>
      </x:c>
      <x:c r="C227" s="8" t="n">
        <x:v>47</x:v>
      </x:c>
      <x:c r="D227" s="9" t="n">
        <x:v>432</x:v>
      </x:c>
      <x:c r="E227" s="9" t="n">
        <x:v>220.25</x:v>
      </x:c>
      <x:c r="F227" s="8" t="n">
        <x:f>C227*D227</x:f>
        <x:v>20304</x:v>
      </x:c>
      <x:c r="G227" s="8" t="n">
        <x:f>C227*E227</x:f>
        <x:v>10351.75</x:v>
      </x:c>
      <x:c r="H227" s="8" t="n">
        <x:f>F227-G227</x:f>
        <x:v>9952.25</x:v>
      </x:c>
      <x:c r="I227" s="10" t="n">
        <x:f>H227/F227</x:f>
        <x:v>0.49016203703703703</x:v>
      </x:c>
    </x:row>
    <x:row r="228" ht="22" customHeight="1">
      <x:c r="A228" s="11" t="str">
        <x:v>1198</x:v>
      </x:c>
      <x:c r="B228" s="8" t="str">
        <x:v>Fabrikam Budget Moviemaker 1/3'' 8.5mm E200 Grey</x:v>
      </x:c>
      <x:c r="C228" s="8" t="n">
        <x:v>18</x:v>
      </x:c>
      <x:c r="D228" s="9" t="n">
        <x:v>411</x:v>
      </x:c>
      <x:c r="E228" s="9" t="n">
        <x:v>209.54</x:v>
      </x:c>
      <x:c r="F228" s="8" t="n">
        <x:f>C228*D228</x:f>
        <x:v>7398</x:v>
      </x:c>
      <x:c r="G228" s="8" t="n">
        <x:f>C228*E228</x:f>
        <x:v>3771.72</x:v>
      </x:c>
      <x:c r="H228" s="8" t="n">
        <x:f>F228-G228</x:f>
        <x:v>3626.28</x:v>
      </x:c>
      <x:c r="I228" s="10" t="n">
        <x:f>H228/F228</x:f>
        <x:v>0.4901703163017032</x:v>
      </x:c>
    </x:row>
    <x:row r="229" ht="22" customHeight="1">
      <x:c r="A229" s="11" t="str">
        <x:v>1199</x:v>
      </x:c>
      <x:c r="B229" s="8" t="str">
        <x:v>Fabrikam Budget Moviemaker 2/3'' 17mm E100 Grey</x:v>
      </x:c>
      <x:c r="C229" s="8" t="n">
        <x:v>56</x:v>
      </x:c>
      <x:c r="D229" s="9" t="n">
        <x:v>410</x:v>
      </x:c>
      <x:c r="E229" s="9" t="n">
        <x:v>209.03</x:v>
      </x:c>
      <x:c r="F229" s="8" t="n">
        <x:f>C229*D229</x:f>
        <x:v>22960</x:v>
      </x:c>
      <x:c r="G229" s="8" t="n">
        <x:f>C229*E229</x:f>
        <x:v>11705.68</x:v>
      </x:c>
      <x:c r="H229" s="8" t="n">
        <x:f>F229-G229</x:f>
        <x:v>11254.32</x:v>
      </x:c>
      <x:c r="I229" s="10" t="n">
        <x:f>H229/F229</x:f>
        <x:v>0.49017073170731706</x:v>
      </x:c>
    </x:row>
    <x:row r="230" ht="22" customHeight="1">
      <x:c r="A230" s="11" t="str">
        <x:v>12</x:v>
      </x:c>
      <x:c r="B230" s="8" t="str">
        <x:v>Contoso 4GB Flash MP3 Player E401 Blue</x:v>
      </x:c>
      <x:c r="C230" s="8" t="n">
        <x:v>46</x:v>
      </x:c>
      <x:c r="D230" s="9" t="n">
        <x:v>77.68</x:v>
      </x:c>
      <x:c r="E230" s="9" t="n">
        <x:v>35.72</x:v>
      </x:c>
      <x:c r="F230" s="8" t="n">
        <x:f>C230*D230</x:f>
        <x:v>3573.28</x:v>
      </x:c>
      <x:c r="G230" s="8" t="n">
        <x:f>C230*E230</x:f>
        <x:v>1643.12</x:v>
      </x:c>
      <x:c r="H230" s="8" t="n">
        <x:f>F230-G230</x:f>
        <x:v>1930.1600000000003</x:v>
      </x:c>
      <x:c r="I230" s="10" t="n">
        <x:f>H230/F230</x:f>
        <x:v>0.5401647785787849</x:v>
      </x:c>
    </x:row>
    <x:row r="231" ht="22" customHeight="1">
      <x:c r="A231" s="11" t="str">
        <x:v>120</x:v>
      </x:c>
      <x:c r="B231" s="8" t="str">
        <x:v>Adventure Works 13" Color TV E25 Black</x:v>
      </x:c>
      <x:c r="C231" s="8" t="n">
        <x:v>116</x:v>
      </x:c>
      <x:c r="D231" s="9" t="n">
        <x:v>119.99</x:v>
      </x:c>
      <x:c r="E231" s="9" t="n">
        <x:v>61.17</x:v>
      </x:c>
      <x:c r="F231" s="8" t="n">
        <x:f>C231*D231</x:f>
        <x:v>13918.84</x:v>
      </x:c>
      <x:c r="G231" s="8" t="n">
        <x:f>C231*E231</x:f>
        <x:v>7095.72</x:v>
      </x:c>
      <x:c r="H231" s="8" t="n">
        <x:f>F231-G231</x:f>
        <x:v>6823.12</x:v>
      </x:c>
      <x:c r="I231" s="10" t="n">
        <x:f>H231/F231</x:f>
        <x:v>0.49020751729310774</x:v>
      </x:c>
    </x:row>
    <x:row r="232" ht="22" customHeight="1">
      <x:c r="A232" s="11" t="str">
        <x:v>1200</x:v>
      </x:c>
      <x:c r="B232" s="8" t="str">
        <x:v>Fabrikam Trendsetter 1'' 25mm X400 Grey</x:v>
      </x:c>
      <x:c r="C232" s="8" t="n">
        <x:v>27</x:v>
      </x:c>
      <x:c r="D232" s="9" t="n">
        <x:v>1000</x:v>
      </x:c>
      <x:c r="E232" s="9" t="n">
        <x:v>331.32</x:v>
      </x:c>
      <x:c r="F232" s="8" t="n">
        <x:f>C232*D232</x:f>
        <x:v>27000</x:v>
      </x:c>
      <x:c r="G232" s="8" t="n">
        <x:f>C232*E232</x:f>
        <x:v>8945.64</x:v>
      </x:c>
      <x:c r="H232" s="8" t="n">
        <x:f>F232-G232</x:f>
        <x:v>18054.36</x:v>
      </x:c>
      <x:c r="I232" s="10" t="n">
        <x:f>H232/F232</x:f>
        <x:v>0.66868</x:v>
      </x:c>
    </x:row>
    <x:row r="233" ht="22" customHeight="1">
      <x:c r="A233" s="11" t="str">
        <x:v>1201</x:v>
      </x:c>
      <x:c r="B233" s="8" t="str">
        <x:v>Fabrikam Trendsetter 1/2'' 3mm X300 Grey</x:v>
      </x:c>
      <x:c r="C233" s="8" t="n">
        <x:v>31</x:v>
      </x:c>
      <x:c r="D233" s="9" t="n">
        <x:v>999</x:v>
      </x:c>
      <x:c r="E233" s="9" t="n">
        <x:v>330.99</x:v>
      </x:c>
      <x:c r="F233" s="8" t="n">
        <x:f>C233*D233</x:f>
        <x:v>30969</x:v>
      </x:c>
      <x:c r="G233" s="8" t="n">
        <x:f>C233*E233</x:f>
        <x:v>10260.69</x:v>
      </x:c>
      <x:c r="H233" s="8" t="n">
        <x:f>F233-G233</x:f>
        <x:v>20708.309999999998</x:v>
      </x:c>
      <x:c r="I233" s="10" t="n">
        <x:f>H233/F233</x:f>
        <x:v>0.6686786786786786</x:v>
      </x:c>
    </x:row>
    <x:row r="234" ht="22" customHeight="1">
      <x:c r="A234" s="11" t="str">
        <x:v>1202</x:v>
      </x:c>
      <x:c r="B234" s="8" t="str">
        <x:v>Fabrikam Trendsetter 1/3'' 8.5mm X200 Grey</x:v>
      </x:c>
      <x:c r="C234" s="8" t="n">
        <x:v>40</x:v>
      </x:c>
      <x:c r="D234" s="9" t="n">
        <x:v>998</x:v>
      </x:c>
      <x:c r="E234" s="9" t="n">
        <x:v>330.66</x:v>
      </x:c>
      <x:c r="F234" s="8" t="n">
        <x:f>C234*D234</x:f>
        <x:v>39920</x:v>
      </x:c>
      <x:c r="G234" s="8" t="n">
        <x:f>C234*E234</x:f>
        <x:v>13226.400000000001</x:v>
      </x:c>
      <x:c r="H234" s="8" t="n">
        <x:f>F234-G234</x:f>
        <x:v>26693.6</x:v>
      </x:c>
      <x:c r="I234" s="10" t="n">
        <x:f>H234/F234</x:f>
        <x:v>0.6686773547094188</x:v>
      </x:c>
    </x:row>
    <x:row r="235" ht="22" customHeight="1">
      <x:c r="A235" s="11" t="str">
        <x:v>1203</x:v>
      </x:c>
      <x:c r="B235" s="8" t="str">
        <x:v>Fabrikam Trendsetter 2/3'' 17mm X100 Grey</x:v>
      </x:c>
      <x:c r="C235" s="8" t="n">
        <x:v>64</x:v>
      </x:c>
      <x:c r="D235" s="9" t="n">
        <x:v>980</x:v>
      </x:c>
      <x:c r="E235" s="9" t="n">
        <x:v>324.69</x:v>
      </x:c>
      <x:c r="F235" s="8" t="n">
        <x:f>C235*D235</x:f>
        <x:v>62720</x:v>
      </x:c>
      <x:c r="G235" s="8" t="n">
        <x:f>C235*E235</x:f>
        <x:v>20780.16</x:v>
      </x:c>
      <x:c r="H235" s="8" t="n">
        <x:f>F235-G235</x:f>
        <x:v>41939.84</x:v>
      </x:c>
      <x:c r="I235" s="10" t="n">
        <x:f>H235/F235</x:f>
        <x:v>0.6686836734693877</x:v>
      </x:c>
    </x:row>
    <x:row r="236" ht="22" customHeight="1">
      <x:c r="A236" s="11" t="str">
        <x:v>1204</x:v>
      </x:c>
      <x:c r="B236" s="8" t="str">
        <x:v>Fabrikam Independent Filmmaker 1'' 25mm X400 Grey</x:v>
      </x:c>
      <x:c r="C236" s="8" t="n">
        <x:v>34</x:v>
      </x:c>
      <x:c r="D236" s="9" t="n">
        <x:v>1600</x:v>
      </x:c>
      <x:c r="E236" s="9" t="n">
        <x:v>530.11</x:v>
      </x:c>
      <x:c r="F236" s="8" t="n">
        <x:f>C236*D236</x:f>
        <x:v>54400</x:v>
      </x:c>
      <x:c r="G236" s="8" t="n">
        <x:f>C236*E236</x:f>
        <x:v>18023.74</x:v>
      </x:c>
      <x:c r="H236" s="8" t="n">
        <x:f>F236-G236</x:f>
        <x:v>36376.259999999995</x:v>
      </x:c>
      <x:c r="I236" s="10" t="n">
        <x:f>H236/F236</x:f>
        <x:v>0.6686812499999999</x:v>
      </x:c>
    </x:row>
    <x:row r="237" ht="22" customHeight="1">
      <x:c r="A237" s="11" t="str">
        <x:v>1205</x:v>
      </x:c>
      <x:c r="B237" s="8" t="str">
        <x:v>Fabrikam Independent Filmmaker 1/2'' 3mm X300 Grey</x:v>
      </x:c>
      <x:c r="C237" s="8" t="n">
        <x:v>21</x:v>
      </x:c>
      <x:c r="D237" s="9" t="n">
        <x:v>1580</x:v>
      </x:c>
      <x:c r="E237" s="9" t="n">
        <x:v>523.49</x:v>
      </x:c>
      <x:c r="F237" s="8" t="n">
        <x:f>C237*D237</x:f>
        <x:v>33180</x:v>
      </x:c>
      <x:c r="G237" s="8" t="n">
        <x:f>C237*E237</x:f>
        <x:v>10993.29</x:v>
      </x:c>
      <x:c r="H237" s="8" t="n">
        <x:f>F237-G237</x:f>
        <x:v>22186.71</x:v>
      </x:c>
      <x:c r="I237" s="10" t="n">
        <x:f>H237/F237</x:f>
        <x:v>0.6686772151898734</x:v>
      </x:c>
    </x:row>
    <x:row r="238" ht="22" customHeight="1">
      <x:c r="A238" s="11" t="str">
        <x:v>1206</x:v>
      </x:c>
      <x:c r="B238" s="8" t="str">
        <x:v>Fabrikam Independent Filmmaker 1/3'' 8.5mm X200 Grey</x:v>
      </x:c>
      <x:c r="C238" s="8" t="n">
        <x:v>85</x:v>
      </x:c>
      <x:c r="D238" s="9" t="n">
        <x:v>1560</x:v>
      </x:c>
      <x:c r="E238" s="9" t="n">
        <x:v>516.86</x:v>
      </x:c>
      <x:c r="F238" s="8" t="n">
        <x:f>C238*D238</x:f>
        <x:v>132600</x:v>
      </x:c>
      <x:c r="G238" s="8" t="n">
        <x:f>C238*E238</x:f>
        <x:v>43933.1</x:v>
      </x:c>
      <x:c r="H238" s="8" t="n">
        <x:f>F238-G238</x:f>
        <x:v>88666.9</x:v>
      </x:c>
      <x:c r="I238" s="10" t="n">
        <x:f>H238/F238</x:f>
        <x:v>0.6686794871794871</x:v>
      </x:c>
    </x:row>
    <x:row r="239" ht="22" customHeight="1">
      <x:c r="A239" s="11" t="str">
        <x:v>1207</x:v>
      </x:c>
      <x:c r="B239" s="8" t="str">
        <x:v>Fabrikam Independent Filmmaker 2/3'' 17mm X100 Grey</x:v>
      </x:c>
      <x:c r="C239" s="8" t="n">
        <x:v>48</x:v>
      </x:c>
      <x:c r="D239" s="9" t="n">
        <x:v>1520</x:v>
      </x:c>
      <x:c r="E239" s="9" t="n">
        <x:v>503.61</x:v>
      </x:c>
      <x:c r="F239" s="8" t="n">
        <x:f>C239*D239</x:f>
        <x:v>72960</x:v>
      </x:c>
      <x:c r="G239" s="8" t="n">
        <x:f>C239*E239</x:f>
        <x:v>24173.28</x:v>
      </x:c>
      <x:c r="H239" s="8" t="n">
        <x:f>F239-G239</x:f>
        <x:v>48786.72</x:v>
      </x:c>
      <x:c r="I239" s="10" t="n">
        <x:f>H239/F239</x:f>
        <x:v>0.6686776315789473</x:v>
      </x:c>
    </x:row>
    <x:row r="240" ht="22" customHeight="1">
      <x:c r="A240" s="11" t="str">
        <x:v>1208</x:v>
      </x:c>
      <x:c r="B240" s="8" t="str">
        <x:v>Fabrikam Business Videographer 1'' 25mm M600 Grey</x:v>
      </x:c>
      <x:c r="C240" s="8" t="n">
        <x:v>60</x:v>
      </x:c>
      <x:c r="D240" s="9" t="n">
        <x:v>890</x:v>
      </x:c>
      <x:c r="E240" s="9" t="n">
        <x:v>409.28</x:v>
      </x:c>
      <x:c r="F240" s="8" t="n">
        <x:f>C240*D240</x:f>
        <x:v>53400</x:v>
      </x:c>
      <x:c r="G240" s="8" t="n">
        <x:f>C240*E240</x:f>
        <x:v>24556.8</x:v>
      </x:c>
      <x:c r="H240" s="8" t="n">
        <x:f>F240-G240</x:f>
        <x:v>28843.2</x:v>
      </x:c>
      <x:c r="I240" s="10" t="n">
        <x:f>H240/F240</x:f>
        <x:v>0.5401348314606742</x:v>
      </x:c>
    </x:row>
    <x:row r="241" ht="22" customHeight="1">
      <x:c r="A241" s="11" t="str">
        <x:v>1209</x:v>
      </x:c>
      <x:c r="B241" s="8" t="str">
        <x:v>Fabrikam Business Videographer 1/2'' 3mm M500 Grey</x:v>
      </x:c>
      <x:c r="C241" s="8" t="n">
        <x:v>67</x:v>
      </x:c>
      <x:c r="D241" s="9" t="n">
        <x:v>880</x:v>
      </x:c>
      <x:c r="E241" s="9" t="n">
        <x:v>404.68</x:v>
      </x:c>
      <x:c r="F241" s="8" t="n">
        <x:f>C241*D241</x:f>
        <x:v>58960</x:v>
      </x:c>
      <x:c r="G241" s="8" t="n">
        <x:f>C241*E241</x:f>
        <x:v>27113.56</x:v>
      </x:c>
      <x:c r="H241" s="8" t="n">
        <x:f>F241-G241</x:f>
        <x:v>31846.44</x:v>
      </x:c>
      <x:c r="I241" s="10" t="n">
        <x:f>H241/F241</x:f>
        <x:v>0.5401363636363636</x:v>
      </x:c>
    </x:row>
    <x:row r="242" ht="22" customHeight="1">
      <x:c r="A242" s="11" t="str">
        <x:v>121</x:v>
      </x:c>
      <x:c r="B242" s="8" t="str">
        <x:v>Adventure Works 13" Color TV E25 White</x:v>
      </x:c>
      <x:c r="C242" s="8" t="n">
        <x:v>96</x:v>
      </x:c>
      <x:c r="D242" s="9" t="n">
        <x:v>119.99</x:v>
      </x:c>
      <x:c r="E242" s="9" t="n">
        <x:v>61.17</x:v>
      </x:c>
      <x:c r="F242" s="8" t="n">
        <x:f>C242*D242</x:f>
        <x:v>11519.039999999999</x:v>
      </x:c>
      <x:c r="G242" s="8" t="n">
        <x:f>C242*E242</x:f>
        <x:v>5872.32</x:v>
      </x:c>
      <x:c r="H242" s="8" t="n">
        <x:f>F242-G242</x:f>
        <x:v>5646.719999999999</x:v>
      </x:c>
      <x:c r="I242" s="10" t="n">
        <x:f>H242/F242</x:f>
        <x:v>0.49020751729310774</x:v>
      </x:c>
    </x:row>
    <x:row r="243" ht="22" customHeight="1">
      <x:c r="A243" s="11" t="str">
        <x:v>1210</x:v>
      </x:c>
      <x:c r="B243" s="8" t="str">
        <x:v>Fabrikam Business Videographer 1/3'' 8.5mm M380 Grey</x:v>
      </x:c>
      <x:c r="C243" s="8" t="n">
        <x:v>44</x:v>
      </x:c>
      <x:c r="D243" s="9" t="n">
        <x:v>860</x:v>
      </x:c>
      <x:c r="E243" s="9" t="n">
        <x:v>395.48</x:v>
      </x:c>
      <x:c r="F243" s="8" t="n">
        <x:f>C243*D243</x:f>
        <x:v>37840</x:v>
      </x:c>
      <x:c r="G243" s="8" t="n">
        <x:f>C243*E243</x:f>
        <x:v>17401.120000000003</x:v>
      </x:c>
      <x:c r="H243" s="8" t="n">
        <x:f>F243-G243</x:f>
        <x:v>20438.879999999997</x:v>
      </x:c>
      <x:c r="I243" s="10" t="n">
        <x:f>H243/F243</x:f>
        <x:v>0.5401395348837209</x:v>
      </x:c>
    </x:row>
    <x:row r="244" ht="22" customHeight="1">
      <x:c r="A244" s="11" t="str">
        <x:v>1211</x:v>
      </x:c>
      <x:c r="B244" s="8" t="str">
        <x:v>Fabrikam Business Videographer 2/3'' 17mm M280 Grey</x:v>
      </x:c>
      <x:c r="C244" s="8" t="n">
        <x:v>40</x:v>
      </x:c>
      <x:c r="D244" s="9" t="n">
        <x:v>850</x:v>
      </x:c>
      <x:c r="E244" s="9" t="n">
        <x:v>390.88</x:v>
      </x:c>
      <x:c r="F244" s="8" t="n">
        <x:f>C244*D244</x:f>
        <x:v>34000</x:v>
      </x:c>
      <x:c r="G244" s="8" t="n">
        <x:f>C244*E244</x:f>
        <x:v>15635.2</x:v>
      </x:c>
      <x:c r="H244" s="8" t="n">
        <x:f>F244-G244</x:f>
        <x:v>18364.8</x:v>
      </x:c>
      <x:c r="I244" s="10" t="n">
        <x:f>H244/F244</x:f>
        <x:v>0.5401411764705882</x:v>
      </x:c>
    </x:row>
    <x:row r="245" ht="22" customHeight="1">
      <x:c r="A245" s="11" t="str">
        <x:v>1212</x:v>
      </x:c>
      <x:c r="B245" s="8" t="str">
        <x:v>Fabrikam Social Videographer 1'' 25mm E400 Grey</x:v>
      </x:c>
      <x:c r="C245" s="8" t="n">
        <x:v>42</x:v>
      </x:c>
      <x:c r="D245" s="9" t="n">
        <x:v>180</x:v>
      </x:c>
      <x:c r="E245" s="9" t="n">
        <x:v>91.77</x:v>
      </x:c>
      <x:c r="F245" s="8" t="n">
        <x:f>C245*D245</x:f>
        <x:v>7560</x:v>
      </x:c>
      <x:c r="G245" s="8" t="n">
        <x:f>C245*E245</x:f>
        <x:v>3854.3399999999997</x:v>
      </x:c>
      <x:c r="H245" s="8" t="n">
        <x:f>F245-G245</x:f>
        <x:v>3705.6600000000003</x:v>
      </x:c>
      <x:c r="I245" s="10" t="n">
        <x:f>H245/F245</x:f>
        <x:v>0.4901666666666667</x:v>
      </x:c>
    </x:row>
    <x:row r="246" ht="22" customHeight="1">
      <x:c r="A246" s="11" t="str">
        <x:v>1213</x:v>
      </x:c>
      <x:c r="B246" s="8" t="str">
        <x:v>Fabrikam Social Videographer 1/2'' 3mm E300 Grey</x:v>
      </x:c>
      <x:c r="C246" s="8" t="n">
        <x:v>69</x:v>
      </x:c>
      <x:c r="D246" s="9" t="n">
        <x:v>170</x:v>
      </x:c>
      <x:c r="E246" s="9" t="n">
        <x:v>86.67</x:v>
      </x:c>
      <x:c r="F246" s="8" t="n">
        <x:f>C246*D246</x:f>
        <x:v>11730</x:v>
      </x:c>
      <x:c r="G246" s="8" t="n">
        <x:f>C246*E246</x:f>
        <x:v>5980.2300000000005</x:v>
      </x:c>
      <x:c r="H246" s="8" t="n">
        <x:f>F246-G246</x:f>
        <x:v>5749.7699999999995</x:v>
      </x:c>
      <x:c r="I246" s="10" t="n">
        <x:f>H246/F246</x:f>
        <x:v>0.49017647058823527</x:v>
      </x:c>
    </x:row>
    <x:row r="247" ht="22" customHeight="1">
      <x:c r="A247" s="11" t="str">
        <x:v>1214</x:v>
      </x:c>
      <x:c r="B247" s="8" t="str">
        <x:v>Fabrikam Social Videographer 1/3'' 8.5mm E200 Grey</x:v>
      </x:c>
      <x:c r="C247" s="8" t="n">
        <x:v>37</x:v>
      </x:c>
      <x:c r="D247" s="9" t="n">
        <x:v>165</x:v>
      </x:c>
      <x:c r="E247" s="9" t="n">
        <x:v>84.12</x:v>
      </x:c>
      <x:c r="F247" s="8" t="n">
        <x:f>C247*D247</x:f>
        <x:v>6105</x:v>
      </x:c>
      <x:c r="G247" s="8" t="n">
        <x:f>C247*E247</x:f>
        <x:v>3112.44</x:v>
      </x:c>
      <x:c r="H247" s="8" t="n">
        <x:f>F247-G247</x:f>
        <x:v>2992.56</x:v>
      </x:c>
      <x:c r="I247" s="10" t="n">
        <x:f>H247/F247</x:f>
        <x:v>0.49018181818181816</x:v>
      </x:c>
    </x:row>
    <x:row r="248" ht="22" customHeight="1">
      <x:c r="A248" s="11" t="str">
        <x:v>1215</x:v>
      </x:c>
      <x:c r="B248" s="8" t="str">
        <x:v>Fabrikam Social Videographer 2/3'' 17mm E100 Grey</x:v>
      </x:c>
      <x:c r="C248" s="8" t="n">
        <x:v>52</x:v>
      </x:c>
      <x:c r="D248" s="9" t="n">
        <x:v>160</x:v>
      </x:c>
      <x:c r="E248" s="9" t="n">
        <x:v>81.57</x:v>
      </x:c>
      <x:c r="F248" s="8" t="n">
        <x:f>C248*D248</x:f>
        <x:v>8320</x:v>
      </x:c>
      <x:c r="G248" s="8" t="n">
        <x:f>C248*E248</x:f>
        <x:v>4241.639999999999</x:v>
      </x:c>
      <x:c r="H248" s="8" t="n">
        <x:f>F248-G248</x:f>
        <x:v>4078.3600000000006</x:v>
      </x:c>
      <x:c r="I248" s="10" t="n">
        <x:f>H248/F248</x:f>
        <x:v>0.49018750000000005</x:v>
      </x:c>
    </x:row>
    <x:row r="249" ht="22" customHeight="1">
      <x:c r="A249" s="11" t="str">
        <x:v>1216</x:v>
      </x:c>
      <x:c r="B249" s="8" t="str">
        <x:v>Fabrikam Home and Vacation Moviemaker 1'' 25mm M400 Black</x:v>
      </x:c>
      <x:c r="C249" s="8" t="n">
        <x:v>44</x:v>
      </x:c>
      <x:c r="D249" s="9" t="n">
        <x:v>620</x:v>
      </x:c>
      <x:c r="E249" s="9" t="n">
        <x:v>285.12</x:v>
      </x:c>
      <x:c r="F249" s="8" t="n">
        <x:f>C249*D249</x:f>
        <x:v>27280</x:v>
      </x:c>
      <x:c r="G249" s="8" t="n">
        <x:f>C249*E249</x:f>
        <x:v>12545.28</x:v>
      </x:c>
      <x:c r="H249" s="8" t="n">
        <x:f>F249-G249</x:f>
        <x:v>14734.72</x:v>
      </x:c>
      <x:c r="I249" s="10" t="n">
        <x:f>H249/F249</x:f>
        <x:v>0.5401290322580645</x:v>
      </x:c>
    </x:row>
    <x:row r="250" ht="22" customHeight="1">
      <x:c r="A250" s="11" t="str">
        <x:v>1217</x:v>
      </x:c>
      <x:c r="B250" s="8" t="str">
        <x:v>Fabrikam Home and Vacation Moviemaker 1/2'' 3mm M300 Black</x:v>
      </x:c>
      <x:c r="C250" s="8" t="n">
        <x:v>15</x:v>
      </x:c>
      <x:c r="D250" s="9" t="n">
        <x:v>556</x:v>
      </x:c>
      <x:c r="E250" s="9" t="n">
        <x:v>255.68</x:v>
      </x:c>
      <x:c r="F250" s="8" t="n">
        <x:f>C250*D250</x:f>
        <x:v>8340</x:v>
      </x:c>
      <x:c r="G250" s="8" t="n">
        <x:f>C250*E250</x:f>
        <x:v>3835.2000000000003</x:v>
      </x:c>
      <x:c r="H250" s="8" t="n">
        <x:f>F250-G250</x:f>
        <x:v>4504.799999999999</x:v>
      </x:c>
      <x:c r="I250" s="10" t="n">
        <x:f>H250/F250</x:f>
        <x:v>0.5401438848920862</x:v>
      </x:c>
    </x:row>
    <x:row r="251" ht="22" customHeight="1">
      <x:c r="A251" s="11" t="str">
        <x:v>1218</x:v>
      </x:c>
      <x:c r="B251" s="8" t="str">
        <x:v>Fabrikam Home and Vacation Moviemaker 1/3'' 8.5mm M200 Black</x:v>
      </x:c>
      <x:c r="C251" s="8" t="n">
        <x:v>34</x:v>
      </x:c>
      <x:c r="D251" s="9" t="n">
        <x:v>638</x:v>
      </x:c>
      <x:c r="E251" s="9" t="n">
        <x:v>293.39</x:v>
      </x:c>
      <x:c r="F251" s="8" t="n">
        <x:f>C251*D251</x:f>
        <x:v>21692</x:v>
      </x:c>
      <x:c r="G251" s="8" t="n">
        <x:f>C251*E251</x:f>
        <x:v>9975.26</x:v>
      </x:c>
      <x:c r="H251" s="8" t="n">
        <x:f>F251-G251</x:f>
        <x:v>11716.74</x:v>
      </x:c>
      <x:c r="I251" s="10" t="n">
        <x:f>H251/F251</x:f>
        <x:v>0.540141065830721</x:v>
      </x:c>
    </x:row>
    <x:row r="252" ht="22" customHeight="1">
      <x:c r="A252" s="11" t="str">
        <x:v>1219</x:v>
      </x:c>
      <x:c r="B252" s="8" t="str">
        <x:v>Fabrikam Home and Vacation Moviemaker 2/3" 17mm M103 Blue</x:v>
      </x:c>
      <x:c r="C252" s="8" t="n">
        <x:v>53</x:v>
      </x:c>
      <x:c r="D252" s="9" t="n">
        <x:v>665</x:v>
      </x:c>
      <x:c r="E252" s="9" t="n">
        <x:v>305.81</x:v>
      </x:c>
      <x:c r="F252" s="8" t="n">
        <x:f>C252*D252</x:f>
        <x:v>35245</x:v>
      </x:c>
      <x:c r="G252" s="8" t="n">
        <x:f>C252*E252</x:f>
        <x:v>16207.93</x:v>
      </x:c>
      <x:c r="H252" s="8" t="n">
        <x:f>F252-G252</x:f>
        <x:v>19037.07</x:v>
      </x:c>
      <x:c r="I252" s="10" t="n">
        <x:f>H252/F252</x:f>
        <x:v>0.5401353383458647</x:v>
      </x:c>
    </x:row>
    <x:row r="253" ht="22" customHeight="1">
      <x:c r="A253" s="11" t="str">
        <x:v>122</x:v>
      </x:c>
      <x:c r="B253" s="8" t="str">
        <x:v>Adventure Works 19" Portable LCD HDTV M110 Silver</x:v>
      </x:c>
      <x:c r="C253" s="8" t="n">
        <x:v>120</x:v>
      </x:c>
      <x:c r="D253" s="9" t="n">
        <x:v>279.99</x:v>
      </x:c>
      <x:c r="E253" s="9" t="n">
        <x:v>128.76</x:v>
      </x:c>
      <x:c r="F253" s="8" t="n">
        <x:f>C253*D253</x:f>
        <x:v>33598.8</x:v>
      </x:c>
      <x:c r="G253" s="8" t="n">
        <x:f>C253*E253</x:f>
        <x:v>15451.199999999999</x:v>
      </x:c>
      <x:c r="H253" s="8" t="n">
        <x:f>F253-G253</x:f>
        <x:v>18147.600000000006</x:v>
      </x:c>
      <x:c r="I253" s="10" t="n">
        <x:f>H253/F253</x:f>
        <x:v>0.5401264330868961</x:v>
      </x:c>
    </x:row>
    <x:row r="254" ht="22" customHeight="1">
      <x:c r="A254" s="11" t="str">
        <x:v>1220</x:v>
      </x:c>
      <x:c r="B254" s="8" t="str">
        <x:v>Fabrikam Budget Moviemaker 1'' 25mm E400 Black</x:v>
      </x:c>
      <x:c r="C254" s="8" t="n">
        <x:v>50</x:v>
      </x:c>
      <x:c r="D254" s="9" t="n">
        <x:v>452</x:v>
      </x:c>
      <x:c r="E254" s="9" t="n">
        <x:v>230.44</x:v>
      </x:c>
      <x:c r="F254" s="8" t="n">
        <x:f>C254*D254</x:f>
        <x:v>22600</x:v>
      </x:c>
      <x:c r="G254" s="8" t="n">
        <x:f>C254*E254</x:f>
        <x:v>11522</x:v>
      </x:c>
      <x:c r="H254" s="8" t="n">
        <x:f>F254-G254</x:f>
        <x:v>11078</x:v>
      </x:c>
      <x:c r="I254" s="10" t="n">
        <x:f>H254/F254</x:f>
        <x:v>0.4901769911504425</x:v>
      </x:c>
    </x:row>
    <x:row r="255" ht="22" customHeight="1">
      <x:c r="A255" s="11" t="str">
        <x:v>1221</x:v>
      </x:c>
      <x:c r="B255" s="8" t="str">
        <x:v>Fabrikam Budget Moviemaker 1/2'' 3mm E300 Black</x:v>
      </x:c>
      <x:c r="C255" s="8" t="n">
        <x:v>40</x:v>
      </x:c>
      <x:c r="D255" s="9" t="n">
        <x:v>482</x:v>
      </x:c>
      <x:c r="E255" s="9" t="n">
        <x:v>245.74</x:v>
      </x:c>
      <x:c r="F255" s="8" t="n">
        <x:f>C255*D255</x:f>
        <x:v>19280</x:v>
      </x:c>
      <x:c r="G255" s="8" t="n">
        <x:f>C255*E255</x:f>
        <x:v>9829.6</x:v>
      </x:c>
      <x:c r="H255" s="8" t="n">
        <x:f>F255-G255</x:f>
        <x:v>9450.4</x:v>
      </x:c>
      <x:c r="I255" s="10" t="n">
        <x:f>H255/F255</x:f>
        <x:v>0.49016597510373444</x:v>
      </x:c>
    </x:row>
    <x:row r="256" ht="22" customHeight="1">
      <x:c r="A256" s="11" t="str">
        <x:v>1222</x:v>
      </x:c>
      <x:c r="B256" s="8" t="str">
        <x:v>Fabrikam Budget Moviemaker 1/3'' 8.5mm E200 Black</x:v>
      </x:c>
      <x:c r="C256" s="8" t="n">
        <x:v>18</x:v>
      </x:c>
      <x:c r="D256" s="9" t="n">
        <x:v>431</x:v>
      </x:c>
      <x:c r="E256" s="9" t="n">
        <x:v>219.74</x:v>
      </x:c>
      <x:c r="F256" s="8" t="n">
        <x:f>C256*D256</x:f>
        <x:v>7758</x:v>
      </x:c>
      <x:c r="G256" s="8" t="n">
        <x:f>C256*E256</x:f>
        <x:v>3955.32</x:v>
      </x:c>
      <x:c r="H256" s="8" t="n">
        <x:f>F256-G256</x:f>
        <x:v>3802.68</x:v>
      </x:c>
      <x:c r="I256" s="10" t="n">
        <x:f>H256/F256</x:f>
        <x:v>0.4901624129930394</x:v>
      </x:c>
    </x:row>
    <x:row r="257" ht="22" customHeight="1">
      <x:c r="A257" s="11" t="str">
        <x:v>1223</x:v>
      </x:c>
      <x:c r="B257" s="8" t="str">
        <x:v>Fabrikam Budget Moviemaker 2/3'' 17mm E100 Black</x:v>
      </x:c>
      <x:c r="C257" s="8" t="n">
        <x:v>86</x:v>
      </x:c>
      <x:c r="D257" s="9" t="n">
        <x:v>460</x:v>
      </x:c>
      <x:c r="E257" s="9" t="n">
        <x:v>234.52</x:v>
      </x:c>
      <x:c r="F257" s="8" t="n">
        <x:f>C257*D257</x:f>
        <x:v>39560</x:v>
      </x:c>
      <x:c r="G257" s="8" t="n">
        <x:f>C257*E257</x:f>
        <x:v>20168.72</x:v>
      </x:c>
      <x:c r="H257" s="8" t="n">
        <x:f>F257-G257</x:f>
        <x:v>19391.28</x:v>
      </x:c>
      <x:c r="I257" s="10" t="n">
        <x:f>H257/F257</x:f>
        <x:v>0.49017391304347824</x:v>
      </x:c>
    </x:row>
    <x:row r="258" ht="22" customHeight="1">
      <x:c r="A258" s="11" t="str">
        <x:v>1224</x:v>
      </x:c>
      <x:c r="B258" s="8" t="str">
        <x:v>Fabrikam Trendsetter 1'' 25mm X400 Black</x:v>
      </x:c>
      <x:c r="C258" s="8" t="n">
        <x:v>37</x:v>
      </x:c>
      <x:c r="D258" s="9" t="n">
        <x:v>1030</x:v>
      </x:c>
      <x:c r="E258" s="9" t="n">
        <x:v>341.26</x:v>
      </x:c>
      <x:c r="F258" s="8" t="n">
        <x:f>C258*D258</x:f>
        <x:v>38110</x:v>
      </x:c>
      <x:c r="G258" s="8" t="n">
        <x:f>C258*E258</x:f>
        <x:v>12626.619999999999</x:v>
      </x:c>
      <x:c r="H258" s="8" t="n">
        <x:f>F258-G258</x:f>
        <x:v>25483.38</x:v>
      </x:c>
      <x:c r="I258" s="10" t="n">
        <x:f>H258/F258</x:f>
        <x:v>0.6686796116504855</x:v>
      </x:c>
    </x:row>
    <x:row r="259" ht="22" customHeight="1">
      <x:c r="A259" s="11" t="str">
        <x:v>1225</x:v>
      </x:c>
      <x:c r="B259" s="8" t="str">
        <x:v>Fabrikam Trendsetter 1/2" 3mm X300 Orange</x:v>
      </x:c>
      <x:c r="C259" s="8" t="n">
        <x:v>58</x:v>
      </x:c>
      <x:c r="D259" s="9" t="n">
        <x:v>1000</x:v>
      </x:c>
      <x:c r="E259" s="9" t="n">
        <x:v>331.32</x:v>
      </x:c>
      <x:c r="F259" s="8" t="n">
        <x:f>C259*D259</x:f>
        <x:v>58000</x:v>
      </x:c>
      <x:c r="G259" s="8" t="n">
        <x:f>C259*E259</x:f>
        <x:v>19216.56</x:v>
      </x:c>
      <x:c r="H259" s="8" t="n">
        <x:f>F259-G259</x:f>
        <x:v>38783.44</x:v>
      </x:c>
      <x:c r="I259" s="10" t="n">
        <x:f>H259/F259</x:f>
        <x:v>0.66868</x:v>
      </x:c>
    </x:row>
    <x:row r="260" ht="22" customHeight="1">
      <x:c r="A260" s="11" t="str">
        <x:v>1226</x:v>
      </x:c>
      <x:c r="B260" s="8" t="str">
        <x:v>Fabrikam Trendsetter 1/3'' 8.5mm X200 Black</x:v>
      </x:c>
      <x:c r="C260" s="8" t="n">
        <x:v>71</x:v>
      </x:c>
      <x:c r="D260" s="9" t="n">
        <x:v>999</x:v>
      </x:c>
      <x:c r="E260" s="9" t="n">
        <x:v>330.99</x:v>
      </x:c>
      <x:c r="F260" s="8" t="n">
        <x:f>C260*D260</x:f>
        <x:v>70929</x:v>
      </x:c>
      <x:c r="G260" s="8" t="n">
        <x:f>C260*E260</x:f>
        <x:v>23500.29</x:v>
      </x:c>
      <x:c r="H260" s="8" t="n">
        <x:f>F260-G260</x:f>
        <x:v>47428.71</x:v>
      </x:c>
      <x:c r="I260" s="10" t="n">
        <x:f>H260/F260</x:f>
        <x:v>0.6686786786786787</x:v>
      </x:c>
    </x:row>
    <x:row r="261" ht="22" customHeight="1">
      <x:c r="A261" s="11" t="str">
        <x:v>1227</x:v>
      </x:c>
      <x:c r="B261" s="8" t="str">
        <x:v>Fabrikam Trendsetter 2/3" 17mm X100 Orange</x:v>
      </x:c>
      <x:c r="C261" s="8" t="n">
        <x:v>38</x:v>
      </x:c>
      <x:c r="D261" s="9" t="n">
        <x:v>988</x:v>
      </x:c>
      <x:c r="E261" s="9" t="n">
        <x:v>327.34</x:v>
      </x:c>
      <x:c r="F261" s="8" t="n">
        <x:f>C261*D261</x:f>
        <x:v>37544</x:v>
      </x:c>
      <x:c r="G261" s="8" t="n">
        <x:f>C261*E261</x:f>
        <x:v>12438.919999999998</x:v>
      </x:c>
      <x:c r="H261" s="8" t="n">
        <x:f>F261-G261</x:f>
        <x:v>25105.08</x:v>
      </x:c>
      <x:c r="I261" s="10" t="n">
        <x:f>H261/F261</x:f>
        <x:v>0.6686842105263159</x:v>
      </x:c>
    </x:row>
    <x:row r="262" ht="22" customHeight="1">
      <x:c r="A262" s="11" t="str">
        <x:v>1228</x:v>
      </x:c>
      <x:c r="B262" s="8" t="str">
        <x:v>Fabrikam Independent Filmmaker 1" 25mm X400 Blue</x:v>
      </x:c>
      <x:c r="C262" s="8" t="n">
        <x:v>50</x:v>
      </x:c>
      <x:c r="D262" s="9" t="n">
        <x:v>1620</x:v>
      </x:c>
      <x:c r="E262" s="9" t="n">
        <x:v>536.74</x:v>
      </x:c>
      <x:c r="F262" s="8" t="n">
        <x:f>C262*D262</x:f>
        <x:v>81000</x:v>
      </x:c>
      <x:c r="G262" s="8" t="n">
        <x:f>C262*E262</x:f>
        <x:v>26837</x:v>
      </x:c>
      <x:c r="H262" s="8" t="n">
        <x:f>F262-G262</x:f>
        <x:v>54163</x:v>
      </x:c>
      <x:c r="I262" s="10" t="n">
        <x:f>H262/F262</x:f>
        <x:v>0.6686790123456791</x:v>
      </x:c>
    </x:row>
    <x:row r="263" ht="22" customHeight="1">
      <x:c r="A263" s="11" t="str">
        <x:v>1229</x:v>
      </x:c>
      <x:c r="B263" s="8" t="str">
        <x:v>Fabrikam Independent Filmmaker 1/2'' 3mm X300 Black</x:v>
      </x:c>
      <x:c r="C263" s="8" t="n">
        <x:v>38</x:v>
      </x:c>
      <x:c r="D263" s="9" t="n">
        <x:v>1560</x:v>
      </x:c>
      <x:c r="E263" s="9" t="n">
        <x:v>516.86</x:v>
      </x:c>
      <x:c r="F263" s="8" t="n">
        <x:f>C263*D263</x:f>
        <x:v>59280</x:v>
      </x:c>
      <x:c r="G263" s="8" t="n">
        <x:f>C263*E263</x:f>
        <x:v>19640.68</x:v>
      </x:c>
      <x:c r="H263" s="8" t="n">
        <x:f>F263-G263</x:f>
        <x:v>39639.32</x:v>
      </x:c>
      <x:c r="I263" s="10" t="n">
        <x:f>H263/F263</x:f>
        <x:v>0.6686794871794872</x:v>
      </x:c>
    </x:row>
    <x:row r="264" ht="22" customHeight="1">
      <x:c r="A264" s="11" t="str">
        <x:v>123</x:v>
      </x:c>
      <x:c r="B264" s="8" t="str">
        <x:v>Adventure Works 19" Portable LCD HDTV M110 Black</x:v>
      </x:c>
      <x:c r="C264" s="8" t="n">
        <x:v>111</x:v>
      </x:c>
      <x:c r="D264" s="9" t="n">
        <x:v>279.99</x:v>
      </x:c>
      <x:c r="E264" s="9" t="n">
        <x:v>128.76</x:v>
      </x:c>
      <x:c r="F264" s="8" t="n">
        <x:f>C264*D264</x:f>
        <x:v>31078.89</x:v>
      </x:c>
      <x:c r="G264" s="8" t="n">
        <x:f>C264*E264</x:f>
        <x:v>14292.359999999999</x:v>
      </x:c>
      <x:c r="H264" s="8" t="n">
        <x:f>F264-G264</x:f>
        <x:v>16786.53</x:v>
      </x:c>
      <x:c r="I264" s="10" t="n">
        <x:f>H264/F264</x:f>
        <x:v>0.5401264330868959</x:v>
      </x:c>
    </x:row>
    <x:row r="265" ht="22" customHeight="1">
      <x:c r="A265" s="11" t="str">
        <x:v>1230</x:v>
      </x:c>
      <x:c r="B265" s="8" t="str">
        <x:v>Fabrikam Independent Filmmaker 1/3" 8.5mm X200 Blue</x:v>
      </x:c>
      <x:c r="C265" s="8" t="n">
        <x:v>25</x:v>
      </x:c>
      <x:c r="D265" s="9" t="n">
        <x:v>1530</x:v>
      </x:c>
      <x:c r="E265" s="9" t="n">
        <x:v>506.92</x:v>
      </x:c>
      <x:c r="F265" s="8" t="n">
        <x:f>C265*D265</x:f>
        <x:v>38250</x:v>
      </x:c>
      <x:c r="G265" s="8" t="n">
        <x:f>C265*E265</x:f>
        <x:v>12673</x:v>
      </x:c>
      <x:c r="H265" s="8" t="n">
        <x:f>F265-G265</x:f>
        <x:v>25577</x:v>
      </x:c>
      <x:c r="I265" s="10" t="n">
        <x:f>H265/F265</x:f>
        <x:v>0.6686797385620915</x:v>
      </x:c>
    </x:row>
    <x:row r="266" ht="22" customHeight="1">
      <x:c r="A266" s="11" t="str">
        <x:v>1231</x:v>
      </x:c>
      <x:c r="B266" s="8" t="str">
        <x:v>Fabrikam Independent Filmmaker 2/3'' 17mm X100 Black</x:v>
      </x:c>
      <x:c r="C266" s="8" t="n">
        <x:v>42</x:v>
      </x:c>
      <x:c r="D266" s="9" t="n">
        <x:v>1500</x:v>
      </x:c>
      <x:c r="E266" s="9" t="n">
        <x:v>496.98</x:v>
      </x:c>
      <x:c r="F266" s="8" t="n">
        <x:f>C266*D266</x:f>
        <x:v>63000</x:v>
      </x:c>
      <x:c r="G266" s="8" t="n">
        <x:f>C266*E266</x:f>
        <x:v>20873.16</x:v>
      </x:c>
      <x:c r="H266" s="8" t="n">
        <x:f>F266-G266</x:f>
        <x:v>42126.84</x:v>
      </x:c>
      <x:c r="I266" s="10" t="n">
        <x:f>H266/F266</x:f>
        <x:v>0.6686799999999999</x:v>
      </x:c>
    </x:row>
    <x:row r="267" ht="22" customHeight="1">
      <x:c r="A267" s="11" t="str">
        <x:v>1232</x:v>
      </x:c>
      <x:c r="B267" s="8" t="str">
        <x:v>Fabrikam Business Videographer 1'' 25mm M600 Black</x:v>
      </x:c>
      <x:c r="C267" s="8" t="n">
        <x:v>50</x:v>
      </x:c>
      <x:c r="D267" s="9" t="n">
        <x:v>888</x:v>
      </x:c>
      <x:c r="E267" s="9" t="n">
        <x:v>408.36</x:v>
      </x:c>
      <x:c r="F267" s="8" t="n">
        <x:f>C267*D267</x:f>
        <x:v>44400</x:v>
      </x:c>
      <x:c r="G267" s="8" t="n">
        <x:f>C267*E267</x:f>
        <x:v>20418</x:v>
      </x:c>
      <x:c r="H267" s="8" t="n">
        <x:f>F267-G267</x:f>
        <x:v>23982</x:v>
      </x:c>
      <x:c r="I267" s="10" t="n">
        <x:f>H267/F267</x:f>
        <x:v>0.5401351351351351</x:v>
      </x:c>
    </x:row>
    <x:row r="268" ht="22" customHeight="1">
      <x:c r="A268" s="11" t="str">
        <x:v>1233</x:v>
      </x:c>
      <x:c r="B268" s="8" t="str">
        <x:v>Fabrikam Business Videographer 1/2" 3mm M500 Blue</x:v>
      </x:c>
      <x:c r="C268" s="8" t="n">
        <x:v>46</x:v>
      </x:c>
      <x:c r="D268" s="9" t="n">
        <x:v>878</x:v>
      </x:c>
      <x:c r="E268" s="9" t="n">
        <x:v>403.76</x:v>
      </x:c>
      <x:c r="F268" s="8" t="n">
        <x:f>C268*D268</x:f>
        <x:v>40388</x:v>
      </x:c>
      <x:c r="G268" s="8" t="n">
        <x:f>C268*E268</x:f>
        <x:v>18572.96</x:v>
      </x:c>
      <x:c r="H268" s="8" t="n">
        <x:f>F268-G268</x:f>
        <x:v>21815.04</x:v>
      </x:c>
      <x:c r="I268" s="10" t="n">
        <x:f>H268/F268</x:f>
        <x:v>0.5401366742596811</x:v>
      </x:c>
    </x:row>
    <x:row r="269" ht="22" customHeight="1">
      <x:c r="A269" s="11" t="str">
        <x:v>1234</x:v>
      </x:c>
      <x:c r="B269" s="8" t="str">
        <x:v>Fabrikam Business Videographer 1/3" 8.5mm M380 Blue</x:v>
      </x:c>
      <x:c r="C269" s="8" t="n">
        <x:v>17</x:v>
      </x:c>
      <x:c r="D269" s="9" t="n">
        <x:v>856</x:v>
      </x:c>
      <x:c r="E269" s="9" t="n">
        <x:v>393.64</x:v>
      </x:c>
      <x:c r="F269" s="8" t="n">
        <x:f>C269*D269</x:f>
        <x:v>14552</x:v>
      </x:c>
      <x:c r="G269" s="8" t="n">
        <x:f>C269*E269</x:f>
        <x:v>6691.88</x:v>
      </x:c>
      <x:c r="H269" s="8" t="n">
        <x:f>F269-G269</x:f>
        <x:v>7860.12</x:v>
      </x:c>
      <x:c r="I269" s="10" t="n">
        <x:f>H269/F269</x:f>
        <x:v>0.5401401869158878</x:v>
      </x:c>
    </x:row>
    <x:row r="270" ht="22" customHeight="1">
      <x:c r="A270" s="11" t="str">
        <x:v>1235</x:v>
      </x:c>
      <x:c r="B270" s="8" t="str">
        <x:v>Fabrikam Business Videographer 2/3" 17mm M280 Blue</x:v>
      </x:c>
      <x:c r="C270" s="8" t="n">
        <x:v>40</x:v>
      </x:c>
      <x:c r="D270" s="9" t="n">
        <x:v>838</x:v>
      </x:c>
      <x:c r="E270" s="9" t="n">
        <x:v>385.37</x:v>
      </x:c>
      <x:c r="F270" s="8" t="n">
        <x:f>C270*D270</x:f>
        <x:v>33520</x:v>
      </x:c>
      <x:c r="G270" s="8" t="n">
        <x:f>C270*E270</x:f>
        <x:v>15414.8</x:v>
      </x:c>
      <x:c r="H270" s="8" t="n">
        <x:f>F270-G270</x:f>
        <x:v>18105.2</x:v>
      </x:c>
      <x:c r="I270" s="10" t="n">
        <x:f>H270/F270</x:f>
        <x:v>0.5401312649164678</x:v>
      </x:c>
    </x:row>
    <x:row r="271" ht="22" customHeight="1">
      <x:c r="A271" s="11" t="str">
        <x:v>1236</x:v>
      </x:c>
      <x:c r="B271" s="8" t="str">
        <x:v>Fabrikam Social Videographer 1" 25mm E400 Blue</x:v>
      </x:c>
      <x:c r="C271" s="8" t="n">
        <x:v>36</x:v>
      </x:c>
      <x:c r="D271" s="9" t="n">
        <x:v>188</x:v>
      </x:c>
      <x:c r="E271" s="9" t="n">
        <x:v>95.85</x:v>
      </x:c>
      <x:c r="F271" s="8" t="n">
        <x:f>C271*D271</x:f>
        <x:v>6768</x:v>
      </x:c>
      <x:c r="G271" s="8" t="n">
        <x:f>C271*E271</x:f>
        <x:v>3450.6</x:v>
      </x:c>
      <x:c r="H271" s="8" t="n">
        <x:f>F271-G271</x:f>
        <x:v>3317.4</x:v>
      </x:c>
      <x:c r="I271" s="10" t="n">
        <x:f>H271/F271</x:f>
        <x:v>0.4901595744680851</x:v>
      </x:c>
    </x:row>
    <x:row r="272" ht="22" customHeight="1">
      <x:c r="A272" s="11" t="str">
        <x:v>1237</x:v>
      </x:c>
      <x:c r="B272" s="8" t="str">
        <x:v>Fabrikam Social Videographer 1/2" 3mm E300 Blue</x:v>
      </x:c>
      <x:c r="C272" s="8" t="n">
        <x:v>26</x:v>
      </x:c>
      <x:c r="D272" s="9" t="n">
        <x:v>178</x:v>
      </x:c>
      <x:c r="E272" s="9" t="n">
        <x:v>90.75</x:v>
      </x:c>
      <x:c r="F272" s="8" t="n">
        <x:f>C272*D272</x:f>
        <x:v>4628</x:v>
      </x:c>
      <x:c r="G272" s="8" t="n">
        <x:f>C272*E272</x:f>
        <x:v>2359.5</x:v>
      </x:c>
      <x:c r="H272" s="8" t="n">
        <x:f>F272-G272</x:f>
        <x:v>2268.5</x:v>
      </x:c>
      <x:c r="I272" s="10" t="n">
        <x:f>H272/F272</x:f>
        <x:v>0.4901685393258427</x:v>
      </x:c>
    </x:row>
    <x:row r="273" ht="22" customHeight="1">
      <x:c r="A273" s="11" t="str">
        <x:v>1238</x:v>
      </x:c>
      <x:c r="B273" s="8" t="str">
        <x:v>Fabrikam Social Videographer 1/3" 8.5mm E200 Blue</x:v>
      </x:c>
      <x:c r="C273" s="8" t="n">
        <x:v>49</x:v>
      </x:c>
      <x:c r="D273" s="9" t="n">
        <x:v>168</x:v>
      </x:c>
      <x:c r="E273" s="9" t="n">
        <x:v>85.65</x:v>
      </x:c>
      <x:c r="F273" s="8" t="n">
        <x:f>C273*D273</x:f>
        <x:v>8232</x:v>
      </x:c>
      <x:c r="G273" s="8" t="n">
        <x:f>C273*E273</x:f>
        <x:v>4196.85</x:v>
      </x:c>
      <x:c r="H273" s="8" t="n">
        <x:f>F273-G273</x:f>
        <x:v>4035.1499999999996</x:v>
      </x:c>
      <x:c r="I273" s="10" t="n">
        <x:f>H273/F273</x:f>
        <x:v>0.4901785714285714</x:v>
      </x:c>
    </x:row>
    <x:row r="274" ht="22" customHeight="1">
      <x:c r="A274" s="11" t="str">
        <x:v>1239</x:v>
      </x:c>
      <x:c r="B274" s="8" t="str">
        <x:v>Fabrikam Social Videographer 2/3" 17mm E100 Blue</x:v>
      </x:c>
      <x:c r="C274" s="8" t="n">
        <x:v>42</x:v>
      </x:c>
      <x:c r="D274" s="9" t="n">
        <x:v>158</x:v>
      </x:c>
      <x:c r="E274" s="9" t="n">
        <x:v>80.55</x:v>
      </x:c>
      <x:c r="F274" s="8" t="n">
        <x:f>C274*D274</x:f>
        <x:v>6636</x:v>
      </x:c>
      <x:c r="G274" s="8" t="n">
        <x:f>C274*E274</x:f>
        <x:v>3383.1</x:v>
      </x:c>
      <x:c r="H274" s="8" t="n">
        <x:f>F274-G274</x:f>
        <x:v>3252.9</x:v>
      </x:c>
      <x:c r="I274" s="10" t="n">
        <x:f>H274/F274</x:f>
        <x:v>0.4901898734177215</x:v>
      </x:c>
    </x:row>
    <x:row r="275" ht="22" customHeight="1">
      <x:c r="A275" s="11" t="str">
        <x:v>124</x:v>
      </x:c>
      <x:c r="B275" s="8" t="str">
        <x:v>Adventure Works 19" Portable LCD HDTV M110 White</x:v>
      </x:c>
      <x:c r="C275" s="8" t="n">
        <x:v>117</x:v>
      </x:c>
      <x:c r="D275" s="9" t="n">
        <x:v>279.99</x:v>
      </x:c>
      <x:c r="E275" s="9" t="n">
        <x:v>128.76</x:v>
      </x:c>
      <x:c r="F275" s="8" t="n">
        <x:f>C275*D275</x:f>
        <x:v>32758.83</x:v>
      </x:c>
      <x:c r="G275" s="8" t="n">
        <x:f>C275*E275</x:f>
        <x:v>15064.919999999998</x:v>
      </x:c>
      <x:c r="H275" s="8" t="n">
        <x:f>F275-G275</x:f>
        <x:v>17693.910000000003</x:v>
      </x:c>
      <x:c r="I275" s="10" t="n">
        <x:f>H275/F275</x:f>
        <x:v>0.540126433086896</x:v>
      </x:c>
    </x:row>
    <x:row r="276" ht="22" customHeight="1">
      <x:c r="A276" s="11" t="str">
        <x:v>1240</x:v>
      </x:c>
      <x:c r="B276" s="8" t="str">
        <x:v>Fabrikam Business Videographer 1/2'' 3mm M500 White</x:v>
      </x:c>
      <x:c r="C276" s="8" t="n">
        <x:v>55</x:v>
      </x:c>
      <x:c r="D276" s="9" t="n">
        <x:v>878</x:v>
      </x:c>
      <x:c r="E276" s="9" t="n">
        <x:v>403.76</x:v>
      </x:c>
      <x:c r="F276" s="8" t="n">
        <x:f>C276*D276</x:f>
        <x:v>48290</x:v>
      </x:c>
      <x:c r="G276" s="8" t="n">
        <x:f>C276*E276</x:f>
        <x:v>22206.8</x:v>
      </x:c>
      <x:c r="H276" s="8" t="n">
        <x:f>F276-G276</x:f>
        <x:v>26083.2</x:v>
      </x:c>
      <x:c r="I276" s="10" t="n">
        <x:f>H276/F276</x:f>
        <x:v>0.5401366742596811</x:v>
      </x:c>
    </x:row>
    <x:row r="277" ht="22" customHeight="1">
      <x:c r="A277" s="11" t="str">
        <x:v>1241</x:v>
      </x:c>
      <x:c r="B277" s="8" t="str">
        <x:v>Fabrikam Business Videographer 1/3'' 8.5mm M380 White</x:v>
      </x:c>
      <x:c r="C277" s="8" t="n">
        <x:v>34</x:v>
      </x:c>
      <x:c r="D277" s="9" t="n">
        <x:v>856</x:v>
      </x:c>
      <x:c r="E277" s="9" t="n">
        <x:v>393.64</x:v>
      </x:c>
      <x:c r="F277" s="8" t="n">
        <x:f>C277*D277</x:f>
        <x:v>29104</x:v>
      </x:c>
      <x:c r="G277" s="8" t="n">
        <x:f>C277*E277</x:f>
        <x:v>13383.76</x:v>
      </x:c>
      <x:c r="H277" s="8" t="n">
        <x:f>F277-G277</x:f>
        <x:v>15720.24</x:v>
      </x:c>
      <x:c r="I277" s="10" t="n">
        <x:f>H277/F277</x:f>
        <x:v>0.5401401869158878</x:v>
      </x:c>
    </x:row>
    <x:row r="278" ht="22" customHeight="1">
      <x:c r="A278" s="11" t="str">
        <x:v>1242</x:v>
      </x:c>
      <x:c r="B278" s="8" t="str">
        <x:v>Fabrikam Business Videographer 2/3'' 17mm M280 White</x:v>
      </x:c>
      <x:c r="C278" s="8" t="n">
        <x:v>49</x:v>
      </x:c>
      <x:c r="D278" s="9" t="n">
        <x:v>838</x:v>
      </x:c>
      <x:c r="E278" s="9" t="n">
        <x:v>385.37</x:v>
      </x:c>
      <x:c r="F278" s="8" t="n">
        <x:f>C278*D278</x:f>
        <x:v>41062</x:v>
      </x:c>
      <x:c r="G278" s="8" t="n">
        <x:f>C278*E278</x:f>
        <x:v>18883.13</x:v>
      </x:c>
      <x:c r="H278" s="8" t="n">
        <x:f>F278-G278</x:f>
        <x:v>22178.87</x:v>
      </x:c>
      <x:c r="I278" s="10" t="n">
        <x:f>H278/F278</x:f>
        <x:v>0.5401312649164678</x:v>
      </x:c>
    </x:row>
    <x:row r="279" ht="22" customHeight="1">
      <x:c r="A279" s="11" t="str">
        <x:v>1243</x:v>
      </x:c>
      <x:c r="B279" s="8" t="str">
        <x:v>Fabrikam Social Videographer 1'' 25mm E400 White</x:v>
      </x:c>
      <x:c r="C279" s="8" t="n">
        <x:v>41</x:v>
      </x:c>
      <x:c r="D279" s="9" t="n">
        <x:v>188</x:v>
      </x:c>
      <x:c r="E279" s="9" t="n">
        <x:v>95.85</x:v>
      </x:c>
      <x:c r="F279" s="8" t="n">
        <x:f>C279*D279</x:f>
        <x:v>7708</x:v>
      </x:c>
      <x:c r="G279" s="8" t="n">
        <x:f>C279*E279</x:f>
        <x:v>3929.85</x:v>
      </x:c>
      <x:c r="H279" s="8" t="n">
        <x:f>F279-G279</x:f>
        <x:v>3778.15</x:v>
      </x:c>
      <x:c r="I279" s="10" t="n">
        <x:f>H279/F279</x:f>
        <x:v>0.4901595744680851</x:v>
      </x:c>
    </x:row>
    <x:row r="280" ht="22" customHeight="1">
      <x:c r="A280" s="11" t="str">
        <x:v>1244</x:v>
      </x:c>
      <x:c r="B280" s="8" t="str">
        <x:v>Fabrikam Social Videographer 1/2'' 3mm E300 White</x:v>
      </x:c>
      <x:c r="C280" s="8" t="n">
        <x:v>42</x:v>
      </x:c>
      <x:c r="D280" s="9" t="n">
        <x:v>178</x:v>
      </x:c>
      <x:c r="E280" s="9" t="n">
        <x:v>90.75</x:v>
      </x:c>
      <x:c r="F280" s="8" t="n">
        <x:f>C280*D280</x:f>
        <x:v>7476</x:v>
      </x:c>
      <x:c r="G280" s="8" t="n">
        <x:f>C280*E280</x:f>
        <x:v>3811.5</x:v>
      </x:c>
      <x:c r="H280" s="8" t="n">
        <x:f>F280-G280</x:f>
        <x:v>3664.5</x:v>
      </x:c>
      <x:c r="I280" s="10" t="n">
        <x:f>H280/F280</x:f>
        <x:v>0.4901685393258427</x:v>
      </x:c>
    </x:row>
    <x:row r="281" ht="22" customHeight="1">
      <x:c r="A281" s="11" t="str">
        <x:v>1245</x:v>
      </x:c>
      <x:c r="B281" s="8" t="str">
        <x:v>Fabrikam Social Videographer 1/3'' 8.5mm E200 White</x:v>
      </x:c>
      <x:c r="C281" s="8" t="n">
        <x:v>59</x:v>
      </x:c>
      <x:c r="D281" s="9" t="n">
        <x:v>168</x:v>
      </x:c>
      <x:c r="E281" s="9" t="n">
        <x:v>85.65</x:v>
      </x:c>
      <x:c r="F281" s="8" t="n">
        <x:f>C281*D281</x:f>
        <x:v>9912</x:v>
      </x:c>
      <x:c r="G281" s="8" t="n">
        <x:f>C281*E281</x:f>
        <x:v>5053.35</x:v>
      </x:c>
      <x:c r="H281" s="8" t="n">
        <x:f>F281-G281</x:f>
        <x:v>4858.65</x:v>
      </x:c>
      <x:c r="I281" s="10" t="n">
        <x:f>H281/F281</x:f>
        <x:v>0.4901785714285714</x:v>
      </x:c>
    </x:row>
    <x:row r="282" ht="22" customHeight="1">
      <x:c r="A282" s="11" t="str">
        <x:v>1246</x:v>
      </x:c>
      <x:c r="B282" s="8" t="str">
        <x:v>Fabrikam Social Videographer 2/3'' 17mm E100 White</x:v>
      </x:c>
      <x:c r="C282" s="8" t="n">
        <x:v>46</x:v>
      </x:c>
      <x:c r="D282" s="9" t="n">
        <x:v>158</x:v>
      </x:c>
      <x:c r="E282" s="9" t="n">
        <x:v>80.55</x:v>
      </x:c>
      <x:c r="F282" s="8" t="n">
        <x:f>C282*D282</x:f>
        <x:v>7268</x:v>
      </x:c>
      <x:c r="G282" s="8" t="n">
        <x:f>C282*E282</x:f>
        <x:v>3705.2999999999997</x:v>
      </x:c>
      <x:c r="H282" s="8" t="n">
        <x:f>F282-G282</x:f>
        <x:v>3562.7000000000003</x:v>
      </x:c>
      <x:c r="I282" s="10" t="n">
        <x:f>H282/F282</x:f>
        <x:v>0.4901898734177216</x:v>
      </x:c>
    </x:row>
    <x:row r="283" ht="22" customHeight="1">
      <x:c r="A283" s="11" t="str">
        <x:v>1247</x:v>
      </x:c>
      <x:c r="B283" s="8" t="str">
        <x:v>Contoso Rechargeable Li-Ion Battery Pack E300 Silver</x:v>
      </x:c>
      <x:c r="C283" s="8" t="n">
        <x:v>64</x:v>
      </x:c>
      <x:c r="D283" s="9" t="n">
        <x:v>49.99</x:v>
      </x:c>
      <x:c r="E283" s="9" t="n">
        <x:v>25.49</x:v>
      </x:c>
      <x:c r="F283" s="8" t="n">
        <x:f>C283*D283</x:f>
        <x:v>3199.36</x:v>
      </x:c>
      <x:c r="G283" s="8" t="n">
        <x:f>C283*E283</x:f>
        <x:v>1631.36</x:v>
      </x:c>
      <x:c r="H283" s="8" t="n">
        <x:f>F283-G283</x:f>
        <x:v>1568.0000000000002</x:v>
      </x:c>
      <x:c r="I283" s="10" t="n">
        <x:f>H283/F283</x:f>
        <x:v>0.49009801960392085</x:v>
      </x:c>
    </x:row>
    <x:row r="284" ht="22" customHeight="1">
      <x:c r="A284" s="11" t="str">
        <x:v>1248</x:v>
      </x:c>
      <x:c r="B284" s="8" t="str">
        <x:v>Contoso Rechargeable Li-Ion Battery Pack E300 Black</x:v>
      </x:c>
      <x:c r="C284" s="8" t="n">
        <x:v>60</x:v>
      </x:c>
      <x:c r="D284" s="9" t="n">
        <x:v>49.99</x:v>
      </x:c>
      <x:c r="E284" s="9" t="n">
        <x:v>25.49</x:v>
      </x:c>
      <x:c r="F284" s="8" t="n">
        <x:f>C284*D284</x:f>
        <x:v>2999.4</x:v>
      </x:c>
      <x:c r="G284" s="8" t="n">
        <x:f>C284*E284</x:f>
        <x:v>1529.3999999999999</x:v>
      </x:c>
      <x:c r="H284" s="8" t="n">
        <x:f>F284-G284</x:f>
        <x:v>1470.0000000000002</x:v>
      </x:c>
      <x:c r="I284" s="10" t="n">
        <x:f>H284/F284</x:f>
        <x:v>0.49009801960392085</x:v>
      </x:c>
    </x:row>
    <x:row r="285" ht="22" customHeight="1">
      <x:c r="A285" s="11" t="str">
        <x:v>1249</x:v>
      </x:c>
      <x:c r="B285" s="8" t="str">
        <x:v>Contoso Rechargeable Li-Ion Battery Pack E300 White</x:v>
      </x:c>
      <x:c r="C285" s="8" t="n">
        <x:v>77</x:v>
      </x:c>
      <x:c r="D285" s="9" t="n">
        <x:v>49.99</x:v>
      </x:c>
      <x:c r="E285" s="9" t="n">
        <x:v>25.49</x:v>
      </x:c>
      <x:c r="F285" s="8" t="n">
        <x:f>C285*D285</x:f>
        <x:v>3849.23</x:v>
      </x:c>
      <x:c r="G285" s="8" t="n">
        <x:f>C285*E285</x:f>
        <x:v>1962.7299999999998</x:v>
      </x:c>
      <x:c r="H285" s="8" t="n">
        <x:f>F285-G285</x:f>
        <x:v>1886.5000000000002</x:v>
      </x:c>
      <x:c r="I285" s="10" t="n">
        <x:f>H285/F285</x:f>
        <x:v>0.49009801960392085</x:v>
      </x:c>
    </x:row>
    <x:row r="286" ht="22" customHeight="1">
      <x:c r="A286" s="11" t="str">
        <x:v>125</x:v>
      </x:c>
      <x:c r="B286" s="8" t="str">
        <x:v>Adventure Works 19" Color Digital TV E35 Silver</x:v>
      </x:c>
      <x:c r="C286" s="8" t="n">
        <x:v>94</x:v>
      </x:c>
      <x:c r="D286" s="9" t="n">
        <x:v>143.4</x:v>
      </x:c>
      <x:c r="E286" s="9" t="n">
        <x:v>73.11</x:v>
      </x:c>
      <x:c r="F286" s="8" t="n">
        <x:f>C286*D286</x:f>
        <x:v>13479.6</x:v>
      </x:c>
      <x:c r="G286" s="8" t="n">
        <x:f>C286*E286</x:f>
        <x:v>6872.34</x:v>
      </x:c>
      <x:c r="H286" s="8" t="n">
        <x:f>F286-G286</x:f>
        <x:v>6607.26</x:v>
      </x:c>
      <x:c r="I286" s="10" t="n">
        <x:f>H286/F286</x:f>
        <x:v>0.4901673640167364</x:v>
      </x:c>
    </x:row>
    <x:row r="287" ht="22" customHeight="1">
      <x:c r="A287" s="11" t="str">
        <x:v>1250</x:v>
      </x:c>
      <x:c r="B287" s="8" t="str">
        <x:v>Contoso Travel Charger for S-Series Battery E302 Silver</x:v>
      </x:c>
      <x:c r="C287" s="8" t="n">
        <x:v>75</x:v>
      </x:c>
      <x:c r="D287" s="9" t="n">
        <x:v>59.99</x:v>
      </x:c>
      <x:c r="E287" s="9" t="n">
        <x:v>30.58</x:v>
      </x:c>
      <x:c r="F287" s="8" t="n">
        <x:f>C287*D287</x:f>
        <x:v>4499.25</x:v>
      </x:c>
      <x:c r="G287" s="8" t="n">
        <x:f>C287*E287</x:f>
        <x:v>2293.5</x:v>
      </x:c>
      <x:c r="H287" s="8" t="n">
        <x:f>F287-G287</x:f>
        <x:v>2205.75</x:v>
      </x:c>
      <x:c r="I287" s="10" t="n">
        <x:f>H287/F287</x:f>
        <x:v>0.4902483747291215</x:v>
      </x:c>
    </x:row>
    <x:row r="288" ht="22" customHeight="1">
      <x:c r="A288" s="11" t="str">
        <x:v>1251</x:v>
      </x:c>
      <x:c r="B288" s="8" t="str">
        <x:v>Contoso Travel Charger for S-Series Battery E302 Black</x:v>
      </x:c>
      <x:c r="C288" s="8" t="n">
        <x:v>71</x:v>
      </x:c>
      <x:c r="D288" s="9" t="n">
        <x:v>59.99</x:v>
      </x:c>
      <x:c r="E288" s="9" t="n">
        <x:v>30.58</x:v>
      </x:c>
      <x:c r="F288" s="8" t="n">
        <x:f>C288*D288</x:f>
        <x:v>4259.29</x:v>
      </x:c>
      <x:c r="G288" s="8" t="n">
        <x:f>C288*E288</x:f>
        <x:v>2171.18</x:v>
      </x:c>
      <x:c r="H288" s="8" t="n">
        <x:f>F288-G288</x:f>
        <x:v>2088.11</x:v>
      </x:c>
      <x:c r="I288" s="10" t="n">
        <x:f>H288/F288</x:f>
        <x:v>0.4902483747291215</x:v>
      </x:c>
    </x:row>
    <x:row r="289" ht="22" customHeight="1">
      <x:c r="A289" s="11" t="str">
        <x:v>1252</x:v>
      </x:c>
      <x:c r="B289" s="8" t="str">
        <x:v>Contoso Travel Charger for S-Series Battery E302 White</x:v>
      </x:c>
      <x:c r="C289" s="8" t="n">
        <x:v>57</x:v>
      </x:c>
      <x:c r="D289" s="9" t="n">
        <x:v>59.99</x:v>
      </x:c>
      <x:c r="E289" s="9" t="n">
        <x:v>30.58</x:v>
      </x:c>
      <x:c r="F289" s="8" t="n">
        <x:f>C289*D289</x:f>
        <x:v>3419.4300000000003</x:v>
      </x:c>
      <x:c r="G289" s="8" t="n">
        <x:f>C289*E289</x:f>
        <x:v>1743.06</x:v>
      </x:c>
      <x:c r="H289" s="8" t="n">
        <x:f>F289-G289</x:f>
        <x:v>1676.3700000000003</x:v>
      </x:c>
      <x:c r="I289" s="10" t="n">
        <x:f>H289/F289</x:f>
        <x:v>0.4902483747291216</x:v>
      </x:c>
    </x:row>
    <x:row r="290" ht="22" customHeight="1">
      <x:c r="A290" s="11" t="str">
        <x:v>1253</x:v>
      </x:c>
      <x:c r="B290" s="8" t="str">
        <x:v>Contoso General Carrying Case E304 Silver</x:v>
      </x:c>
      <x:c r="C290" s="8" t="n">
        <x:v>53</x:v>
      </x:c>
      <x:c r="D290" s="9" t="n">
        <x:v>19.99</x:v>
      </x:c>
      <x:c r="E290" s="9" t="n">
        <x:v>10.19</x:v>
      </x:c>
      <x:c r="F290" s="8" t="n">
        <x:f>C290*D290</x:f>
        <x:v>1059.47</x:v>
      </x:c>
      <x:c r="G290" s="8" t="n">
        <x:f>C290*E290</x:f>
        <x:v>540.0699999999999</x:v>
      </x:c>
      <x:c r="H290" s="8" t="n">
        <x:f>F290-G290</x:f>
        <x:v>519.4000000000001</x:v>
      </x:c>
      <x:c r="I290" s="10" t="n">
        <x:f>H290/F290</x:f>
        <x:v>0.4902451225612807</x:v>
      </x:c>
    </x:row>
    <x:row r="291" ht="22" customHeight="1">
      <x:c r="A291" s="11" t="str">
        <x:v>1254</x:v>
      </x:c>
      <x:c r="B291" s="8" t="str">
        <x:v>Contoso General Carrying Case E304 Black</x:v>
      </x:c>
      <x:c r="C291" s="8" t="n">
        <x:v>60</x:v>
      </x:c>
      <x:c r="D291" s="9" t="n">
        <x:v>19.99</x:v>
      </x:c>
      <x:c r="E291" s="9" t="n">
        <x:v>10.19</x:v>
      </x:c>
      <x:c r="F291" s="8" t="n">
        <x:f>C291*D291</x:f>
        <x:v>1199.3999999999999</x:v>
      </x:c>
      <x:c r="G291" s="8" t="n">
        <x:f>C291*E291</x:f>
        <x:v>611.4</x:v>
      </x:c>
      <x:c r="H291" s="8" t="n">
        <x:f>F291-G291</x:f>
        <x:v>587.9999999999999</x:v>
      </x:c>
      <x:c r="I291" s="10" t="n">
        <x:f>H291/F291</x:f>
        <x:v>0.4902451225612806</x:v>
      </x:c>
    </x:row>
    <x:row r="292" ht="22" customHeight="1">
      <x:c r="A292" s="11" t="str">
        <x:v>1255</x:v>
      </x:c>
      <x:c r="B292" s="8" t="str">
        <x:v>Contoso General Carrying Case E304 White</x:v>
      </x:c>
      <x:c r="C292" s="8" t="n">
        <x:v>69</x:v>
      </x:c>
      <x:c r="D292" s="9" t="n">
        <x:v>19.99</x:v>
      </x:c>
      <x:c r="E292" s="9" t="n">
        <x:v>10.19</x:v>
      </x:c>
      <x:c r="F292" s="8" t="n">
        <x:f>C292*D292</x:f>
        <x:v>1379.31</x:v>
      </x:c>
      <x:c r="G292" s="8" t="n">
        <x:f>C292*E292</x:f>
        <x:v>703.11</x:v>
      </x:c>
      <x:c r="H292" s="8" t="n">
        <x:f>F292-G292</x:f>
        <x:v>676.1999999999999</x:v>
      </x:c>
      <x:c r="I292" s="10" t="n">
        <x:f>H292/F292</x:f>
        <x:v>0.4902451225612806</x:v>
      </x:c>
    </x:row>
    <x:row r="293" ht="22" customHeight="1">
      <x:c r="A293" s="11" t="str">
        <x:v>1256</x:v>
      </x:c>
      <x:c r="B293" s="8" t="str">
        <x:v>Contoso General Carrying Case E304 Blue</x:v>
      </x:c>
      <x:c r="C293" s="8" t="n">
        <x:v>86</x:v>
      </x:c>
      <x:c r="D293" s="9" t="n">
        <x:v>19.99</x:v>
      </x:c>
      <x:c r="E293" s="9" t="n">
        <x:v>10.19</x:v>
      </x:c>
      <x:c r="F293" s="8" t="n">
        <x:f>C293*D293</x:f>
        <x:v>1719.1399999999999</x:v>
      </x:c>
      <x:c r="G293" s="8" t="n">
        <x:f>C293*E293</x:f>
        <x:v>876.3399999999999</x:v>
      </x:c>
      <x:c r="H293" s="8" t="n">
        <x:f>F293-G293</x:f>
        <x:v>842.8</x:v>
      </x:c>
      <x:c r="I293" s="10" t="n">
        <x:f>H293/F293</x:f>
        <x:v>0.49024512256128067</x:v>
      </x:c>
    </x:row>
    <x:row r="294" ht="22" customHeight="1">
      <x:c r="A294" s="11" t="str">
        <x:v>1257</x:v>
      </x:c>
      <x:c r="B294" s="8" t="str">
        <x:v>Contoso Cyber Shot Digital Cameras Adapter E306 Pink</x:v>
      </x:c>
      <x:c r="C294" s="8" t="n">
        <x:v>28</x:v>
      </x:c>
      <x:c r="D294" s="9" t="n">
        <x:v>39.99</x:v>
      </x:c>
      <x:c r="E294" s="9" t="n">
        <x:v>20.39</x:v>
      </x:c>
      <x:c r="F294" s="8" t="n">
        <x:f>C294*D294</x:f>
        <x:v>1119.72</x:v>
      </x:c>
      <x:c r="G294" s="8" t="n">
        <x:f>C294*E294</x:f>
        <x:v>570.9200000000001</x:v>
      </x:c>
      <x:c r="H294" s="8" t="n">
        <x:f>F294-G294</x:f>
        <x:v>548.8</x:v>
      </x:c>
      <x:c r="I294" s="10" t="n">
        <x:f>H294/F294</x:f>
        <x:v>0.4901225306326581</x:v>
      </x:c>
    </x:row>
    <x:row r="295" ht="22" customHeight="1">
      <x:c r="A295" s="11" t="str">
        <x:v>1258</x:v>
      </x:c>
      <x:c r="B295" s="8" t="str">
        <x:v>Contoso Cyber Shot Digital Cameras Adapter E306 Blue</x:v>
      </x:c>
      <x:c r="C295" s="8" t="n">
        <x:v>69</x:v>
      </x:c>
      <x:c r="D295" s="9" t="n">
        <x:v>39.99</x:v>
      </x:c>
      <x:c r="E295" s="9" t="n">
        <x:v>20.39</x:v>
      </x:c>
      <x:c r="F295" s="8" t="n">
        <x:f>C295*D295</x:f>
        <x:v>2759.31</x:v>
      </x:c>
      <x:c r="G295" s="8" t="n">
        <x:f>C295*E295</x:f>
        <x:v>1406.91</x:v>
      </x:c>
      <x:c r="H295" s="8" t="n">
        <x:f>F295-G295</x:f>
        <x:v>1352.3999999999999</x:v>
      </x:c>
      <x:c r="I295" s="10" t="n">
        <x:f>H295/F295</x:f>
        <x:v>0.49012253063265815</x:v>
      </x:c>
    </x:row>
    <x:row r="296" ht="22" customHeight="1">
      <x:c r="A296" s="11" t="str">
        <x:v>1259</x:v>
      </x:c>
      <x:c r="B296" s="8" t="str">
        <x:v>Contoso Cyber Shot Digital Cameras Adapter E306 Black</x:v>
      </x:c>
      <x:c r="C296" s="8" t="n">
        <x:v>101</x:v>
      </x:c>
      <x:c r="D296" s="9" t="n">
        <x:v>39.99</x:v>
      </x:c>
      <x:c r="E296" s="9" t="n">
        <x:v>20.39</x:v>
      </x:c>
      <x:c r="F296" s="8" t="n">
        <x:f>C296*D296</x:f>
        <x:v>4038.9900000000002</x:v>
      </x:c>
      <x:c r="G296" s="8" t="n">
        <x:f>C296*E296</x:f>
        <x:v>2059.39</x:v>
      </x:c>
      <x:c r="H296" s="8" t="n">
        <x:f>F296-G296</x:f>
        <x:v>1979.6000000000004</x:v>
      </x:c>
      <x:c r="I296" s="10" t="n">
        <x:f>H296/F296</x:f>
        <x:v>0.4901225306326582</x:v>
      </x:c>
    </x:row>
    <x:row r="297" ht="22" customHeight="1">
      <x:c r="A297" s="11" t="str">
        <x:v>126</x:v>
      </x:c>
      <x:c r="B297" s="8" t="str">
        <x:v>Adventure Works 19" Color Digital TV E35 Black</x:v>
      </x:c>
      <x:c r="C297" s="8" t="n">
        <x:v>132</x:v>
      </x:c>
      <x:c r="D297" s="9" t="n">
        <x:v>143.4</x:v>
      </x:c>
      <x:c r="E297" s="9" t="n">
        <x:v>73.11</x:v>
      </x:c>
      <x:c r="F297" s="8" t="n">
        <x:f>C297*D297</x:f>
        <x:v>18928.8</x:v>
      </x:c>
      <x:c r="G297" s="8" t="n">
        <x:f>C297*E297</x:f>
        <x:v>9650.52</x:v>
      </x:c>
      <x:c r="H297" s="8" t="n">
        <x:f>F297-G297</x:f>
        <x:v>9278.279999999999</x:v>
      </x:c>
      <x:c r="I297" s="10" t="n">
        <x:f>H297/F297</x:f>
        <x:v>0.4901673640167364</x:v>
      </x:c>
    </x:row>
    <x:row r="298" ht="22" customHeight="1">
      <x:c r="A298" s="11" t="str">
        <x:v>1260</x:v>
      </x:c>
      <x:c r="B298" s="8" t="str">
        <x:v>Contoso Multi-Use Terminal Cable E308 Silver</x:v>
      </x:c>
      <x:c r="C298" s="8" t="n">
        <x:v>67</x:v>
      </x:c>
      <x:c r="D298" s="9" t="n">
        <x:v>36.99</x:v>
      </x:c>
      <x:c r="E298" s="9" t="n">
        <x:v>18.86</x:v>
      </x:c>
      <x:c r="F298" s="8" t="n">
        <x:f>C298*D298</x:f>
        <x:v>2478.33</x:v>
      </x:c>
      <x:c r="G298" s="8" t="n">
        <x:f>C298*E298</x:f>
        <x:v>1263.62</x:v>
      </x:c>
      <x:c r="H298" s="8" t="n">
        <x:f>F298-G298</x:f>
        <x:v>1214.71</x:v>
      </x:c>
      <x:c r="I298" s="10" t="n">
        <x:f>H298/F298</x:f>
        <x:v>0.49013246823465806</x:v>
      </x:c>
    </x:row>
    <x:row r="299" ht="22" customHeight="1">
      <x:c r="A299" s="11" t="str">
        <x:v>1261</x:v>
      </x:c>
      <x:c r="B299" s="8" t="str">
        <x:v>Contoso Multi-Use Terminal Cable E308 White</x:v>
      </x:c>
      <x:c r="C299" s="8" t="n">
        <x:v>77</x:v>
      </x:c>
      <x:c r="D299" s="9" t="n">
        <x:v>36.99</x:v>
      </x:c>
      <x:c r="E299" s="9" t="n">
        <x:v>18.86</x:v>
      </x:c>
      <x:c r="F299" s="8" t="n">
        <x:f>C299*D299</x:f>
        <x:v>2848.23</x:v>
      </x:c>
      <x:c r="G299" s="8" t="n">
        <x:f>C299*E299</x:f>
        <x:v>1452.22</x:v>
      </x:c>
      <x:c r="H299" s="8" t="n">
        <x:f>F299-G299</x:f>
        <x:v>1396.01</x:v>
      </x:c>
      <x:c r="I299" s="10" t="n">
        <x:f>H299/F299</x:f>
        <x:v>0.490132468234658</x:v>
      </x:c>
    </x:row>
    <x:row r="300" ht="22" customHeight="1">
      <x:c r="A300" s="11" t="str">
        <x:v>1262</x:v>
      </x:c>
      <x:c r="B300" s="8" t="str">
        <x:v>Contoso Multi-Use Terminal Cable E308 Black</x:v>
      </x:c>
      <x:c r="C300" s="8" t="n">
        <x:v>54</x:v>
      </x:c>
      <x:c r="D300" s="9" t="n">
        <x:v>36.99</x:v>
      </x:c>
      <x:c r="E300" s="9" t="n">
        <x:v>18.86</x:v>
      </x:c>
      <x:c r="F300" s="8" t="n">
        <x:f>C300*D300</x:f>
        <x:v>1997.46</x:v>
      </x:c>
      <x:c r="G300" s="8" t="n">
        <x:f>C300*E300</x:f>
        <x:v>1018.4399999999999</x:v>
      </x:c>
      <x:c r="H300" s="8" t="n">
        <x:f>F300-G300</x:f>
        <x:v>979.0200000000001</x:v>
      </x:c>
      <x:c r="I300" s="10" t="n">
        <x:f>H300/F300</x:f>
        <x:v>0.49013246823465806</x:v>
      </x:c>
    </x:row>
    <x:row r="301" ht="22" customHeight="1">
      <x:c r="A301" s="11" t="str">
        <x:v>1263</x:v>
      </x:c>
      <x:c r="B301" s="8" t="str">
        <x:v>Contoso Rechargeable Battery Pack E310 Silver</x:v>
      </x:c>
      <x:c r="C301" s="8" t="n">
        <x:v>28</x:v>
      </x:c>
      <x:c r="D301" s="9" t="n">
        <x:v>69.99</x:v>
      </x:c>
      <x:c r="E301" s="9" t="n">
        <x:v>35.68</x:v>
      </x:c>
      <x:c r="F301" s="8" t="n">
        <x:f>C301*D301</x:f>
        <x:v>1959.7199999999998</x:v>
      </x:c>
      <x:c r="G301" s="8" t="n">
        <x:f>C301*E301</x:f>
        <x:v>999.04</x:v>
      </x:c>
      <x:c r="H301" s="8" t="n">
        <x:f>F301-G301</x:f>
        <x:v>960.6799999999998</x:v>
      </x:c>
      <x:c r="I301" s="10" t="n">
        <x:f>H301/F301</x:f>
        <x:v>0.490212887555365</x:v>
      </x:c>
    </x:row>
    <x:row r="302" ht="22" customHeight="1">
      <x:c r="A302" s="11" t="str">
        <x:v>1264</x:v>
      </x:c>
      <x:c r="B302" s="8" t="str">
        <x:v>Contoso Rechargeable Battery Pack E310 Black</x:v>
      </x:c>
      <x:c r="C302" s="8" t="n">
        <x:v>49</x:v>
      </x:c>
      <x:c r="D302" s="9" t="n">
        <x:v>69.99</x:v>
      </x:c>
      <x:c r="E302" s="9" t="n">
        <x:v>35.68</x:v>
      </x:c>
      <x:c r="F302" s="8" t="n">
        <x:f>C302*D302</x:f>
        <x:v>3429.5099999999998</x:v>
      </x:c>
      <x:c r="G302" s="8" t="n">
        <x:f>C302*E302</x:f>
        <x:v>1748.32</x:v>
      </x:c>
      <x:c r="H302" s="8" t="n">
        <x:f>F302-G302</x:f>
        <x:v>1681.1899999999998</x:v>
      </x:c>
      <x:c r="I302" s="10" t="n">
        <x:f>H302/F302</x:f>
        <x:v>0.490212887555365</x:v>
      </x:c>
    </x:row>
    <x:row r="303" ht="22" customHeight="1">
      <x:c r="A303" s="11" t="str">
        <x:v>1265</x:v>
      </x:c>
      <x:c r="B303" s="8" t="str">
        <x:v>Contoso Rechargeable Battery Pack E310 White</x:v>
      </x:c>
      <x:c r="C303" s="8" t="n">
        <x:v>36</x:v>
      </x:c>
      <x:c r="D303" s="9" t="n">
        <x:v>69.99</x:v>
      </x:c>
      <x:c r="E303" s="9" t="n">
        <x:v>35.68</x:v>
      </x:c>
      <x:c r="F303" s="8" t="n">
        <x:f>C303*D303</x:f>
        <x:v>2519.64</x:v>
      </x:c>
      <x:c r="G303" s="8" t="n">
        <x:f>C303*E303</x:f>
        <x:v>1284.48</x:v>
      </x:c>
      <x:c r="H303" s="8" t="n">
        <x:f>F303-G303</x:f>
        <x:v>1235.1599999999999</x:v>
      </x:c>
      <x:c r="I303" s="10" t="n">
        <x:f>H303/F303</x:f>
        <x:v>0.490212887555365</x:v>
      </x:c>
    </x:row>
    <x:row r="304" ht="22" customHeight="1">
      <x:c r="A304" s="11" t="str">
        <x:v>1266</x:v>
      </x:c>
      <x:c r="B304" s="8" t="str">
        <x:v>Contoso Carrying Case E312 Silver</x:v>
      </x:c>
      <x:c r="C304" s="8" t="n">
        <x:v>79</x:v>
      </x:c>
      <x:c r="D304" s="9" t="n">
        <x:v>49.96</x:v>
      </x:c>
      <x:c r="E304" s="9" t="n">
        <x:v>25.47</x:v>
      </x:c>
      <x:c r="F304" s="8" t="n">
        <x:f>C304*D304</x:f>
        <x:v>3946.84</x:v>
      </x:c>
      <x:c r="G304" s="8" t="n">
        <x:f>C304*E304</x:f>
        <x:v>2012.1299999999999</x:v>
      </x:c>
      <x:c r="H304" s="8" t="n">
        <x:f>F304-G304</x:f>
        <x:v>1934.7100000000003</x:v>
      </x:c>
      <x:c r="I304" s="10" t="n">
        <x:f>H304/F304</x:f>
        <x:v>0.4901921537229784</x:v>
      </x:c>
    </x:row>
    <x:row r="305" ht="22" customHeight="1">
      <x:c r="A305" s="11" t="str">
        <x:v>1267</x:v>
      </x:c>
      <x:c r="B305" s="8" t="str">
        <x:v>Contoso Carrying Case E312 Pink</x:v>
      </x:c>
      <x:c r="C305" s="8" t="n">
        <x:v>95</x:v>
      </x:c>
      <x:c r="D305" s="9" t="n">
        <x:v>49.96</x:v>
      </x:c>
      <x:c r="E305" s="9" t="n">
        <x:v>25.47</x:v>
      </x:c>
      <x:c r="F305" s="8" t="n">
        <x:f>C305*D305</x:f>
        <x:v>4746.2</x:v>
      </x:c>
      <x:c r="G305" s="8" t="n">
        <x:f>C305*E305</x:f>
        <x:v>2419.65</x:v>
      </x:c>
      <x:c r="H305" s="8" t="n">
        <x:f>F305-G305</x:f>
        <x:v>2326.5499999999997</x:v>
      </x:c>
      <x:c r="I305" s="10" t="n">
        <x:f>H305/F305</x:f>
        <x:v>0.49019215372297836</x:v>
      </x:c>
    </x:row>
    <x:row r="306" ht="22" customHeight="1">
      <x:c r="A306" s="11" t="str">
        <x:v>1268</x:v>
      </x:c>
      <x:c r="B306" s="8" t="str">
        <x:v>Contoso Carrying Case E312 White</x:v>
      </x:c>
      <x:c r="C306" s="8" t="n">
        <x:v>63</x:v>
      </x:c>
      <x:c r="D306" s="9" t="n">
        <x:v>49.96</x:v>
      </x:c>
      <x:c r="E306" s="9" t="n">
        <x:v>25.47</x:v>
      </x:c>
      <x:c r="F306" s="8" t="n">
        <x:f>C306*D306</x:f>
        <x:v>3147.48</x:v>
      </x:c>
      <x:c r="G306" s="8" t="n">
        <x:f>C306*E306</x:f>
        <x:v>1604.61</x:v>
      </x:c>
      <x:c r="H306" s="8" t="n">
        <x:f>F306-G306</x:f>
        <x:v>1542.8700000000001</x:v>
      </x:c>
      <x:c r="I306" s="10" t="n">
        <x:f>H306/F306</x:f>
        <x:v>0.4901921537229784</x:v>
      </x:c>
    </x:row>
    <x:row r="307" ht="22" customHeight="1">
      <x:c r="A307" s="11" t="str">
        <x:v>1269</x:v>
      </x:c>
      <x:c r="B307" s="8" t="str">
        <x:v>Contoso Carrying Case E312 Blue</x:v>
      </x:c>
      <x:c r="C307" s="8" t="n">
        <x:v>56</x:v>
      </x:c>
      <x:c r="D307" s="9" t="n">
        <x:v>49.96</x:v>
      </x:c>
      <x:c r="E307" s="9" t="n">
        <x:v>25.47</x:v>
      </x:c>
      <x:c r="F307" s="8" t="n">
        <x:f>C307*D307</x:f>
        <x:v>2797.76</x:v>
      </x:c>
      <x:c r="G307" s="8" t="n">
        <x:f>C307*E307</x:f>
        <x:v>1426.32</x:v>
      </x:c>
      <x:c r="H307" s="8" t="n">
        <x:f>F307-G307</x:f>
        <x:v>1371.4400000000003</x:v>
      </x:c>
      <x:c r="I307" s="10" t="n">
        <x:f>H307/F307</x:f>
        <x:v>0.4901921537229784</x:v>
      </x:c>
    </x:row>
    <x:row r="308" ht="22" customHeight="1">
      <x:c r="A308" s="11" t="str">
        <x:v>127</x:v>
      </x:c>
      <x:c r="B308" s="8" t="str">
        <x:v>Adventure Works 19" Color Digital TV E35 White</x:v>
      </x:c>
      <x:c r="C308" s="8" t="n">
        <x:v>107</x:v>
      </x:c>
      <x:c r="D308" s="9" t="n">
        <x:v>143.4</x:v>
      </x:c>
      <x:c r="E308" s="9" t="n">
        <x:v>73.11</x:v>
      </x:c>
      <x:c r="F308" s="8" t="n">
        <x:f>C308*D308</x:f>
        <x:v>15343.800000000001</x:v>
      </x:c>
      <x:c r="G308" s="8" t="n">
        <x:f>C308*E308</x:f>
        <x:v>7822.7699999999995</x:v>
      </x:c>
      <x:c r="H308" s="8" t="n">
        <x:f>F308-G308</x:f>
        <x:v>7521.030000000002</x:v>
      </x:c>
      <x:c r="I308" s="10" t="n">
        <x:f>H308/F308</x:f>
        <x:v>0.4901673640167365</x:v>
      </x:c>
    </x:row>
    <x:row r="309" ht="22" customHeight="1">
      <x:c r="A309" s="11" t="str">
        <x:v>1270</x:v>
      </x:c>
      <x:c r="B309" s="8" t="str">
        <x:v>Contoso Lens Cap Keeper E314 Pink</x:v>
      </x:c>
      <x:c r="C309" s="8" t="n">
        <x:v>72</x:v>
      </x:c>
      <x:c r="D309" s="9" t="n">
        <x:v>6.95</x:v>
      </x:c>
      <x:c r="E309" s="9" t="n">
        <x:v>3.54</x:v>
      </x:c>
      <x:c r="F309" s="8" t="n">
        <x:f>C309*D309</x:f>
        <x:v>500.40000000000003</x:v>
      </x:c>
      <x:c r="G309" s="8" t="n">
        <x:f>C309*E309</x:f>
        <x:v>254.88</x:v>
      </x:c>
      <x:c r="H309" s="8" t="n">
        <x:f>F309-G309</x:f>
        <x:v>245.52000000000004</x:v>
      </x:c>
      <x:c r="I309" s="10" t="n">
        <x:f>H309/F309</x:f>
        <x:v>0.4906474820143885</x:v>
      </x:c>
    </x:row>
    <x:row r="310" ht="22" customHeight="1">
      <x:c r="A310" s="11" t="str">
        <x:v>1271</x:v>
      </x:c>
      <x:c r="B310" s="8" t="str">
        <x:v>Contoso Lens Cap Keeper E314 Yellow</x:v>
      </x:c>
      <x:c r="C310" s="8" t="n">
        <x:v>68</x:v>
      </x:c>
      <x:c r="D310" s="9" t="n">
        <x:v>6.95</x:v>
      </x:c>
      <x:c r="E310" s="9" t="n">
        <x:v>3.54</x:v>
      </x:c>
      <x:c r="F310" s="8" t="n">
        <x:f>C310*D310</x:f>
        <x:v>472.6</x:v>
      </x:c>
      <x:c r="G310" s="8" t="n">
        <x:f>C310*E310</x:f>
        <x:v>240.72</x:v>
      </x:c>
      <x:c r="H310" s="8" t="n">
        <x:f>F310-G310</x:f>
        <x:v>231.88000000000002</x:v>
      </x:c>
      <x:c r="I310" s="10" t="n">
        <x:f>H310/F310</x:f>
        <x:v>0.4906474820143885</x:v>
      </x:c>
    </x:row>
    <x:row r="311" ht="22" customHeight="1">
      <x:c r="A311" s="11" t="str">
        <x:v>1272</x:v>
      </x:c>
      <x:c r="B311" s="8" t="str">
        <x:v>Contoso Lens Cap Keeper E314 White</x:v>
      </x:c>
      <x:c r="C311" s="8" t="n">
        <x:v>81</x:v>
      </x:c>
      <x:c r="D311" s="9" t="n">
        <x:v>6.95</x:v>
      </x:c>
      <x:c r="E311" s="9" t="n">
        <x:v>3.54</x:v>
      </x:c>
      <x:c r="F311" s="8" t="n">
        <x:f>C311*D311</x:f>
        <x:v>562.95</x:v>
      </x:c>
      <x:c r="G311" s="8" t="n">
        <x:f>C311*E311</x:f>
        <x:v>286.74</x:v>
      </x:c>
      <x:c r="H311" s="8" t="n">
        <x:f>F311-G311</x:f>
        <x:v>276.21000000000004</x:v>
      </x:c>
      <x:c r="I311" s="10" t="n">
        <x:f>H311/F311</x:f>
        <x:v>0.4906474820143885</x:v>
      </x:c>
    </x:row>
    <x:row r="312" ht="22" customHeight="1">
      <x:c r="A312" s="11" t="str">
        <x:v>1273</x:v>
      </x:c>
      <x:c r="B312" s="8" t="str">
        <x:v>Contoso Lens Cap Keeper E314 Silver</x:v>
      </x:c>
      <x:c r="C312" s="8" t="n">
        <x:v>55</x:v>
      </x:c>
      <x:c r="D312" s="9" t="n">
        <x:v>6.95</x:v>
      </x:c>
      <x:c r="E312" s="9" t="n">
        <x:v>3.54</x:v>
      </x:c>
      <x:c r="F312" s="8" t="n">
        <x:f>C312*D312</x:f>
        <x:v>382.25</x:v>
      </x:c>
      <x:c r="G312" s="8" t="n">
        <x:f>C312*E312</x:f>
        <x:v>194.7</x:v>
      </x:c>
      <x:c r="H312" s="8" t="n">
        <x:f>F312-G312</x:f>
        <x:v>187.55</x:v>
      </x:c>
      <x:c r="I312" s="10" t="n">
        <x:f>H312/F312</x:f>
        <x:v>0.4906474820143885</x:v>
      </x:c>
    </x:row>
    <x:row r="313" ht="22" customHeight="1">
      <x:c r="A313" s="11" t="str">
        <x:v>1274</x:v>
      </x:c>
      <x:c r="B313" s="8" t="str">
        <x:v>Contoso Digital Cameras Lightweight Tripod E316 White</x:v>
      </x:c>
      <x:c r="C313" s="8" t="n">
        <x:v>72</x:v>
      </x:c>
      <x:c r="D313" s="9" t="n">
        <x:v>52.13</x:v>
      </x:c>
      <x:c r="E313" s="9" t="n">
        <x:v>26.58</x:v>
      </x:c>
      <x:c r="F313" s="8" t="n">
        <x:f>C313*D313</x:f>
        <x:v>3753.36</x:v>
      </x:c>
      <x:c r="G313" s="8" t="n">
        <x:f>C313*E313</x:f>
        <x:v>1913.7599999999998</x:v>
      </x:c>
      <x:c r="H313" s="8" t="n">
        <x:f>F313-G313</x:f>
        <x:v>1839.6000000000004</x:v>
      </x:c>
      <x:c r="I313" s="10" t="n">
        <x:f>H313/F313</x:f>
        <x:v>0.49012085171686176</x:v>
      </x:c>
    </x:row>
    <x:row r="314" ht="22" customHeight="1">
      <x:c r="A314" s="11" t="str">
        <x:v>1275</x:v>
      </x:c>
      <x:c r="B314" s="8" t="str">
        <x:v>Contoso Digital Cameras Lightweight Tripod E316 Black</x:v>
      </x:c>
      <x:c r="C314" s="8" t="n">
        <x:v>31</x:v>
      </x:c>
      <x:c r="D314" s="9" t="n">
        <x:v>52.13</x:v>
      </x:c>
      <x:c r="E314" s="9" t="n">
        <x:v>26.58</x:v>
      </x:c>
      <x:c r="F314" s="8" t="n">
        <x:f>C314*D314</x:f>
        <x:v>1616.03</x:v>
      </x:c>
      <x:c r="G314" s="8" t="n">
        <x:f>C314*E314</x:f>
        <x:v>823.9799999999999</x:v>
      </x:c>
      <x:c r="H314" s="8" t="n">
        <x:f>F314-G314</x:f>
        <x:v>792.0500000000001</x:v>
      </x:c>
      <x:c r="I314" s="10" t="n">
        <x:f>H314/F314</x:f>
        <x:v>0.49012085171686176</x:v>
      </x:c>
    </x:row>
    <x:row r="315" ht="22" customHeight="1">
      <x:c r="A315" s="11" t="str">
        <x:v>1276</x:v>
      </x:c>
      <x:c r="B315" s="8" t="str">
        <x:v>Contoso Digital Cameras Lightweight Tripod E316 Pink</x:v>
      </x:c>
      <x:c r="C315" s="8" t="n">
        <x:v>74</x:v>
      </x:c>
      <x:c r="D315" s="9" t="n">
        <x:v>52.13</x:v>
      </x:c>
      <x:c r="E315" s="9" t="n">
        <x:v>26.58</x:v>
      </x:c>
      <x:c r="F315" s="8" t="n">
        <x:f>C315*D315</x:f>
        <x:v>3857.6200000000003</x:v>
      </x:c>
      <x:c r="G315" s="8" t="n">
        <x:f>C315*E315</x:f>
        <x:v>1966.9199999999998</x:v>
      </x:c>
      <x:c r="H315" s="8" t="n">
        <x:f>F315-G315</x:f>
        <x:v>1890.7000000000005</x:v>
      </x:c>
      <x:c r="I315" s="10" t="n">
        <x:f>H315/F315</x:f>
        <x:v>0.49012085171686176</x:v>
      </x:c>
    </x:row>
    <x:row r="316" ht="22" customHeight="1">
      <x:c r="A316" s="11" t="str">
        <x:v>1277</x:v>
      </x:c>
      <x:c r="B316" s="8" t="str">
        <x:v>Contoso Digital Cameras Lightweight Tripod E316 Silver</x:v>
      </x:c>
      <x:c r="C316" s="8" t="n">
        <x:v>84</x:v>
      </x:c>
      <x:c r="D316" s="9" t="n">
        <x:v>52.13</x:v>
      </x:c>
      <x:c r="E316" s="9" t="n">
        <x:v>26.58</x:v>
      </x:c>
      <x:c r="F316" s="8" t="n">
        <x:f>C316*D316</x:f>
        <x:v>4378.92</x:v>
      </x:c>
      <x:c r="G316" s="8" t="n">
        <x:f>C316*E316</x:f>
        <x:v>2232.72</x:v>
      </x:c>
      <x:c r="H316" s="8" t="n">
        <x:f>F316-G316</x:f>
        <x:v>2146.2000000000003</x:v>
      </x:c>
      <x:c r="I316" s="10" t="n">
        <x:f>H316/F316</x:f>
        <x:v>0.49012085171686176</x:v>
      </x:c>
    </x:row>
    <x:row r="317" ht="22" customHeight="1">
      <x:c r="A317" s="11" t="str">
        <x:v>1278</x:v>
      </x:c>
      <x:c r="B317" s="8" t="str">
        <x:v>Contoso General Soft Carrying Case E318 Blue</x:v>
      </x:c>
      <x:c r="C317" s="8" t="n">
        <x:v>57</x:v>
      </x:c>
      <x:c r="D317" s="9" t="n">
        <x:v>14.99</x:v>
      </x:c>
      <x:c r="E317" s="9" t="n">
        <x:v>7.64</x:v>
      </x:c>
      <x:c r="F317" s="8" t="n">
        <x:f>C317*D317</x:f>
        <x:v>854.4300000000001</x:v>
      </x:c>
      <x:c r="G317" s="8" t="n">
        <x:f>C317*E317</x:f>
        <x:v>435.47999999999996</x:v>
      </x:c>
      <x:c r="H317" s="8" t="n">
        <x:f>F317-G317</x:f>
        <x:v>418.9500000000001</x:v>
      </x:c>
      <x:c r="I317" s="10" t="n">
        <x:f>H317/F317</x:f>
        <x:v>0.49032688458972656</x:v>
      </x:c>
    </x:row>
    <x:row r="318" ht="22" customHeight="1">
      <x:c r="A318" s="11" t="str">
        <x:v>1279</x:v>
      </x:c>
      <x:c r="B318" s="8" t="str">
        <x:v>Contoso General Soft Carrying Case E318 Black</x:v>
      </x:c>
      <x:c r="C318" s="8" t="n">
        <x:v>93</x:v>
      </x:c>
      <x:c r="D318" s="9" t="n">
        <x:v>14.99</x:v>
      </x:c>
      <x:c r="E318" s="9" t="n">
        <x:v>7.64</x:v>
      </x:c>
      <x:c r="F318" s="8" t="n">
        <x:f>C318*D318</x:f>
        <x:v>1394.07</x:v>
      </x:c>
      <x:c r="G318" s="8" t="n">
        <x:f>C318*E318</x:f>
        <x:v>710.52</x:v>
      </x:c>
      <x:c r="H318" s="8" t="n">
        <x:f>F318-G318</x:f>
        <x:v>683.55</x:v>
      </x:c>
      <x:c r="I318" s="10" t="n">
        <x:f>H318/F318</x:f>
        <x:v>0.49032688458972645</x:v>
      </x:c>
    </x:row>
    <x:row r="319" ht="22" customHeight="1">
      <x:c r="A319" s="11" t="str">
        <x:v>128</x:v>
      </x:c>
      <x:c r="B319" s="8" t="str">
        <x:v>Adventure Works 19" Color Digital TV E35 Brown</x:v>
      </x:c>
      <x:c r="C319" s="8" t="n">
        <x:v>139</x:v>
      </x:c>
      <x:c r="D319" s="9" t="n">
        <x:v>143.4</x:v>
      </x:c>
      <x:c r="E319" s="9" t="n">
        <x:v>73.11</x:v>
      </x:c>
      <x:c r="F319" s="8" t="n">
        <x:f>C319*D319</x:f>
        <x:v>19932.600000000002</x:v>
      </x:c>
      <x:c r="G319" s="8" t="n">
        <x:f>C319*E319</x:f>
        <x:v>10162.289999999999</x:v>
      </x:c>
      <x:c r="H319" s="8" t="n">
        <x:f>F319-G319</x:f>
        <x:v>9770.310000000003</x:v>
      </x:c>
      <x:c r="I319" s="10" t="n">
        <x:f>H319/F319</x:f>
        <x:v>0.4901673640167365</x:v>
      </x:c>
    </x:row>
    <x:row r="320" ht="22" customHeight="1">
      <x:c r="A320" s="11" t="str">
        <x:v>1280</x:v>
      </x:c>
      <x:c r="B320" s="8" t="str">
        <x:v>Contoso General Soft Carrying Case E318 Silver</x:v>
      </x:c>
      <x:c r="C320" s="8" t="n">
        <x:v>51</x:v>
      </x:c>
      <x:c r="D320" s="9" t="n">
        <x:v>14.99</x:v>
      </x:c>
      <x:c r="E320" s="9" t="n">
        <x:v>7.64</x:v>
      </x:c>
      <x:c r="F320" s="8" t="n">
        <x:f>C320*D320</x:f>
        <x:v>764.49</x:v>
      </x:c>
      <x:c r="G320" s="8" t="n">
        <x:f>C320*E320</x:f>
        <x:v>389.64</x:v>
      </x:c>
      <x:c r="H320" s="8" t="n">
        <x:f>F320-G320</x:f>
        <x:v>374.85</x:v>
      </x:c>
      <x:c r="I320" s="10" t="n">
        <x:f>H320/F320</x:f>
        <x:v>0.4903268845897265</x:v>
      </x:c>
    </x:row>
    <x:row r="321" ht="22" customHeight="1">
      <x:c r="A321" s="11" t="str">
        <x:v>1281</x:v>
      </x:c>
      <x:c r="B321" s="8" t="str">
        <x:v>Contoso General Soft Carrying Case E318 White</x:v>
      </x:c>
      <x:c r="C321" s="8" t="n">
        <x:v>93</x:v>
      </x:c>
      <x:c r="D321" s="9" t="n">
        <x:v>14.99</x:v>
      </x:c>
      <x:c r="E321" s="9" t="n">
        <x:v>7.64</x:v>
      </x:c>
      <x:c r="F321" s="8" t="n">
        <x:f>C321*D321</x:f>
        <x:v>1394.07</x:v>
      </x:c>
      <x:c r="G321" s="8" t="n">
        <x:f>C321*E321</x:f>
        <x:v>710.52</x:v>
      </x:c>
      <x:c r="H321" s="8" t="n">
        <x:f>F321-G321</x:f>
        <x:v>683.55</x:v>
      </x:c>
      <x:c r="I321" s="10" t="n">
        <x:f>H321/F321</x:f>
        <x:v>0.49032688458972645</x:v>
      </x:c>
    </x:row>
    <x:row r="322" ht="22" customHeight="1">
      <x:c r="A322" s="11" t="str">
        <x:v>1282</x:v>
      </x:c>
      <x:c r="B322" s="8" t="str">
        <x:v>Contoso Mini Battery Charger Kit E320 Red</x:v>
      </x:c>
      <x:c r="C322" s="8" t="n">
        <x:v>75</x:v>
      </x:c>
      <x:c r="D322" s="9" t="n">
        <x:v>24.99</x:v>
      </x:c>
      <x:c r="E322" s="9" t="n">
        <x:v>12.74</x:v>
      </x:c>
      <x:c r="F322" s="8" t="n">
        <x:f>C322*D322</x:f>
        <x:v>1874.2499999999998</x:v>
      </x:c>
      <x:c r="G322" s="8" t="n">
        <x:f>C322*E322</x:f>
        <x:v>955.5</x:v>
      </x:c>
      <x:c r="H322" s="8" t="n">
        <x:f>F322-G322</x:f>
        <x:v>918.7499999999998</x:v>
      </x:c>
      <x:c r="I322" s="10" t="n">
        <x:f>H322/F322</x:f>
        <x:v>0.4901960784313725</x:v>
      </x:c>
    </x:row>
    <x:row r="323" ht="22" customHeight="1">
      <x:c r="A323" s="11" t="str">
        <x:v>1283</x:v>
      </x:c>
      <x:c r="B323" s="8" t="str">
        <x:v>Contoso Mini Battery Charger Kit E320 White</x:v>
      </x:c>
      <x:c r="C323" s="8" t="n">
        <x:v>54</x:v>
      </x:c>
      <x:c r="D323" s="9" t="n">
        <x:v>24.99</x:v>
      </x:c>
      <x:c r="E323" s="9" t="n">
        <x:v>12.74</x:v>
      </x:c>
      <x:c r="F323" s="8" t="n">
        <x:f>C323*D323</x:f>
        <x:v>1349.4599999999998</x:v>
      </x:c>
      <x:c r="G323" s="8" t="n">
        <x:f>C323*E323</x:f>
        <x:v>687.96</x:v>
      </x:c>
      <x:c r="H323" s="8" t="n">
        <x:f>F323-G323</x:f>
        <x:v>661.4999999999998</x:v>
      </x:c>
      <x:c r="I323" s="10" t="n">
        <x:f>H323/F323</x:f>
        <x:v>0.4901960784313725</x:v>
      </x:c>
    </x:row>
    <x:row r="324" ht="22" customHeight="1">
      <x:c r="A324" s="11" t="str">
        <x:v>1284</x:v>
      </x:c>
      <x:c r="B324" s="8" t="str">
        <x:v>Contoso Mini Battery Charger Kit E320 Black</x:v>
      </x:c>
      <x:c r="C324" s="8" t="n">
        <x:v>78</x:v>
      </x:c>
      <x:c r="D324" s="9" t="n">
        <x:v>24.99</x:v>
      </x:c>
      <x:c r="E324" s="9" t="n">
        <x:v>12.74</x:v>
      </x:c>
      <x:c r="F324" s="8" t="n">
        <x:f>C324*D324</x:f>
        <x:v>1949.2199999999998</x:v>
      </x:c>
      <x:c r="G324" s="8" t="n">
        <x:f>C324*E324</x:f>
        <x:v>993.72</x:v>
      </x:c>
      <x:c r="H324" s="8" t="n">
        <x:f>F324-G324</x:f>
        <x:v>955.4999999999998</x:v>
      </x:c>
      <x:c r="I324" s="10" t="n">
        <x:f>H324/F324</x:f>
        <x:v>0.4901960784313725</x:v>
      </x:c>
    </x:row>
    <x:row r="325" ht="22" customHeight="1">
      <x:c r="A325" s="11" t="str">
        <x:v>1285</x:v>
      </x:c>
      <x:c r="B325" s="8" t="str">
        <x:v>Contoso Mini Battery Charger Kit E320 Silver</x:v>
      </x:c>
      <x:c r="C325" s="8" t="n">
        <x:v>31</x:v>
      </x:c>
      <x:c r="D325" s="9" t="n">
        <x:v>24.99</x:v>
      </x:c>
      <x:c r="E325" s="9" t="n">
        <x:v>12.74</x:v>
      </x:c>
      <x:c r="F325" s="8" t="n">
        <x:f>C325*D325</x:f>
        <x:v>774.6899999999999</x:v>
      </x:c>
      <x:c r="G325" s="8" t="n">
        <x:f>C325*E325</x:f>
        <x:v>394.94</x:v>
      </x:c>
      <x:c r="H325" s="8" t="n">
        <x:f>F325-G325</x:f>
        <x:v>379.74999999999994</x:v>
      </x:c>
      <x:c r="I325" s="10" t="n">
        <x:f>H325/F325</x:f>
        <x:v>0.49019607843137253</x:v>
      </x:c>
    </x:row>
    <x:row r="326" ht="22" customHeight="1">
      <x:c r="A326" s="11" t="str">
        <x:v>1286</x:v>
      </x:c>
      <x:c r="B326" s="8" t="str">
        <x:v>Contoso Genuine Leather Grip Belt E322 Black</x:v>
      </x:c>
      <x:c r="C326" s="8" t="n">
        <x:v>48</x:v>
      </x:c>
      <x:c r="D326" s="9" t="n">
        <x:v>77.99</x:v>
      </x:c>
      <x:c r="E326" s="9" t="n">
        <x:v>39.76</x:v>
      </x:c>
      <x:c r="F326" s="8" t="n">
        <x:f>C326*D326</x:f>
        <x:v>3743.5199999999995</x:v>
      </x:c>
      <x:c r="G326" s="8" t="n">
        <x:f>C326*E326</x:f>
        <x:v>1908.48</x:v>
      </x:c>
      <x:c r="H326" s="8" t="n">
        <x:f>F326-G326</x:f>
        <x:v>1835.0399999999995</x:v>
      </x:c>
      <x:c r="I326" s="10" t="n">
        <x:f>H326/F326</x:f>
        <x:v>0.4901910501346326</x:v>
      </x:c>
    </x:row>
    <x:row r="327" ht="22" customHeight="1">
      <x:c r="A327" s="11" t="str">
        <x:v>1287</x:v>
      </x:c>
      <x:c r="B327" s="8" t="str">
        <x:v>Contoso Genuine Leather Grip Belt E322 White</x:v>
      </x:c>
      <x:c r="C327" s="8" t="n">
        <x:v>57</x:v>
      </x:c>
      <x:c r="D327" s="9" t="n">
        <x:v>77.99</x:v>
      </x:c>
      <x:c r="E327" s="9" t="n">
        <x:v>39.76</x:v>
      </x:c>
      <x:c r="F327" s="8" t="n">
        <x:f>C327*D327</x:f>
        <x:v>4445.429999999999</x:v>
      </x:c>
      <x:c r="G327" s="8" t="n">
        <x:f>C327*E327</x:f>
        <x:v>2266.3199999999997</x:v>
      </x:c>
      <x:c r="H327" s="8" t="n">
        <x:f>F327-G327</x:f>
        <x:v>2179.1099999999997</x:v>
      </x:c>
      <x:c r="I327" s="10" t="n">
        <x:f>H327/F327</x:f>
        <x:v>0.49019105013463266</x:v>
      </x:c>
    </x:row>
    <x:row r="328" ht="22" customHeight="1">
      <x:c r="A328" s="11" t="str">
        <x:v>1288</x:v>
      </x:c>
      <x:c r="B328" s="8" t="str">
        <x:v>Contoso Genuine Leather Grip Belt E322 Silver</x:v>
      </x:c>
      <x:c r="C328" s="8" t="n">
        <x:v>45</x:v>
      </x:c>
      <x:c r="D328" s="9" t="n">
        <x:v>77.99</x:v>
      </x:c>
      <x:c r="E328" s="9" t="n">
        <x:v>39.76</x:v>
      </x:c>
      <x:c r="F328" s="8" t="n">
        <x:f>C328*D328</x:f>
        <x:v>3509.5499999999997</x:v>
      </x:c>
      <x:c r="G328" s="8" t="n">
        <x:f>C328*E328</x:f>
        <x:v>1789.1999999999998</x:v>
      </x:c>
      <x:c r="H328" s="8" t="n">
        <x:f>F328-G328</x:f>
        <x:v>1720.35</x:v>
      </x:c>
      <x:c r="I328" s="10" t="n">
        <x:f>H328/F328</x:f>
        <x:v>0.49019105013463266</x:v>
      </x:c>
    </x:row>
    <x:row r="329" ht="22" customHeight="1">
      <x:c r="A329" s="11" t="str">
        <x:v>1289</x:v>
      </x:c>
      <x:c r="B329" s="8" t="str">
        <x:v>Contoso Genuine Leather Grip Belt E322 Grey</x:v>
      </x:c>
      <x:c r="C329" s="8" t="n">
        <x:v>71</x:v>
      </x:c>
      <x:c r="D329" s="9" t="n">
        <x:v>77.99</x:v>
      </x:c>
      <x:c r="E329" s="9" t="n">
        <x:v>39.76</x:v>
      </x:c>
      <x:c r="F329" s="8" t="n">
        <x:f>C329*D329</x:f>
        <x:v>5537.29</x:v>
      </x:c>
      <x:c r="G329" s="8" t="n">
        <x:f>C329*E329</x:f>
        <x:v>2822.96</x:v>
      </x:c>
      <x:c r="H329" s="8" t="n">
        <x:f>F329-G329</x:f>
        <x:v>2714.33</x:v>
      </x:c>
      <x:c r="I329" s="10" t="n">
        <x:f>H329/F329</x:f>
        <x:v>0.49019105013463266</x:v>
      </x:c>
    </x:row>
    <x:row r="330" ht="22" customHeight="1">
      <x:c r="A330" s="11" t="str">
        <x:v>129</x:v>
      </x:c>
      <x:c r="B330" s="8" t="str">
        <x:v>Adventure Works 20" Analog CRT TV E45 Silver</x:v>
      </x:c>
      <x:c r="C330" s="8" t="n">
        <x:v>95</x:v>
      </x:c>
      <x:c r="D330" s="9" t="n">
        <x:v>200</x:v>
      </x:c>
      <x:c r="E330" s="9" t="n">
        <x:v>101.97</x:v>
      </x:c>
      <x:c r="F330" s="8" t="n">
        <x:f>C330*D330</x:f>
        <x:v>19000</x:v>
      </x:c>
      <x:c r="G330" s="8" t="n">
        <x:f>C330*E330</x:f>
        <x:v>9687.15</x:v>
      </x:c>
      <x:c r="H330" s="8" t="n">
        <x:f>F330-G330</x:f>
        <x:v>9312.85</x:v>
      </x:c>
      <x:c r="I330" s="10" t="n">
        <x:f>H330/F330</x:f>
        <x:v>0.49015000000000003</x:v>
      </x:c>
    </x:row>
    <x:row r="331" ht="22" customHeight="1">
      <x:c r="A331" s="11" t="str">
        <x:v>1290</x:v>
      </x:c>
      <x:c r="B331" s="8" t="str">
        <x:v>Contoso Macro Zoom Lens X300 Silver</x:v>
      </x:c>
      <x:c r="C331" s="8" t="n">
        <x:v>36</x:v>
      </x:c>
      <x:c r="D331" s="9" t="n">
        <x:v>366.55</x:v>
      </x:c>
      <x:c r="E331" s="9" t="n">
        <x:v>121.45</x:v>
      </x:c>
      <x:c r="F331" s="8" t="n">
        <x:f>C331*D331</x:f>
        <x:v>13195.800000000001</x:v>
      </x:c>
      <x:c r="G331" s="8" t="n">
        <x:f>C331*E331</x:f>
        <x:v>4372.2</x:v>
      </x:c>
      <x:c r="H331" s="8" t="n">
        <x:f>F331-G331</x:f>
        <x:v>8823.600000000002</x:v>
      </x:c>
      <x:c r="I331" s="10" t="n">
        <x:f>H331/F331</x:f>
        <x:v>0.668667303232847</x:v>
      </x:c>
    </x:row>
    <x:row r="332" ht="22" customHeight="1">
      <x:c r="A332" s="11" t="str">
        <x:v>1291</x:v>
      </x:c>
      <x:c r="B332" s="8" t="str">
        <x:v>Contoso Macro Zoom Lens X300 White</x:v>
      </x:c>
      <x:c r="C332" s="8" t="n">
        <x:v>74</x:v>
      </x:c>
      <x:c r="D332" s="9" t="n">
        <x:v>366.55</x:v>
      </x:c>
      <x:c r="E332" s="9" t="n">
        <x:v>121.45</x:v>
      </x:c>
      <x:c r="F332" s="8" t="n">
        <x:f>C332*D332</x:f>
        <x:v>27124.7</x:v>
      </x:c>
      <x:c r="G332" s="8" t="n">
        <x:f>C332*E332</x:f>
        <x:v>8987.300000000001</x:v>
      </x:c>
      <x:c r="H332" s="8" t="n">
        <x:f>F332-G332</x:f>
        <x:v>18137.4</x:v>
      </x:c>
      <x:c r="I332" s="10" t="n">
        <x:f>H332/F332</x:f>
        <x:v>0.6686673032328468</x:v>
      </x:c>
    </x:row>
    <x:row r="333" ht="22" customHeight="1">
      <x:c r="A333" s="11" t="str">
        <x:v>1292</x:v>
      </x:c>
      <x:c r="B333" s="8" t="str">
        <x:v>Contoso Macro Zoom Lens X300 Black</x:v>
      </x:c>
      <x:c r="C333" s="8" t="n">
        <x:v>95</x:v>
      </x:c>
      <x:c r="D333" s="9" t="n">
        <x:v>366.55</x:v>
      </x:c>
      <x:c r="E333" s="9" t="n">
        <x:v>121.45</x:v>
      </x:c>
      <x:c r="F333" s="8" t="n">
        <x:f>C333*D333</x:f>
        <x:v>34822.25</x:v>
      </x:c>
      <x:c r="G333" s="8" t="n">
        <x:f>C333*E333</x:f>
        <x:v>11537.75</x:v>
      </x:c>
      <x:c r="H333" s="8" t="n">
        <x:f>F333-G333</x:f>
        <x:v>23284.5</x:v>
      </x:c>
      <x:c r="I333" s="10" t="n">
        <x:f>H333/F333</x:f>
        <x:v>0.6686673032328468</x:v>
      </x:c>
    </x:row>
    <x:row r="334" ht="22" customHeight="1">
      <x:c r="A334" s="11" t="str">
        <x:v>1293</x:v>
      </x:c>
      <x:c r="B334" s="8" t="str">
        <x:v>Contoso Telephoto Conversion Lens X400 Silver</x:v>
      </x:c>
      <x:c r="C334" s="8" t="n">
        <x:v>42</x:v>
      </x:c>
      <x:c r="D334" s="9" t="n">
        <x:v>595</x:v>
      </x:c>
      <x:c r="E334" s="9" t="n">
        <x:v>197.14</x:v>
      </x:c>
      <x:c r="F334" s="8" t="n">
        <x:f>C334*D334</x:f>
        <x:v>24990</x:v>
      </x:c>
      <x:c r="G334" s="8" t="n">
        <x:f>C334*E334</x:f>
        <x:v>8279.88</x:v>
      </x:c>
      <x:c r="H334" s="8" t="n">
        <x:f>F334-G334</x:f>
        <x:v>16710.120000000003</x:v>
      </x:c>
      <x:c r="I334" s="10" t="n">
        <x:f>H334/F334</x:f>
        <x:v>0.6686722689075631</x:v>
      </x:c>
    </x:row>
    <x:row r="335" ht="22" customHeight="1">
      <x:c r="A335" s="11" t="str">
        <x:v>1294</x:v>
      </x:c>
      <x:c r="B335" s="8" t="str">
        <x:v>Contoso Telephoto Conversion Lens X400 White</x:v>
      </x:c>
      <x:c r="C335" s="8" t="n">
        <x:v>45</x:v>
      </x:c>
      <x:c r="D335" s="9" t="n">
        <x:v>595</x:v>
      </x:c>
      <x:c r="E335" s="9" t="n">
        <x:v>197.14</x:v>
      </x:c>
      <x:c r="F335" s="8" t="n">
        <x:f>C335*D335</x:f>
        <x:v>26775</x:v>
      </x:c>
      <x:c r="G335" s="8" t="n">
        <x:f>C335*E335</x:f>
        <x:v>8871.3</x:v>
      </x:c>
      <x:c r="H335" s="8" t="n">
        <x:f>F335-G335</x:f>
        <x:v>17903.7</x:v>
      </x:c>
      <x:c r="I335" s="10" t="n">
        <x:f>H335/F335</x:f>
        <x:v>0.668672268907563</x:v>
      </x:c>
    </x:row>
    <x:row r="336" ht="22" customHeight="1">
      <x:c r="A336" s="11" t="str">
        <x:v>1295</x:v>
      </x:c>
      <x:c r="B336" s="8" t="str">
        <x:v>Contoso Telephoto Conversion Lens X400 Black</x:v>
      </x:c>
      <x:c r="C336" s="8" t="n">
        <x:v>56</x:v>
      </x:c>
      <x:c r="D336" s="9" t="n">
        <x:v>595</x:v>
      </x:c>
      <x:c r="E336" s="9" t="n">
        <x:v>197.14</x:v>
      </x:c>
      <x:c r="F336" s="8" t="n">
        <x:f>C336*D336</x:f>
        <x:v>33320</x:v>
      </x:c>
      <x:c r="G336" s="8" t="n">
        <x:f>C336*E336</x:f>
        <x:v>11039.84</x:v>
      </x:c>
      <x:c r="H336" s="8" t="n">
        <x:f>F336-G336</x:f>
        <x:v>22280.16</x:v>
      </x:c>
      <x:c r="I336" s="10" t="n">
        <x:f>H336/F336</x:f>
        <x:v>0.668672268907563</x:v>
      </x:c>
    </x:row>
    <x:row r="337" ht="22" customHeight="1">
      <x:c r="A337" s="11" t="str">
        <x:v>1296</x:v>
      </x:c>
      <x:c r="B337" s="8" t="str">
        <x:v>Contoso USB Cable M250 Black</x:v>
      </x:c>
      <x:c r="C337" s="8" t="n">
        <x:v>92</x:v>
      </x:c>
      <x:c r="D337" s="9" t="n">
        <x:v>25</x:v>
      </x:c>
      <x:c r="E337" s="9" t="n">
        <x:v>11.5</x:v>
      </x:c>
      <x:c r="F337" s="8" t="n">
        <x:f>C337*D337</x:f>
        <x:v>2300</x:v>
      </x:c>
      <x:c r="G337" s="8" t="n">
        <x:f>C337*E337</x:f>
        <x:v>1058</x:v>
      </x:c>
      <x:c r="H337" s="8" t="n">
        <x:f>F337-G337</x:f>
        <x:v>1242</x:v>
      </x:c>
      <x:c r="I337" s="10" t="n">
        <x:f>H337/F337</x:f>
        <x:v>0.54</x:v>
      </x:c>
    </x:row>
    <x:row r="338" ht="22" customHeight="1">
      <x:c r="A338" s="11" t="str">
        <x:v>1297</x:v>
      </x:c>
      <x:c r="B338" s="8" t="str">
        <x:v>Contoso USB Cable M250 White</x:v>
      </x:c>
      <x:c r="C338" s="8" t="n">
        <x:v>68</x:v>
      </x:c>
      <x:c r="D338" s="9" t="n">
        <x:v>25</x:v>
      </x:c>
      <x:c r="E338" s="9" t="n">
        <x:v>11.5</x:v>
      </x:c>
      <x:c r="F338" s="8" t="n">
        <x:f>C338*D338</x:f>
        <x:v>1700</x:v>
      </x:c>
      <x:c r="G338" s="8" t="n">
        <x:f>C338*E338</x:f>
        <x:v>782</x:v>
      </x:c>
      <x:c r="H338" s="8" t="n">
        <x:f>F338-G338</x:f>
        <x:v>918</x:v>
      </x:c>
      <x:c r="I338" s="10" t="n">
        <x:f>H338/F338</x:f>
        <x:v>0.54</x:v>
      </x:c>
    </x:row>
    <x:row r="339" ht="22" customHeight="1">
      <x:c r="A339" s="11" t="str">
        <x:v>1298</x:v>
      </x:c>
      <x:c r="B339" s="8" t="str">
        <x:v>Contoso USB Cable M250 Yellow</x:v>
      </x:c>
      <x:c r="C339" s="8" t="n">
        <x:v>87</x:v>
      </x:c>
      <x:c r="D339" s="9" t="n">
        <x:v>25</x:v>
      </x:c>
      <x:c r="E339" s="9" t="n">
        <x:v>11.5</x:v>
      </x:c>
      <x:c r="F339" s="8" t="n">
        <x:f>C339*D339</x:f>
        <x:v>2175</x:v>
      </x:c>
      <x:c r="G339" s="8" t="n">
        <x:f>C339*E339</x:f>
        <x:v>1000.5</x:v>
      </x:c>
      <x:c r="H339" s="8" t="n">
        <x:f>F339-G339</x:f>
        <x:v>1174.5</x:v>
      </x:c>
      <x:c r="I339" s="10" t="n">
        <x:f>H339/F339</x:f>
        <x:v>0.54</x:v>
      </x:c>
    </x:row>
    <x:row r="340" ht="22" customHeight="1">
      <x:c r="A340" s="11" t="str">
        <x:v>1299</x:v>
      </x:c>
      <x:c r="B340" s="8" t="str">
        <x:v>Contoso USB Cable M250 Blue</x:v>
      </x:c>
      <x:c r="C340" s="8" t="n">
        <x:v>30</x:v>
      </x:c>
      <x:c r="D340" s="9" t="n">
        <x:v>25</x:v>
      </x:c>
      <x:c r="E340" s="9" t="n">
        <x:v>11.5</x:v>
      </x:c>
      <x:c r="F340" s="8" t="n">
        <x:f>C340*D340</x:f>
        <x:v>750</x:v>
      </x:c>
      <x:c r="G340" s="8" t="n">
        <x:f>C340*E340</x:f>
        <x:v>345</x:v>
      </x:c>
      <x:c r="H340" s="8" t="n">
        <x:f>F340-G340</x:f>
        <x:v>405</x:v>
      </x:c>
      <x:c r="I340" s="10" t="n">
        <x:f>H340/F340</x:f>
        <x:v>0.54</x:v>
      </x:c>
    </x:row>
    <x:row r="341" ht="22" customHeight="1">
      <x:c r="A341" s="11" t="str">
        <x:v>13</x:v>
      </x:c>
      <x:c r="B341" s="8" t="str">
        <x:v>Contoso 4GB Flash MP3 Player E401 Black</x:v>
      </x:c>
      <x:c r="C341" s="8" t="n">
        <x:v>71</x:v>
      </x:c>
      <x:c r="D341" s="9" t="n">
        <x:v>77.68</x:v>
      </x:c>
      <x:c r="E341" s="9" t="n">
        <x:v>35.72</x:v>
      </x:c>
      <x:c r="F341" s="8" t="n">
        <x:f>C341*D341</x:f>
        <x:v>5515.280000000001</x:v>
      </x:c>
      <x:c r="G341" s="8" t="n">
        <x:f>C341*E341</x:f>
        <x:v>2536.12</x:v>
      </x:c>
      <x:c r="H341" s="8" t="n">
        <x:f>F341-G341</x:f>
        <x:v>2979.1600000000008</x:v>
      </x:c>
      <x:c r="I341" s="10" t="n">
        <x:f>H341/F341</x:f>
        <x:v>0.5401647785787849</x:v>
      </x:c>
    </x:row>
    <x:row r="342" ht="22" customHeight="1">
      <x:c r="A342" s="11" t="str">
        <x:v>130</x:v>
      </x:c>
      <x:c r="B342" s="8" t="str">
        <x:v>Adventure Works 20" Analog CRT TV E45 Black</x:v>
      </x:c>
      <x:c r="C342" s="8" t="n">
        <x:v>64</x:v>
      </x:c>
      <x:c r="D342" s="9" t="n">
        <x:v>200</x:v>
      </x:c>
      <x:c r="E342" s="9" t="n">
        <x:v>101.97</x:v>
      </x:c>
      <x:c r="F342" s="8" t="n">
        <x:f>C342*D342</x:f>
        <x:v>12800</x:v>
      </x:c>
      <x:c r="G342" s="8" t="n">
        <x:f>C342*E342</x:f>
        <x:v>6526.08</x:v>
      </x:c>
      <x:c r="H342" s="8" t="n">
        <x:f>F342-G342</x:f>
        <x:v>6273.92</x:v>
      </x:c>
      <x:c r="I342" s="10" t="n">
        <x:f>H342/F342</x:f>
        <x:v>0.49015000000000003</x:v>
      </x:c>
    </x:row>
    <x:row r="343" ht="22" customHeight="1">
      <x:c r="A343" s="11" t="str">
        <x:v>1300</x:v>
      </x:c>
      <x:c r="B343" s="8" t="str">
        <x:v>Contoso Telephoto Conversion Lens M350 Black</x:v>
      </x:c>
      <x:c r="C343" s="8" t="n">
        <x:v>84</x:v>
      </x:c>
      <x:c r="D343" s="9" t="n">
        <x:v>95</x:v>
      </x:c>
      <x:c r="E343" s="9" t="n">
        <x:v>43.69</x:v>
      </x:c>
      <x:c r="F343" s="8" t="n">
        <x:f>C343*D343</x:f>
        <x:v>7980</x:v>
      </x:c>
      <x:c r="G343" s="8" t="n">
        <x:f>C343*E343</x:f>
        <x:v>3669.96</x:v>
      </x:c>
      <x:c r="H343" s="8" t="n">
        <x:f>F343-G343</x:f>
        <x:v>4310.04</x:v>
      </x:c>
      <x:c r="I343" s="10" t="n">
        <x:f>H343/F343</x:f>
        <x:v>0.5401052631578948</x:v>
      </x:c>
    </x:row>
    <x:row r="344" ht="22" customHeight="1">
      <x:c r="A344" s="11" t="str">
        <x:v>1301</x:v>
      </x:c>
      <x:c r="B344" s="8" t="str">
        <x:v>Contoso Telephoto Conversion Lens M350 White</x:v>
      </x:c>
      <x:c r="C344" s="8" t="n">
        <x:v>68</x:v>
      </x:c>
      <x:c r="D344" s="9" t="n">
        <x:v>95</x:v>
      </x:c>
      <x:c r="E344" s="9" t="n">
        <x:v>43.69</x:v>
      </x:c>
      <x:c r="F344" s="8" t="n">
        <x:f>C344*D344</x:f>
        <x:v>6460</x:v>
      </x:c>
      <x:c r="G344" s="8" t="n">
        <x:f>C344*E344</x:f>
        <x:v>2970.92</x:v>
      </x:c>
      <x:c r="H344" s="8" t="n">
        <x:f>F344-G344</x:f>
        <x:v>3489.08</x:v>
      </x:c>
      <x:c r="I344" s="10" t="n">
        <x:f>H344/F344</x:f>
        <x:v>0.5401052631578948</x:v>
      </x:c>
    </x:row>
    <x:row r="345" ht="22" customHeight="1">
      <x:c r="A345" s="11" t="str">
        <x:v>1302</x:v>
      </x:c>
      <x:c r="B345" s="8" t="str">
        <x:v>Contoso Telephoto Conversion Lens M350 Silver</x:v>
      </x:c>
      <x:c r="C345" s="8" t="n">
        <x:v>73</x:v>
      </x:c>
      <x:c r="D345" s="9" t="n">
        <x:v>95</x:v>
      </x:c>
      <x:c r="E345" s="9" t="n">
        <x:v>43.69</x:v>
      </x:c>
      <x:c r="F345" s="8" t="n">
        <x:f>C345*D345</x:f>
        <x:v>6935</x:v>
      </x:c>
      <x:c r="G345" s="8" t="n">
        <x:f>C345*E345</x:f>
        <x:v>3189.37</x:v>
      </x:c>
      <x:c r="H345" s="8" t="n">
        <x:f>F345-G345</x:f>
        <x:v>3745.63</x:v>
      </x:c>
      <x:c r="I345" s="10" t="n">
        <x:f>H345/F345</x:f>
        <x:v>0.5401052631578948</x:v>
      </x:c>
    </x:row>
    <x:row r="346" ht="22" customHeight="1">
      <x:c r="A346" s="11" t="str">
        <x:v>1303</x:v>
      </x:c>
      <x:c r="B346" s="8" t="str">
        <x:v>Contoso Telephoto Conversion Lens M350 Blue</x:v>
      </x:c>
      <x:c r="C346" s="8" t="n">
        <x:v>83</x:v>
      </x:c>
      <x:c r="D346" s="9" t="n">
        <x:v>95</x:v>
      </x:c>
      <x:c r="E346" s="9" t="n">
        <x:v>43.69</x:v>
      </x:c>
      <x:c r="F346" s="8" t="n">
        <x:f>C346*D346</x:f>
        <x:v>7885</x:v>
      </x:c>
      <x:c r="G346" s="8" t="n">
        <x:f>C346*E346</x:f>
        <x:v>3626.27</x:v>
      </x:c>
      <x:c r="H346" s="8" t="n">
        <x:f>F346-G346</x:f>
        <x:v>4258.73</x:v>
      </x:c>
      <x:c r="I346" s="10" t="n">
        <x:f>H346/F346</x:f>
        <x:v>0.5401052631578946</x:v>
      </x:c>
    </x:row>
    <x:row r="347" ht="22" customHeight="1">
      <x:c r="A347" s="11" t="str">
        <x:v>1304</x:v>
      </x:c>
      <x:c r="B347" s="8" t="str">
        <x:v>Contoso Lens Adapter M450 White</x:v>
      </x:c>
      <x:c r="C347" s="8" t="n">
        <x:v>49</x:v>
      </x:c>
      <x:c r="D347" s="9" t="n">
        <x:v>68</x:v>
      </x:c>
      <x:c r="E347" s="9" t="n">
        <x:v>31.27</x:v>
      </x:c>
      <x:c r="F347" s="8" t="n">
        <x:f>C347*D347</x:f>
        <x:v>3332</x:v>
      </x:c>
      <x:c r="G347" s="8" t="n">
        <x:f>C347*E347</x:f>
        <x:v>1532.23</x:v>
      </x:c>
      <x:c r="H347" s="8" t="n">
        <x:f>F347-G347</x:f>
        <x:v>1799.77</x:v>
      </x:c>
      <x:c r="I347" s="10" t="n">
        <x:f>H347/F347</x:f>
        <x:v>0.5401470588235294</x:v>
      </x:c>
    </x:row>
    <x:row r="348" ht="22" customHeight="1">
      <x:c r="A348" s="11" t="str">
        <x:v>1305</x:v>
      </x:c>
      <x:c r="B348" s="8" t="str">
        <x:v>Contoso Lens Adapter M450 Silver</x:v>
      </x:c>
      <x:c r="C348" s="8" t="n">
        <x:v>81</x:v>
      </x:c>
      <x:c r="D348" s="9" t="n">
        <x:v>68</x:v>
      </x:c>
      <x:c r="E348" s="9" t="n">
        <x:v>31.27</x:v>
      </x:c>
      <x:c r="F348" s="8" t="n">
        <x:f>C348*D348</x:f>
        <x:v>5508</x:v>
      </x:c>
      <x:c r="G348" s="8" t="n">
        <x:f>C348*E348</x:f>
        <x:v>2532.87</x:v>
      </x:c>
      <x:c r="H348" s="8" t="n">
        <x:f>F348-G348</x:f>
        <x:v>2975.13</x:v>
      </x:c>
      <x:c r="I348" s="10" t="n">
        <x:f>H348/F348</x:f>
        <x:v>0.5401470588235294</x:v>
      </x:c>
    </x:row>
    <x:row r="349" ht="22" customHeight="1">
      <x:c r="A349" s="11" t="str">
        <x:v>1306</x:v>
      </x:c>
      <x:c r="B349" s="8" t="str">
        <x:v>Contoso Lens Adapter M450 Black</x:v>
      </x:c>
      <x:c r="C349" s="8" t="n">
        <x:v>71</x:v>
      </x:c>
      <x:c r="D349" s="9" t="n">
        <x:v>68</x:v>
      </x:c>
      <x:c r="E349" s="9" t="n">
        <x:v>31.27</x:v>
      </x:c>
      <x:c r="F349" s="8" t="n">
        <x:f>C349*D349</x:f>
        <x:v>4828</x:v>
      </x:c>
      <x:c r="G349" s="8" t="n">
        <x:f>C349*E349</x:f>
        <x:v>2220.17</x:v>
      </x:c>
      <x:c r="H349" s="8" t="n">
        <x:f>F349-G349</x:f>
        <x:v>2607.83</x:v>
      </x:c>
      <x:c r="I349" s="10" t="n">
        <x:f>H349/F349</x:f>
        <x:v>0.5401470588235294</x:v>
      </x:c>
    </x:row>
    <x:row r="350" ht="22" customHeight="1">
      <x:c r="A350" s="11" t="str">
        <x:v>1307</x:v>
      </x:c>
      <x:c r="B350" s="8" t="str">
        <x:v>Contoso Lens Adapter M450 Grey</x:v>
      </x:c>
      <x:c r="C350" s="8" t="n">
        <x:v>86</x:v>
      </x:c>
      <x:c r="D350" s="9" t="n">
        <x:v>68</x:v>
      </x:c>
      <x:c r="E350" s="9" t="n">
        <x:v>31.27</x:v>
      </x:c>
      <x:c r="F350" s="8" t="n">
        <x:f>C350*D350</x:f>
        <x:v>5848</x:v>
      </x:c>
      <x:c r="G350" s="8" t="n">
        <x:f>C350*E350</x:f>
        <x:v>2689.22</x:v>
      </x:c>
      <x:c r="H350" s="8" t="n">
        <x:f>F350-G350</x:f>
        <x:v>3158.78</x:v>
      </x:c>
      <x:c r="I350" s="10" t="n">
        <x:f>H350/F350</x:f>
        <x:v>0.5401470588235294</x:v>
      </x:c>
    </x:row>
    <x:row r="351" ht="22" customHeight="1">
      <x:c r="A351" s="11" t="str">
        <x:v>1308</x:v>
      </x:c>
      <x:c r="B351" s="8" t="str">
        <x:v>Contoso Digital Camera/Camcorder USB Cable E324 Purple</x:v>
      </x:c>
      <x:c r="C351" s="8" t="n">
        <x:v>97</x:v>
      </x:c>
      <x:c r="D351" s="9" t="n">
        <x:v>28</x:v>
      </x:c>
      <x:c r="E351" s="9" t="n">
        <x:v>14.28</x:v>
      </x:c>
      <x:c r="F351" s="8" t="n">
        <x:f>C351*D351</x:f>
        <x:v>2716</x:v>
      </x:c>
      <x:c r="G351" s="8" t="n">
        <x:f>C351*E351</x:f>
        <x:v>1385.1599999999999</x:v>
      </x:c>
      <x:c r="H351" s="8" t="n">
        <x:f>F351-G351</x:f>
        <x:v>1330.8400000000001</x:v>
      </x:c>
      <x:c r="I351" s="10" t="n">
        <x:f>H351/F351</x:f>
        <x:v>0.49000000000000005</x:v>
      </x:c>
    </x:row>
    <x:row r="352" ht="22" customHeight="1">
      <x:c r="A352" s="11" t="str">
        <x:v>1309</x:v>
      </x:c>
      <x:c r="B352" s="8" t="str">
        <x:v>Contoso Digital Camera/Camcorder USB Cable E324 Black</x:v>
      </x:c>
      <x:c r="C352" s="8" t="n">
        <x:v>53</x:v>
      </x:c>
      <x:c r="D352" s="9" t="n">
        <x:v>28</x:v>
      </x:c>
      <x:c r="E352" s="9" t="n">
        <x:v>14.28</x:v>
      </x:c>
      <x:c r="F352" s="8" t="n">
        <x:f>C352*D352</x:f>
        <x:v>1484</x:v>
      </x:c>
      <x:c r="G352" s="8" t="n">
        <x:f>C352*E352</x:f>
        <x:v>756.8399999999999</x:v>
      </x:c>
      <x:c r="H352" s="8" t="n">
        <x:f>F352-G352</x:f>
        <x:v>727.1600000000001</x:v>
      </x:c>
      <x:c r="I352" s="10" t="n">
        <x:f>H352/F352</x:f>
        <x:v>0.49000000000000005</x:v>
      </x:c>
    </x:row>
    <x:row r="353" ht="22" customHeight="1">
      <x:c r="A353" s="11" t="str">
        <x:v>131</x:v>
      </x:c>
      <x:c r="B353" s="8" t="str">
        <x:v>Adventure Works 20" Analog CRT TV E45 White</x:v>
      </x:c>
      <x:c r="C353" s="8" t="n">
        <x:v>95</x:v>
      </x:c>
      <x:c r="D353" s="9" t="n">
        <x:v>200</x:v>
      </x:c>
      <x:c r="E353" s="9" t="n">
        <x:v>101.97</x:v>
      </x:c>
      <x:c r="F353" s="8" t="n">
        <x:f>C353*D353</x:f>
        <x:v>19000</x:v>
      </x:c>
      <x:c r="G353" s="8" t="n">
        <x:f>C353*E353</x:f>
        <x:v>9687.15</x:v>
      </x:c>
      <x:c r="H353" s="8" t="n">
        <x:f>F353-G353</x:f>
        <x:v>9312.85</x:v>
      </x:c>
      <x:c r="I353" s="10" t="n">
        <x:f>H353/F353</x:f>
        <x:v>0.49015000000000003</x:v>
      </x:c>
    </x:row>
    <x:row r="354" ht="22" customHeight="1">
      <x:c r="A354" s="11" t="str">
        <x:v>1310</x:v>
      </x:c>
      <x:c r="B354" s="8" t="str">
        <x:v>Contoso Digital Camera/Camcorder USB Cable E324 Silver</x:v>
      </x:c>
      <x:c r="C354" s="8" t="n">
        <x:v>44</x:v>
      </x:c>
      <x:c r="D354" s="9" t="n">
        <x:v>28</x:v>
      </x:c>
      <x:c r="E354" s="9" t="n">
        <x:v>14.28</x:v>
      </x:c>
      <x:c r="F354" s="8" t="n">
        <x:f>C354*D354</x:f>
        <x:v>1232</x:v>
      </x:c>
      <x:c r="G354" s="8" t="n">
        <x:f>C354*E354</x:f>
        <x:v>628.3199999999999</x:v>
      </x:c>
      <x:c r="H354" s="8" t="n">
        <x:f>F354-G354</x:f>
        <x:v>603.6800000000001</x:v>
      </x:c>
      <x:c r="I354" s="10" t="n">
        <x:f>H354/F354</x:f>
        <x:v>0.49000000000000005</x:v>
      </x:c>
    </x:row>
    <x:row r="355" ht="22" customHeight="1">
      <x:c r="A355" s="11" t="str">
        <x:v>1311</x:v>
      </x:c>
      <x:c r="B355" s="8" t="str">
        <x:v>Contoso Digital Camera/Camcorder USB Cable E324 White</x:v>
      </x:c>
      <x:c r="C355" s="8" t="n">
        <x:v>93</x:v>
      </x:c>
      <x:c r="D355" s="9" t="n">
        <x:v>28</x:v>
      </x:c>
      <x:c r="E355" s="9" t="n">
        <x:v>14.28</x:v>
      </x:c>
      <x:c r="F355" s="8" t="n">
        <x:f>C355*D355</x:f>
        <x:v>2604</x:v>
      </x:c>
      <x:c r="G355" s="8" t="n">
        <x:f>C355*E355</x:f>
        <x:v>1328.04</x:v>
      </x:c>
      <x:c r="H355" s="8" t="n">
        <x:f>F355-G355</x:f>
        <x:v>1275.96</x:v>
      </x:c>
      <x:c r="I355" s="10" t="n">
        <x:f>H355/F355</x:f>
        <x:v>0.49</x:v>
      </x:c>
    </x:row>
    <x:row r="356" ht="22" customHeight="1">
      <x:c r="A356" s="11" t="str">
        <x:v>1312</x:v>
      </x:c>
      <x:c r="B356" s="8" t="str">
        <x:v>Contoso Conversion Lens M550 Blue</x:v>
      </x:c>
      <x:c r="C356" s="8" t="n">
        <x:v>54</x:v>
      </x:c>
      <x:c r="D356" s="9" t="n">
        <x:v>205</x:v>
      </x:c>
      <x:c r="E356" s="9" t="n">
        <x:v>94.27</x:v>
      </x:c>
      <x:c r="F356" s="8" t="n">
        <x:f>C356*D356</x:f>
        <x:v>11070</x:v>
      </x:c>
      <x:c r="G356" s="8" t="n">
        <x:f>C356*E356</x:f>
        <x:v>5090.58</x:v>
      </x:c>
      <x:c r="H356" s="8" t="n">
        <x:f>F356-G356</x:f>
        <x:v>5979.42</x:v>
      </x:c>
      <x:c r="I356" s="10" t="n">
        <x:f>H356/F356</x:f>
        <x:v>0.5401463414634147</x:v>
      </x:c>
    </x:row>
    <x:row r="357" ht="22" customHeight="1">
      <x:c r="A357" s="11" t="str">
        <x:v>1313</x:v>
      </x:c>
      <x:c r="B357" s="8" t="str">
        <x:v>Contoso Conversion Lens M550 Black</x:v>
      </x:c>
      <x:c r="C357" s="8" t="n">
        <x:v>75</x:v>
      </x:c>
      <x:c r="D357" s="9" t="n">
        <x:v>205</x:v>
      </x:c>
      <x:c r="E357" s="9" t="n">
        <x:v>94.27</x:v>
      </x:c>
      <x:c r="F357" s="8" t="n">
        <x:f>C357*D357</x:f>
        <x:v>15375</x:v>
      </x:c>
      <x:c r="G357" s="8" t="n">
        <x:f>C357*E357</x:f>
        <x:v>7070.25</x:v>
      </x:c>
      <x:c r="H357" s="8" t="n">
        <x:f>F357-G357</x:f>
        <x:v>8304.75</x:v>
      </x:c>
      <x:c r="I357" s="10" t="n">
        <x:f>H357/F357</x:f>
        <x:v>0.5401463414634147</x:v>
      </x:c>
    </x:row>
    <x:row r="358" ht="22" customHeight="1">
      <x:c r="A358" s="11" t="str">
        <x:v>1314</x:v>
      </x:c>
      <x:c r="B358" s="8" t="str">
        <x:v>Contoso Conversion Lens M550 Silver</x:v>
      </x:c>
      <x:c r="C358" s="8" t="n">
        <x:v>56</x:v>
      </x:c>
      <x:c r="D358" s="9" t="n">
        <x:v>205</x:v>
      </x:c>
      <x:c r="E358" s="9" t="n">
        <x:v>94.27</x:v>
      </x:c>
      <x:c r="F358" s="8" t="n">
        <x:f>C358*D358</x:f>
        <x:v>11480</x:v>
      </x:c>
      <x:c r="G358" s="8" t="n">
        <x:f>C358*E358</x:f>
        <x:v>5279.12</x:v>
      </x:c>
      <x:c r="H358" s="8" t="n">
        <x:f>F358-G358</x:f>
        <x:v>6200.88</x:v>
      </x:c>
      <x:c r="I358" s="10" t="n">
        <x:f>H358/F358</x:f>
        <x:v>0.5401463414634147</x:v>
      </x:c>
    </x:row>
    <x:row r="359" ht="22" customHeight="1">
      <x:c r="A359" s="11" t="str">
        <x:v>1315</x:v>
      </x:c>
      <x:c r="B359" s="8" t="str">
        <x:v>Contoso Conversion Lens M550 Pink</x:v>
      </x:c>
      <x:c r="C359" s="8" t="n">
        <x:v>56</x:v>
      </x:c>
      <x:c r="D359" s="9" t="n">
        <x:v>205</x:v>
      </x:c>
      <x:c r="E359" s="9" t="n">
        <x:v>94.27</x:v>
      </x:c>
      <x:c r="F359" s="8" t="n">
        <x:f>C359*D359</x:f>
        <x:v>11480</x:v>
      </x:c>
      <x:c r="G359" s="8" t="n">
        <x:f>C359*E359</x:f>
        <x:v>5279.12</x:v>
      </x:c>
      <x:c r="H359" s="8" t="n">
        <x:f>F359-G359</x:f>
        <x:v>6200.88</x:v>
      </x:c>
      <x:c r="I359" s="10" t="n">
        <x:f>H359/F359</x:f>
        <x:v>0.5401463414634147</x:v>
      </x:c>
    </x:row>
    <x:row r="360" ht="22" customHeight="1">
      <x:c r="A360" s="11" t="str">
        <x:v>1316</x:v>
      </x:c>
      <x:c r="B360" s="8" t="str">
        <x:v>Contoso Single-line phones E10 Black</x:v>
      </x:c>
      <x:c r="C360" s="8" t="n">
        <x:v>52</x:v>
      </x:c>
      <x:c r="D360" s="9" t="n">
        <x:v>9.99</x:v>
      </x:c>
      <x:c r="E360" s="9" t="n">
        <x:v>5.09</x:v>
      </x:c>
      <x:c r="F360" s="8" t="n">
        <x:f>C360*D360</x:f>
        <x:v>519.48</x:v>
      </x:c>
      <x:c r="G360" s="8" t="n">
        <x:f>C360*E360</x:f>
        <x:v>264.68</x:v>
      </x:c>
      <x:c r="H360" s="8" t="n">
        <x:f>F360-G360</x:f>
        <x:v>254.8</x:v>
      </x:c>
      <x:c r="I360" s="10" t="n">
        <x:f>H360/F360</x:f>
        <x:v>0.4904904904904905</x:v>
      </x:c>
    </x:row>
    <x:row r="361" ht="22" customHeight="1">
      <x:c r="A361" s="11" t="str">
        <x:v>1317</x:v>
      </x:c>
      <x:c r="B361" s="8" t="str">
        <x:v>Contoso Dual Handset Cordless Phone System  E20 Black</x:v>
      </x:c>
      <x:c r="C361" s="8" t="n">
        <x:v>54</x:v>
      </x:c>
      <x:c r="D361" s="9" t="n">
        <x:v>12.99</x:v>
      </x:c>
      <x:c r="E361" s="9" t="n">
        <x:v>6.62</x:v>
      </x:c>
      <x:c r="F361" s="8" t="n">
        <x:f>C361*D361</x:f>
        <x:v>701.46</x:v>
      </x:c>
      <x:c r="G361" s="8" t="n">
        <x:f>C361*E361</x:f>
        <x:v>357.48</x:v>
      </x:c>
      <x:c r="H361" s="8" t="n">
        <x:f>F361-G361</x:f>
        <x:v>343.98</x:v>
      </x:c>
      <x:c r="I361" s="10" t="n">
        <x:f>H361/F361</x:f>
        <x:v>0.49037721324095457</x:v>
      </x:c>
    </x:row>
    <x:row r="362" ht="22" customHeight="1">
      <x:c r="A362" s="11" t="str">
        <x:v>1318</x:v>
      </x:c>
      <x:c r="B362" s="8" t="str">
        <x:v>Contoso 3 Handset Cordless Phone System  E30 Black</x:v>
      </x:c>
      <x:c r="C362" s="8" t="n">
        <x:v>57</x:v>
      </x:c>
      <x:c r="D362" s="9" t="n">
        <x:v>16.99</x:v>
      </x:c>
      <x:c r="E362" s="9" t="n">
        <x:v>8.66</x:v>
      </x:c>
      <x:c r="F362" s="8" t="n">
        <x:f>C362*D362</x:f>
        <x:v>968.43</x:v>
      </x:c>
      <x:c r="G362" s="8" t="n">
        <x:f>C362*E362</x:f>
        <x:v>493.62</x:v>
      </x:c>
      <x:c r="H362" s="8" t="n">
        <x:f>F362-G362</x:f>
        <x:v>474.80999999999995</x:v>
      </x:c>
      <x:c r="I362" s="10" t="n">
        <x:f>H362/F362</x:f>
        <x:v>0.4902884049440847</x:v>
      </x:c>
    </x:row>
    <x:row r="363" ht="22" customHeight="1">
      <x:c r="A363" s="11" t="str">
        <x:v>1319</x:v>
      </x:c>
      <x:c r="B363" s="8" t="str">
        <x:v>Contoso Multi-line phones M30 Black</x:v>
      </x:c>
      <x:c r="C363" s="8" t="n">
        <x:v>78</x:v>
      </x:c>
      <x:c r="D363" s="9" t="n">
        <x:v>22.99</x:v>
      </x:c>
      <x:c r="E363" s="9" t="n">
        <x:v>10.57</x:v>
      </x:c>
      <x:c r="F363" s="8" t="n">
        <x:f>C363*D363</x:f>
        <x:v>1793.2199999999998</x:v>
      </x:c>
      <x:c r="G363" s="8" t="n">
        <x:f>C363*E363</x:f>
        <x:v>824.46</x:v>
      </x:c>
      <x:c r="H363" s="8" t="n">
        <x:f>F363-G363</x:f>
        <x:v>968.7599999999998</x:v>
      </x:c>
      <x:c r="I363" s="10" t="n">
        <x:f>H363/F363</x:f>
        <x:v>0.5402348847324924</x:v>
      </x:c>
    </x:row>
    <x:row r="364" ht="22" customHeight="1">
      <x:c r="A364" s="11" t="str">
        <x:v>132</x:v>
      </x:c>
      <x:c r="B364" s="8" t="str">
        <x:v>Adventure Works 20" Analog CRT TV E45 Brown</x:v>
      </x:c>
      <x:c r="C364" s="8" t="n">
        <x:v>91</x:v>
      </x:c>
      <x:c r="D364" s="9" t="n">
        <x:v>200</x:v>
      </x:c>
      <x:c r="E364" s="9" t="n">
        <x:v>101.97</x:v>
      </x:c>
      <x:c r="F364" s="8" t="n">
        <x:f>C364*D364</x:f>
        <x:v>18200</x:v>
      </x:c>
      <x:c r="G364" s="8" t="n">
        <x:f>C364*E364</x:f>
        <x:v>9279.27</x:v>
      </x:c>
      <x:c r="H364" s="8" t="n">
        <x:f>F364-G364</x:f>
        <x:v>8920.73</x:v>
      </x:c>
      <x:c r="I364" s="10" t="n">
        <x:f>H364/F364</x:f>
        <x:v>0.49015</x:v>
      </x:c>
    </x:row>
    <x:row r="365" ht="22" customHeight="1">
      <x:c r="A365" s="11" t="str">
        <x:v>1320</x:v>
      </x:c>
      <x:c r="B365" s="8" t="str">
        <x:v>Contoso KSU-less key system M38 Black</x:v>
      </x:c>
      <x:c r="C365" s="8" t="n">
        <x:v>54</x:v>
      </x:c>
      <x:c r="D365" s="9" t="n">
        <x:v>26.99</x:v>
      </x:c>
      <x:c r="E365" s="9" t="n">
        <x:v>12.41</x:v>
      </x:c>
      <x:c r="F365" s="8" t="n">
        <x:f>C365*D365</x:f>
        <x:v>1457.4599999999998</x:v>
      </x:c>
      <x:c r="G365" s="8" t="n">
        <x:f>C365*E365</x:f>
        <x:v>670.14</x:v>
      </x:c>
      <x:c r="H365" s="8" t="n">
        <x:f>F365-G365</x:f>
        <x:v>787.3199999999998</x:v>
      </x:c>
      <x:c r="I365" s="10" t="n">
        <x:f>H365/F365</x:f>
        <x:v>0.540200074101519</x:v>
      </x:c>
    </x:row>
    <x:row r="366" ht="22" customHeight="1">
      <x:c r="A366" s="11" t="str">
        <x:v>1321</x:v>
      </x:c>
      <x:c r="B366" s="8" t="str">
        <x:v>Contoso Hybrid system M60 Black</x:v>
      </x:c>
      <x:c r="C366" s="8" t="n">
        <x:v>34</x:v>
      </x:c>
      <x:c r="D366" s="9" t="n">
        <x:v>28.99</x:v>
      </x:c>
      <x:c r="E366" s="9" t="n">
        <x:v>13.33</x:v>
      </x:c>
      <x:c r="F366" s="8" t="n">
        <x:f>C366*D366</x:f>
        <x:v>985.66</x:v>
      </x:c>
      <x:c r="G366" s="8" t="n">
        <x:f>C366*E366</x:f>
        <x:v>453.22</x:v>
      </x:c>
      <x:c r="H366" s="8" t="n">
        <x:f>F366-G366</x:f>
        <x:v>532.4399999999999</x:v>
      </x:c>
      <x:c r="I366" s="10" t="n">
        <x:f>H366/F366</x:f>
        <x:v>0.5401862711279751</x:v>
      </x:c>
    </x:row>
    <x:row r="367" ht="22" customHeight="1">
      <x:c r="A367" s="11" t="str">
        <x:v>1322</x:v>
      </x:c>
      <x:c r="B367" s="8" t="str">
        <x:v>Contoso Private Branch Exchange M88 Black</x:v>
      </x:c>
      <x:c r="C367" s="8" t="n">
        <x:v>93</x:v>
      </x:c>
      <x:c r="D367" s="9" t="n">
        <x:v>32.99</x:v>
      </x:c>
      <x:c r="E367" s="9" t="n">
        <x:v>15.17</x:v>
      </x:c>
      <x:c r="F367" s="8" t="n">
        <x:f>C367*D367</x:f>
        <x:v>3068.07</x:v>
      </x:c>
      <x:c r="G367" s="8" t="n">
        <x:f>C367*E367</x:f>
        <x:v>1410.81</x:v>
      </x:c>
      <x:c r="H367" s="8" t="n">
        <x:f>F367-G367</x:f>
        <x:v>1657.2600000000002</x:v>
      </x:c>
      <x:c r="I367" s="10" t="n">
        <x:f>H367/F367</x:f>
        <x:v>0.5401636859654441</x:v>
      </x:c>
    </x:row>
    <x:row r="368" ht="22" customHeight="1">
      <x:c r="A368" s="11" t="str">
        <x:v>1323</x:v>
      </x:c>
      <x:c r="B368" s="8" t="str">
        <x:v>Contoso 4 Handset Cordless Phone System M86 Black</x:v>
      </x:c>
      <x:c r="C368" s="8" t="n">
        <x:v>56</x:v>
      </x:c>
      <x:c r="D368" s="9" t="n">
        <x:v>35.99</x:v>
      </x:c>
      <x:c r="E368" s="9" t="n">
        <x:v>16.55</x:v>
      </x:c>
      <x:c r="F368" s="8" t="n">
        <x:f>C368*D368</x:f>
        <x:v>2015.44</x:v>
      </x:c>
      <x:c r="G368" s="8" t="n">
        <x:f>C368*E368</x:f>
        <x:v>926.8000000000001</x:v>
      </x:c>
      <x:c r="H368" s="8" t="n">
        <x:f>F368-G368</x:f>
        <x:v>1088.6399999999999</x:v>
      </x:c>
      <x:c r="I368" s="10" t="n">
        <x:f>H368/F368</x:f>
        <x:v>0.5401500416782439</x:v>
      </x:c>
    </x:row>
    <x:row r="369" ht="22" customHeight="1">
      <x:c r="A369" s="11" t="str">
        <x:v>1324</x:v>
      </x:c>
      <x:c r="B369" s="8" t="str">
        <x:v>Contoso Private Automatic Branch Exchange M65 Black</x:v>
      </x:c>
      <x:c r="C369" s="8" t="n">
        <x:v>59</x:v>
      </x:c>
      <x:c r="D369" s="9" t="n">
        <x:v>38.99</x:v>
      </x:c>
      <x:c r="E369" s="9" t="n">
        <x:v>17.93</x:v>
      </x:c>
      <x:c r="F369" s="8" t="n">
        <x:f>C369*D369</x:f>
        <x:v>2300.4100000000003</x:v>
      </x:c>
      <x:c r="G369" s="8" t="n">
        <x:f>C369*E369</x:f>
        <x:v>1057.87</x:v>
      </x:c>
      <x:c r="H369" s="8" t="n">
        <x:f>F369-G369</x:f>
        <x:v>1242.5400000000004</x:v>
      </x:c>
      <x:c r="I369" s="10" t="n">
        <x:f>H369/F369</x:f>
        <x:v>0.5401384970505259</x:v>
      </x:c>
    </x:row>
    <x:row r="370" ht="22" customHeight="1">
      <x:c r="A370" s="11" t="str">
        <x:v>1325</x:v>
      </x:c>
      <x:c r="B370" s="8" t="str">
        <x:v>Contoso Electronic Private Automatic Branch Exchange M90 Black</x:v>
      </x:c>
      <x:c r="C370" s="8" t="n">
        <x:v>80</x:v>
      </x:c>
      <x:c r="D370" s="9" t="n">
        <x:v>39.99</x:v>
      </x:c>
      <x:c r="E370" s="9" t="n">
        <x:v>18.39</x:v>
      </x:c>
      <x:c r="F370" s="8" t="n">
        <x:f>C370*D370</x:f>
        <x:v>3199.2000000000003</x:v>
      </x:c>
      <x:c r="G370" s="8" t="n">
        <x:f>C370*E370</x:f>
        <x:v>1471.2</x:v>
      </x:c>
      <x:c r="H370" s="8" t="n">
        <x:f>F370-G370</x:f>
        <x:v>1728.0000000000002</x:v>
      </x:c>
      <x:c r="I370" s="10" t="n">
        <x:f>H370/F370</x:f>
        <x:v>0.5401350337584396</x:v>
      </x:c>
    </x:row>
    <x:row r="371" ht="22" customHeight="1">
      <x:c r="A371" s="11" t="str">
        <x:v>1326</x:v>
      </x:c>
      <x:c r="B371" s="8" t="str">
        <x:v>Contoso Centrex Phone System L10 Black</x:v>
      </x:c>
      <x:c r="C371" s="8" t="n">
        <x:v>62</x:v>
      </x:c>
      <x:c r="D371" s="9" t="n">
        <x:v>42.99</x:v>
      </x:c>
      <x:c r="E371" s="9" t="n">
        <x:v>14.24</x:v>
      </x:c>
      <x:c r="F371" s="8" t="n">
        <x:f>C371*D371</x:f>
        <x:v>2665.38</x:v>
      </x:c>
      <x:c r="G371" s="8" t="n">
        <x:f>C371*E371</x:f>
        <x:v>882.88</x:v>
      </x:c>
      <x:c r="H371" s="8" t="n">
        <x:f>F371-G371</x:f>
        <x:v>1782.5</x:v>
      </x:c>
      <x:c r="I371" s="10" t="n">
        <x:f>H371/F371</x:f>
        <x:v>0.6687601767852989</x:v>
      </x:c>
    </x:row>
    <x:row r="372" ht="22" customHeight="1">
      <x:c r="A372" s="11" t="str">
        <x:v>1327</x:v>
      </x:c>
      <x:c r="B372" s="8" t="str">
        <x:v>Contoso In front of Centrex L15 Black</x:v>
      </x:c>
      <x:c r="C372" s="8" t="n">
        <x:v>93</x:v>
      </x:c>
      <x:c r="D372" s="9" t="n">
        <x:v>46.99</x:v>
      </x:c>
      <x:c r="E372" s="9" t="n">
        <x:v>15.57</x:v>
      </x:c>
      <x:c r="F372" s="8" t="n">
        <x:f>C372*D372</x:f>
        <x:v>4370.070000000001</x:v>
      </x:c>
      <x:c r="G372" s="8" t="n">
        <x:f>C372*E372</x:f>
        <x:v>1448.01</x:v>
      </x:c>
      <x:c r="H372" s="8" t="n">
        <x:f>F372-G372</x:f>
        <x:v>2922.0600000000004</x:v>
      </x:c>
      <x:c r="I372" s="10" t="n">
        <x:f>H372/F372</x:f>
        <x:v>0.6686529048733774</x:v>
      </x:c>
    </x:row>
    <x:row r="373" ht="22" customHeight="1">
      <x:c r="A373" s="11" t="str">
        <x:v>1328</x:v>
      </x:c>
      <x:c r="B373" s="8" t="str">
        <x:v>Contoso behind Centrex X15 Black</x:v>
      </x:c>
      <x:c r="C373" s="8" t="n">
        <x:v>58</x:v>
      </x:c>
      <x:c r="D373" s="9" t="n">
        <x:v>49.99</x:v>
      </x:c>
      <x:c r="E373" s="9" t="n">
        <x:v>16.56</x:v>
      </x:c>
      <x:c r="F373" s="8" t="n">
        <x:f>C373*D373</x:f>
        <x:v>2899.42</x:v>
      </x:c>
      <x:c r="G373" s="8" t="n">
        <x:f>C373*E373</x:f>
        <x:v>960.4799999999999</x:v>
      </x:c>
      <x:c r="H373" s="8" t="n">
        <x:f>F373-G373</x:f>
        <x:v>1938.94</x:v>
      </x:c>
      <x:c r="I373" s="10" t="n">
        <x:f>H373/F373</x:f>
        <x:v>0.6687337467493498</x:v>
      </x:c>
    </x:row>
    <x:row r="374" ht="22" customHeight="1">
      <x:c r="A374" s="11" t="str">
        <x:v>1329</x:v>
      </x:c>
      <x:c r="B374" s="8" t="str">
        <x:v>Contoso Phone with 13-Number Memory (210) M301 Black</x:v>
      </x:c>
      <x:c r="C374" s="8" t="n">
        <x:v>67</x:v>
      </x:c>
      <x:c r="D374" s="9" t="n">
        <x:v>16.99</x:v>
      </x:c>
      <x:c r="E374" s="9" t="n">
        <x:v>7.81</x:v>
      </x:c>
      <x:c r="F374" s="8" t="n">
        <x:f>C374*D374</x:f>
        <x:v>1138.33</x:v>
      </x:c>
      <x:c r="G374" s="8" t="n">
        <x:f>C374*E374</x:f>
        <x:v>523.27</x:v>
      </x:c>
      <x:c r="H374" s="8" t="n">
        <x:f>F374-G374</x:f>
        <x:v>615.06</x:v>
      </x:c>
      <x:c r="I374" s="10" t="n">
        <x:f>H374/F374</x:f>
        <x:v>0.5403178340200118</x:v>
      </x:c>
    </x:row>
    <x:row r="375" ht="22" customHeight="1">
      <x:c r="A375" s="11" t="str">
        <x:v>133</x:v>
      </x:c>
      <x:c r="B375" s="8" t="str">
        <x:v>Adventure Works 20" LCD HDTV M120 Silver</x:v>
      </x:c>
      <x:c r="C375" s="8" t="n">
        <x:v>115</x:v>
      </x:c>
      <x:c r="D375" s="9" t="n">
        <x:v>349.95</x:v>
      </x:c>
      <x:c r="E375" s="9" t="n">
        <x:v>160.93</x:v>
      </x:c>
      <x:c r="F375" s="8" t="n">
        <x:f>C375*D375</x:f>
        <x:v>40244.25</x:v>
      </x:c>
      <x:c r="G375" s="8" t="n">
        <x:f>C375*E375</x:f>
        <x:v>18506.95</x:v>
      </x:c>
      <x:c r="H375" s="8" t="n">
        <x:f>F375-G375</x:f>
        <x:v>21737.3</x:v>
      </x:c>
      <x:c r="I375" s="10" t="n">
        <x:f>H375/F375</x:f>
        <x:v>0.5401343049007001</x:v>
      </x:c>
    </x:row>
    <x:row r="376" ht="22" customHeight="1">
      <x:c r="A376" s="11" t="str">
        <x:v>1330</x:v>
      </x:c>
      <x:c r="B376" s="8" t="str">
        <x:v>Contoso Expandable Cordless Phone System M008 Black</x:v>
      </x:c>
      <x:c r="C376" s="8" t="n">
        <x:v>56</x:v>
      </x:c>
      <x:c r="D376" s="9" t="n">
        <x:v>22.99</x:v>
      </x:c>
      <x:c r="E376" s="9" t="n">
        <x:v>10.57</x:v>
      </x:c>
      <x:c r="F376" s="8" t="n">
        <x:f>C376*D376</x:f>
        <x:v>1287.4399999999998</x:v>
      </x:c>
      <x:c r="G376" s="8" t="n">
        <x:f>C376*E376</x:f>
        <x:v>591.9200000000001</x:v>
      </x:c>
      <x:c r="H376" s="8" t="n">
        <x:f>F376-G376</x:f>
        <x:v>695.5199999999998</x:v>
      </x:c>
      <x:c r="I376" s="10" t="n">
        <x:f>H376/F376</x:f>
        <x:v>0.5402348847324923</x:v>
      </x:c>
    </x:row>
    <x:row r="377" ht="22" customHeight="1">
      <x:c r="A377" s="11" t="str">
        <x:v>1331</x:v>
      </x:c>
      <x:c r="B377" s="8" t="str">
        <x:v>Contoso Phone System Accessory Handset with Charger M308 Black</x:v>
      </x:c>
      <x:c r="C377" s="8" t="n">
        <x:v>93</x:v>
      </x:c>
      <x:c r="D377" s="9" t="n">
        <x:v>26.99</x:v>
      </x:c>
      <x:c r="E377" s="9" t="n">
        <x:v>12.41</x:v>
      </x:c>
      <x:c r="F377" s="8" t="n">
        <x:f>C377*D377</x:f>
        <x:v>2510.0699999999997</x:v>
      </x:c>
      <x:c r="G377" s="8" t="n">
        <x:f>C377*E377</x:f>
        <x:v>1154.13</x:v>
      </x:c>
      <x:c r="H377" s="8" t="n">
        <x:f>F377-G377</x:f>
        <x:v>1355.9399999999996</x:v>
      </x:c>
      <x:c r="I377" s="10" t="n">
        <x:f>H377/F377</x:f>
        <x:v>0.5402000741015189</x:v>
      </x:c>
    </x:row>
    <x:row r="378" ht="22" customHeight="1">
      <x:c r="A378" s="11" t="str">
        <x:v>1332</x:v>
      </x:c>
      <x:c r="B378" s="8" t="str">
        <x:v>Contoso 2-Line Corded Cordless Telephone M202 Black</x:v>
      </x:c>
      <x:c r="C378" s="8" t="n">
        <x:v>76</x:v>
      </x:c>
      <x:c r="D378" s="9" t="n">
        <x:v>28.99</x:v>
      </x:c>
      <x:c r="E378" s="9" t="n">
        <x:v>13.33</x:v>
      </x:c>
      <x:c r="F378" s="8" t="n">
        <x:f>C378*D378</x:f>
        <x:v>2203.24</x:v>
      </x:c>
      <x:c r="G378" s="8" t="n">
        <x:f>C378*E378</x:f>
        <x:v>1013.08</x:v>
      </x:c>
      <x:c r="H378" s="8" t="n">
        <x:f>F378-G378</x:f>
        <x:v>1190.1599999999999</x:v>
      </x:c>
      <x:c r="I378" s="10" t="n">
        <x:f>H378/F378</x:f>
        <x:v>0.5401862711279751</x:v>
      </x:c>
    </x:row>
    <x:row r="379" ht="22" customHeight="1">
      <x:c r="A379" s="11" t="str">
        <x:v>1333</x:v>
      </x:c>
      <x:c r="B379" s="8" t="str">
        <x:v>Contoso 4-Line Corded Cordless Telephone M203 Black</x:v>
      </x:c>
      <x:c r="C379" s="8" t="n">
        <x:v>64</x:v>
      </x:c>
      <x:c r="D379" s="9" t="n">
        <x:v>32.99</x:v>
      </x:c>
      <x:c r="E379" s="9" t="n">
        <x:v>15.17</x:v>
      </x:c>
      <x:c r="F379" s="8" t="n">
        <x:f>C379*D379</x:f>
        <x:v>2111.36</x:v>
      </x:c>
      <x:c r="G379" s="8" t="n">
        <x:f>C379*E379</x:f>
        <x:v>970.88</x:v>
      </x:c>
      <x:c r="H379" s="8" t="n">
        <x:f>F379-G379</x:f>
        <x:v>1140.48</x:v>
      </x:c>
      <x:c r="I379" s="10" t="n">
        <x:f>H379/F379</x:f>
        <x:v>0.5401636859654441</x:v>
      </x:c>
    </x:row>
    <x:row r="380" ht="22" customHeight="1">
      <x:c r="A380" s="11" t="str">
        <x:v>1334</x:v>
      </x:c>
      <x:c r="B380" s="8" t="str">
        <x:v>Contoso Expandable 3-Handset Cordless Phone System M204 Black</x:v>
      </x:c>
      <x:c r="C380" s="8" t="n">
        <x:v>72</x:v>
      </x:c>
      <x:c r="D380" s="9" t="n">
        <x:v>35.99</x:v>
      </x:c>
      <x:c r="E380" s="9" t="n">
        <x:v>16.55</x:v>
      </x:c>
      <x:c r="F380" s="8" t="n">
        <x:f>C380*D380</x:f>
        <x:v>2591.28</x:v>
      </x:c>
      <x:c r="G380" s="8" t="n">
        <x:f>C380*E380</x:f>
        <x:v>1191.6000000000001</x:v>
      </x:c>
      <x:c r="H380" s="8" t="n">
        <x:f>F380-G380</x:f>
        <x:v>1399.68</x:v>
      </x:c>
      <x:c r="I380" s="10" t="n">
        <x:f>H380/F380</x:f>
        <x:v>0.540150041678244</x:v>
      </x:c>
    </x:row>
    <x:row r="381" ht="22" customHeight="1">
      <x:c r="A381" s="11" t="str">
        <x:v>1335</x:v>
      </x:c>
      <x:c r="B381" s="8" t="str">
        <x:v>Contoso Expandable 2-Handset Cordless Phone System M205 Black</x:v>
      </x:c>
      <x:c r="C381" s="8" t="n">
        <x:v>33</x:v>
      </x:c>
      <x:c r="D381" s="9" t="n">
        <x:v>40.19</x:v>
      </x:c>
      <x:c r="E381" s="9" t="n">
        <x:v>18.48</x:v>
      </x:c>
      <x:c r="F381" s="8" t="n">
        <x:f>C381*D381</x:f>
        <x:v>1326.27</x:v>
      </x:c>
      <x:c r="G381" s="8" t="n">
        <x:f>C381*E381</x:f>
        <x:v>609.84</x:v>
      </x:c>
      <x:c r="H381" s="8" t="n">
        <x:f>F381-G381</x:f>
        <x:v>716.43</x:v>
      </x:c>
      <x:c r="I381" s="10" t="n">
        <x:f>H381/F381</x:f>
        <x:v>0.5401841254043294</x:v>
      </x:c>
    </x:row>
    <x:row r="382" ht="22" customHeight="1">
      <x:c r="A382" s="11" t="str">
        <x:v>1336</x:v>
      </x:c>
      <x:c r="B382" s="8" t="str">
        <x:v>Contoso Expandable 4-Handset Cordless Phone System M206 Black</x:v>
      </x:c>
      <x:c r="C382" s="8" t="n">
        <x:v>44</x:v>
      </x:c>
      <x:c r="D382" s="9" t="n">
        <x:v>43.81</x:v>
      </x:c>
      <x:c r="E382" s="9" t="n">
        <x:v>20.15</x:v>
      </x:c>
      <x:c r="F382" s="8" t="n">
        <x:f>C382*D382</x:f>
        <x:v>1927.64</x:v>
      </x:c>
      <x:c r="G382" s="8" t="n">
        <x:f>C382*E382</x:f>
        <x:v>886.5999999999999</x:v>
      </x:c>
      <x:c r="H382" s="8" t="n">
        <x:f>F382-G382</x:f>
        <x:v>1041.0400000000002</x:v>
      </x:c>
      <x:c r="I382" s="10" t="n">
        <x:f>H382/F382</x:f>
        <x:v>0.540059347181009</x:v>
      </x:c>
    </x:row>
    <x:row r="383" ht="22" customHeight="1">
      <x:c r="A383" s="11" t="str">
        <x:v>1337</x:v>
      </x:c>
      <x:c r="B383" s="8" t="str">
        <x:v>Contoso Expandable1-Handset Cordless Phone System M207 Black</x:v>
      </x:c>
      <x:c r="C383" s="8" t="n">
        <x:v>75</x:v>
      </x:c>
      <x:c r="D383" s="9" t="n">
        <x:v>47.44</x:v>
      </x:c>
      <x:c r="E383" s="9" t="n">
        <x:v>21.82</x:v>
      </x:c>
      <x:c r="F383" s="8" t="n">
        <x:f>C383*D383</x:f>
        <x:v>3558</x:v>
      </x:c>
      <x:c r="G383" s="8" t="n">
        <x:f>C383*E383</x:f>
        <x:v>1636.5</x:v>
      </x:c>
      <x:c r="H383" s="8" t="n">
        <x:f>F383-G383</x:f>
        <x:v>1921.5</x:v>
      </x:c>
      <x:c r="I383" s="10" t="n">
        <x:f>H383/F383</x:f>
        <x:v>0.5400505902192243</x:v>
      </x:c>
    </x:row>
    <x:row r="384" ht="22" customHeight="1">
      <x:c r="A384" s="11" t="str">
        <x:v>1338</x:v>
      </x:c>
      <x:c r="B384" s="8" t="str">
        <x:v>Contoso Digital Cordless Expansion Handset Phone M900 Black</x:v>
      </x:c>
      <x:c r="C384" s="8" t="n">
        <x:v>59</x:v>
      </x:c>
      <x:c r="D384" s="9" t="n">
        <x:v>32.99</x:v>
      </x:c>
      <x:c r="E384" s="9" t="n">
        <x:v>15.17</x:v>
      </x:c>
      <x:c r="F384" s="8" t="n">
        <x:f>C384*D384</x:f>
        <x:v>1946.41</x:v>
      </x:c>
      <x:c r="G384" s="8" t="n">
        <x:f>C384*E384</x:f>
        <x:v>895.03</x:v>
      </x:c>
      <x:c r="H384" s="8" t="n">
        <x:f>F384-G384</x:f>
        <x:v>1051.38</x:v>
      </x:c>
      <x:c r="I384" s="10" t="n">
        <x:f>H384/F384</x:f>
        <x:v>0.5401636859654441</x:v>
      </x:c>
    </x:row>
    <x:row r="385" ht="22" customHeight="1">
      <x:c r="A385" s="11" t="str">
        <x:v>1339</x:v>
      </x:c>
      <x:c r="B385" s="8" t="str">
        <x:v>Contoso 2-Line Speakerphone M109 Black</x:v>
      </x:c>
      <x:c r="C385" s="8" t="n">
        <x:v>51</x:v>
      </x:c>
      <x:c r="D385" s="9" t="n">
        <x:v>35.99</x:v>
      </x:c>
      <x:c r="E385" s="9" t="n">
        <x:v>16.55</x:v>
      </x:c>
      <x:c r="F385" s="8" t="n">
        <x:f>C385*D385</x:f>
        <x:v>1835.49</x:v>
      </x:c>
      <x:c r="G385" s="8" t="n">
        <x:f>C385*E385</x:f>
        <x:v>844.0500000000001</x:v>
      </x:c>
      <x:c r="H385" s="8" t="n">
        <x:f>F385-G385</x:f>
        <x:v>991.4399999999999</x:v>
      </x:c>
      <x:c r="I385" s="10" t="n">
        <x:f>H385/F385</x:f>
        <x:v>0.5401500416782439</x:v>
      </x:c>
    </x:row>
    <x:row r="386" ht="22" customHeight="1">
      <x:c r="A386" s="11" t="str">
        <x:v>134</x:v>
      </x:c>
      <x:c r="B386" s="8" t="str">
        <x:v>Adventure Works 20" LCD HDTV M120 Black</x:v>
      </x:c>
      <x:c r="C386" s="8" t="n">
        <x:v>104</x:v>
      </x:c>
      <x:c r="D386" s="9" t="n">
        <x:v>349.95</x:v>
      </x:c>
      <x:c r="E386" s="9" t="n">
        <x:v>160.93</x:v>
      </x:c>
      <x:c r="F386" s="8" t="n">
        <x:f>C386*D386</x:f>
        <x:v>36394.799999999996</x:v>
      </x:c>
      <x:c r="G386" s="8" t="n">
        <x:f>C386*E386</x:f>
        <x:v>16736.72</x:v>
      </x:c>
      <x:c r="H386" s="8" t="n">
        <x:f>F386-G386</x:f>
        <x:v>19658.079999999994</x:v>
      </x:c>
      <x:c r="I386" s="10" t="n">
        <x:f>H386/F386</x:f>
        <x:v>0.5401343049007</x:v>
      </x:c>
    </x:row>
    <x:row r="387" ht="22" customHeight="1">
      <x:c r="A387" s="11" t="str">
        <x:v>1340</x:v>
      </x:c>
      <x:c r="B387" s="8" t="str">
        <x:v>Contoso Phone with Memory Dialing-single line E88 Black</x:v>
      </x:c>
      <x:c r="C387" s="8" t="n">
        <x:v>58</x:v>
      </x:c>
      <x:c r="D387" s="9" t="n">
        <x:v>14.19</x:v>
      </x:c>
      <x:c r="E387" s="9" t="n">
        <x:v>7.23</x:v>
      </x:c>
      <x:c r="F387" s="8" t="n">
        <x:f>C387*D387</x:f>
        <x:v>823.02</x:v>
      </x:c>
      <x:c r="G387" s="8" t="n">
        <x:f>C387*E387</x:f>
        <x:v>419.34000000000003</x:v>
      </x:c>
      <x:c r="H387" s="8" t="n">
        <x:f>F387-G387</x:f>
        <x:v>403.67999999999995</x:v>
      </x:c>
      <x:c r="I387" s="10" t="n">
        <x:f>H387/F387</x:f>
        <x:v>0.49048625792811834</x:v>
      </x:c>
    </x:row>
    <x:row r="388" ht="22" customHeight="1">
      <x:c r="A388" s="11" t="str">
        <x:v>1341</x:v>
      </x:c>
      <x:c r="B388" s="8" t="str">
        <x:v>Contoso Phone with Memory Dialing-2 lines E90 Black</x:v>
      </x:c>
      <x:c r="C388" s="8" t="n">
        <x:v>69</x:v>
      </x:c>
      <x:c r="D388" s="9" t="n">
        <x:v>16</x:v>
      </x:c>
      <x:c r="E388" s="9" t="n">
        <x:v>8.16</x:v>
      </x:c>
      <x:c r="F388" s="8" t="n">
        <x:f>C388*D388</x:f>
        <x:v>1104</x:v>
      </x:c>
      <x:c r="G388" s="8" t="n">
        <x:f>C388*E388</x:f>
        <x:v>563.04</x:v>
      </x:c>
      <x:c r="H388" s="8" t="n">
        <x:f>F388-G388</x:f>
        <x:v>540.96</x:v>
      </x:c>
      <x:c r="I388" s="10" t="n">
        <x:f>H388/F388</x:f>
        <x:v>0.49000000000000005</x:v>
      </x:c>
    </x:row>
    <x:row r="389" ht="22" customHeight="1">
      <x:c r="A389" s="11" t="str">
        <x:v>1342</x:v>
      </x:c>
      <x:c r="B389" s="8" t="str">
        <x:v>Contoso Integrated Business Phone With card L10 Black</x:v>
      </x:c>
      <x:c r="C389" s="8" t="n">
        <x:v>46</x:v>
      </x:c>
      <x:c r="D389" s="9" t="n">
        <x:v>42</x:v>
      </x:c>
      <x:c r="E389" s="9" t="n">
        <x:v>13.92</x:v>
      </x:c>
      <x:c r="F389" s="8" t="n">
        <x:f>C389*D389</x:f>
        <x:v>1932</x:v>
      </x:c>
      <x:c r="G389" s="8" t="n">
        <x:f>C389*E389</x:f>
        <x:v>640.32</x:v>
      </x:c>
      <x:c r="H389" s="8" t="n">
        <x:f>F389-G389</x:f>
        <x:v>1291.6799999999998</x:v>
      </x:c>
      <x:c r="I389" s="10" t="n">
        <x:f>H389/F389</x:f>
        <x:v>0.6685714285714285</x:v>
      </x:c>
    </x:row>
    <x:row r="390" ht="22" customHeight="1">
      <x:c r="A390" s="11" t="str">
        <x:v>1343</x:v>
      </x:c>
      <x:c r="B390" s="8" t="str">
        <x:v>Contoso Integrated Business Phone L08 Black</x:v>
      </x:c>
      <x:c r="C390" s="8" t="n">
        <x:v>28</x:v>
      </x:c>
      <x:c r="D390" s="9" t="n">
        <x:v>31</x:v>
      </x:c>
      <x:c r="E390" s="9" t="n">
        <x:v>10.27</x:v>
      </x:c>
      <x:c r="F390" s="8" t="n">
        <x:f>C390*D390</x:f>
        <x:v>868</x:v>
      </x:c>
      <x:c r="G390" s="8" t="n">
        <x:f>C390*E390</x:f>
        <x:v>287.56</x:v>
      </x:c>
      <x:c r="H390" s="8" t="n">
        <x:f>F390-G390</x:f>
        <x:v>580.44</x:v>
      </x:c>
      <x:c r="I390" s="10" t="n">
        <x:f>H390/F390</x:f>
        <x:v>0.6687096774193549</x:v>
      </x:c>
    </x:row>
    <x:row r="391" ht="22" customHeight="1">
      <x:c r="A391" s="11" t="str">
        <x:v>1344</x:v>
      </x:c>
      <x:c r="B391" s="8" t="str">
        <x:v>Contoso Phone for MSN E200 Black</x:v>
      </x:c>
      <x:c r="C391" s="8" t="n">
        <x:v>39</x:v>
      </x:c>
      <x:c r="D391" s="9" t="n">
        <x:v>16</x:v>
      </x:c>
      <x:c r="E391" s="9" t="n">
        <x:v>8.16</x:v>
      </x:c>
      <x:c r="F391" s="8" t="n">
        <x:f>C391*D391</x:f>
        <x:v>624</x:v>
      </x:c>
      <x:c r="G391" s="8" t="n">
        <x:f>C391*E391</x:f>
        <x:v>318.24</x:v>
      </x:c>
      <x:c r="H391" s="8" t="n">
        <x:f>F391-G391</x:f>
        <x:v>305.76</x:v>
      </x:c>
      <x:c r="I391" s="10" t="n">
        <x:f>H391/F391</x:f>
        <x:v>0.49</x:v>
      </x:c>
    </x:row>
    <x:row r="392" ht="22" customHeight="1">
      <x:c r="A392" s="11" t="str">
        <x:v>1345</x:v>
      </x:c>
      <x:c r="B392" s="8" t="str">
        <x:v>Contoso 4-Line Expandable Cordless Phone System M900 Black</x:v>
      </x:c>
      <x:c r="C392" s="8" t="n">
        <x:v>64</x:v>
      </x:c>
      <x:c r="D392" s="9" t="n">
        <x:v>22</x:v>
      </x:c>
      <x:c r="E392" s="9" t="n">
        <x:v>10.12</x:v>
      </x:c>
      <x:c r="F392" s="8" t="n">
        <x:f>C392*D392</x:f>
        <x:v>1408</x:v>
      </x:c>
      <x:c r="G392" s="8" t="n">
        <x:f>C392*E392</x:f>
        <x:v>647.68</x:v>
      </x:c>
      <x:c r="H392" s="8" t="n">
        <x:f>F392-G392</x:f>
        <x:v>760.32</x:v>
      </x:c>
      <x:c r="I392" s="10" t="n">
        <x:f>H392/F392</x:f>
        <x:v>0.54</x:v>
      </x:c>
    </x:row>
    <x:row r="393" ht="22" customHeight="1">
      <x:c r="A393" s="11" t="str">
        <x:v>1346</x:v>
      </x:c>
      <x:c r="B393" s="8" t="str">
        <x:v>Contoso Lifestyles Series - Big Button Cordless phone M800 Black</x:v>
      </x:c>
      <x:c r="C393" s="8" t="n">
        <x:v>53</x:v>
      </x:c>
      <x:c r="D393" s="9" t="n">
        <x:v>23</x:v>
      </x:c>
      <x:c r="E393" s="9" t="n">
        <x:v>10.58</x:v>
      </x:c>
      <x:c r="F393" s="8" t="n">
        <x:f>C393*D393</x:f>
        <x:v>1219</x:v>
      </x:c>
      <x:c r="G393" s="8" t="n">
        <x:f>C393*E393</x:f>
        <x:v>560.74</x:v>
      </x:c>
      <x:c r="H393" s="8" t="n">
        <x:f>F393-G393</x:f>
        <x:v>658.26</x:v>
      </x:c>
      <x:c r="I393" s="10" t="n">
        <x:f>H393/F393</x:f>
        <x:v>0.54</x:v>
      </x:c>
    </x:row>
    <x:row r="394" ht="22" customHeight="1">
      <x:c r="A394" s="11" t="str">
        <x:v>1347</x:v>
      </x:c>
      <x:c r="B394" s="8" t="str">
        <x:v>Contoso Bedroom Phone with AM/FM Stereo and Call Waiting Caller ID M600 Black</x:v>
      </x:c>
      <x:c r="C394" s="8" t="n">
        <x:v>45</x:v>
      </x:c>
      <x:c r="D394" s="9" t="n">
        <x:v>21</x:v>
      </x:c>
      <x:c r="E394" s="9" t="n">
        <x:v>9.66</x:v>
      </x:c>
      <x:c r="F394" s="8" t="n">
        <x:f>C394*D394</x:f>
        <x:v>945</x:v>
      </x:c>
      <x:c r="G394" s="8" t="n">
        <x:f>C394*E394</x:f>
        <x:v>434.7</x:v>
      </x:c>
      <x:c r="H394" s="8" t="n">
        <x:f>F394-G394</x:f>
        <x:v>510.3</x:v>
      </x:c>
      <x:c r="I394" s="10" t="n">
        <x:f>H394/F394</x:f>
        <x:v>0.54</x:v>
      </x:c>
    </x:row>
    <x:row r="395" ht="22" customHeight="1">
      <x:c r="A395" s="11" t="str">
        <x:v>1348</x:v>
      </x:c>
      <x:c r="B395" s="8" t="str">
        <x:v>Contoso Waterproof Accessory Handset and Charging Cradle M609 Black</x:v>
      </x:c>
      <x:c r="C395" s="8" t="n">
        <x:v>37</x:v>
      </x:c>
      <x:c r="D395" s="9" t="n">
        <x:v>22.99</x:v>
      </x:c>
      <x:c r="E395" s="9" t="n">
        <x:v>10.57</x:v>
      </x:c>
      <x:c r="F395" s="8" t="n">
        <x:f>C395*D395</x:f>
        <x:v>850.63</x:v>
      </x:c>
      <x:c r="G395" s="8" t="n">
        <x:f>C395*E395</x:f>
        <x:v>391.09000000000003</x:v>
      </x:c>
      <x:c r="H395" s="8" t="n">
        <x:f>F395-G395</x:f>
        <x:v>459.53999999999996</x:v>
      </x:c>
      <x:c r="I395" s="10" t="n">
        <x:f>H395/F395</x:f>
        <x:v>0.5402348847324924</x:v>
      </x:c>
    </x:row>
    <x:row r="396" ht="22" customHeight="1">
      <x:c r="A396" s="11" t="str">
        <x:v>1349</x:v>
      </x:c>
      <x:c r="B396" s="8" t="str">
        <x:v>Contoso Single-line phones E10 White</x:v>
      </x:c>
      <x:c r="C396" s="8" t="n">
        <x:v>76</x:v>
      </x:c>
      <x:c r="D396" s="9" t="n">
        <x:v>9.99</x:v>
      </x:c>
      <x:c r="E396" s="9" t="n">
        <x:v>5.09</x:v>
      </x:c>
      <x:c r="F396" s="8" t="n">
        <x:f>C396*D396</x:f>
        <x:v>759.24</x:v>
      </x:c>
      <x:c r="G396" s="8" t="n">
        <x:f>C396*E396</x:f>
        <x:v>386.84</x:v>
      </x:c>
      <x:c r="H396" s="8" t="n">
        <x:f>F396-G396</x:f>
        <x:v>372.40000000000003</x:v>
      </x:c>
      <x:c r="I396" s="10" t="n">
        <x:f>H396/F396</x:f>
        <x:v>0.49049049049049054</x:v>
      </x:c>
    </x:row>
    <x:row r="397" ht="22" customHeight="1">
      <x:c r="A397" s="11" t="str">
        <x:v>135</x:v>
      </x:c>
      <x:c r="B397" s="8" t="str">
        <x:v>Adventure Works 20" LCD HDTV M120 White</x:v>
      </x:c>
      <x:c r="C397" s="8" t="n">
        <x:v>130</x:v>
      </x:c>
      <x:c r="D397" s="9" t="n">
        <x:v>349.95</x:v>
      </x:c>
      <x:c r="E397" s="9" t="n">
        <x:v>160.93</x:v>
      </x:c>
      <x:c r="F397" s="8" t="n">
        <x:f>C397*D397</x:f>
        <x:v>45493.5</x:v>
      </x:c>
      <x:c r="G397" s="8" t="n">
        <x:f>C397*E397</x:f>
        <x:v>20920.9</x:v>
      </x:c>
      <x:c r="H397" s="8" t="n">
        <x:f>F397-G397</x:f>
        <x:v>24572.6</x:v>
      </x:c>
      <x:c r="I397" s="10" t="n">
        <x:f>H397/F397</x:f>
        <x:v>0.5401343049007</x:v>
      </x:c>
    </x:row>
    <x:row r="398" ht="22" customHeight="1">
      <x:c r="A398" s="11" t="str">
        <x:v>1350</x:v>
      </x:c>
      <x:c r="B398" s="8" t="str">
        <x:v>Contoso Dual Handset Cordless Phone System E20 White</x:v>
      </x:c>
      <x:c r="C398" s="8" t="n">
        <x:v>56</x:v>
      </x:c>
      <x:c r="D398" s="9" t="n">
        <x:v>12.99</x:v>
      </x:c>
      <x:c r="E398" s="9" t="n">
        <x:v>6.62</x:v>
      </x:c>
      <x:c r="F398" s="8" t="n">
        <x:f>C398*D398</x:f>
        <x:v>727.44</x:v>
      </x:c>
      <x:c r="G398" s="8" t="n">
        <x:f>C398*E398</x:f>
        <x:v>370.72</x:v>
      </x:c>
      <x:c r="H398" s="8" t="n">
        <x:f>F398-G398</x:f>
        <x:v>356.72</x:v>
      </x:c>
      <x:c r="I398" s="10" t="n">
        <x:f>H398/F398</x:f>
        <x:v>0.49037721324095457</x:v>
      </x:c>
    </x:row>
    <x:row r="399" ht="22" customHeight="1">
      <x:c r="A399" s="11" t="str">
        <x:v>1351</x:v>
      </x:c>
      <x:c r="B399" s="8" t="str">
        <x:v>Contoso 3 Handset Cordless Phone System E30 White</x:v>
      </x:c>
      <x:c r="C399" s="8" t="n">
        <x:v>37</x:v>
      </x:c>
      <x:c r="D399" s="9" t="n">
        <x:v>16.99</x:v>
      </x:c>
      <x:c r="E399" s="9" t="n">
        <x:v>8.66</x:v>
      </x:c>
      <x:c r="F399" s="8" t="n">
        <x:f>C399*D399</x:f>
        <x:v>628.63</x:v>
      </x:c>
      <x:c r="G399" s="8" t="n">
        <x:f>C399*E399</x:f>
        <x:v>320.42</x:v>
      </x:c>
      <x:c r="H399" s="8" t="n">
        <x:f>F399-G399</x:f>
        <x:v>308.21</x:v>
      </x:c>
      <x:c r="I399" s="10" t="n">
        <x:f>H399/F399</x:f>
        <x:v>0.4902884049440847</x:v>
      </x:c>
    </x:row>
    <x:row r="400" ht="22" customHeight="1">
      <x:c r="A400" s="11" t="str">
        <x:v>1352</x:v>
      </x:c>
      <x:c r="B400" s="8" t="str">
        <x:v>Contoso Multi-line phones M30 White</x:v>
      </x:c>
      <x:c r="C400" s="8" t="n">
        <x:v>79</x:v>
      </x:c>
      <x:c r="D400" s="9" t="n">
        <x:v>22.99</x:v>
      </x:c>
      <x:c r="E400" s="9" t="n">
        <x:v>10.57</x:v>
      </x:c>
      <x:c r="F400" s="8" t="n">
        <x:f>C400*D400</x:f>
        <x:v>1816.2099999999998</x:v>
      </x:c>
      <x:c r="G400" s="8" t="n">
        <x:f>C400*E400</x:f>
        <x:v>835.03</x:v>
      </x:c>
      <x:c r="H400" s="8" t="n">
        <x:f>F400-G400</x:f>
        <x:v>981.1799999999998</x:v>
      </x:c>
      <x:c r="I400" s="10" t="n">
        <x:f>H400/F400</x:f>
        <x:v>0.5402348847324924</x:v>
      </x:c>
    </x:row>
    <x:row r="401" ht="22" customHeight="1">
      <x:c r="A401" s="11" t="str">
        <x:v>1353</x:v>
      </x:c>
      <x:c r="B401" s="8" t="str">
        <x:v>Contoso KSU-less key system M38 White</x:v>
      </x:c>
      <x:c r="C401" s="8" t="n">
        <x:v>47</x:v>
      </x:c>
      <x:c r="D401" s="9" t="n">
        <x:v>26.99</x:v>
      </x:c>
      <x:c r="E401" s="9" t="n">
        <x:v>12.41</x:v>
      </x:c>
      <x:c r="F401" s="8" t="n">
        <x:f>C401*D401</x:f>
        <x:v>1268.53</x:v>
      </x:c>
      <x:c r="G401" s="8" t="n">
        <x:f>C401*E401</x:f>
        <x:v>583.27</x:v>
      </x:c>
      <x:c r="H401" s="8" t="n">
        <x:f>F401-G401</x:f>
        <x:v>685.26</x:v>
      </x:c>
      <x:c r="I401" s="10" t="n">
        <x:f>H401/F401</x:f>
        <x:v>0.540200074101519</x:v>
      </x:c>
    </x:row>
    <x:row r="402" ht="22" customHeight="1">
      <x:c r="A402" s="11" t="str">
        <x:v>1354</x:v>
      </x:c>
      <x:c r="B402" s="8" t="str">
        <x:v>Contoso Hybrid system M60 White</x:v>
      </x:c>
      <x:c r="C402" s="8" t="n">
        <x:v>58</x:v>
      </x:c>
      <x:c r="D402" s="9" t="n">
        <x:v>28.99</x:v>
      </x:c>
      <x:c r="E402" s="9" t="n">
        <x:v>13.33</x:v>
      </x:c>
      <x:c r="F402" s="8" t="n">
        <x:f>C402*D402</x:f>
        <x:v>1681.4199999999998</x:v>
      </x:c>
      <x:c r="G402" s="8" t="n">
        <x:f>C402*E402</x:f>
        <x:v>773.14</x:v>
      </x:c>
      <x:c r="H402" s="8" t="n">
        <x:f>F402-G402</x:f>
        <x:v>908.2799999999999</x:v>
      </x:c>
      <x:c r="I402" s="10" t="n">
        <x:f>H402/F402</x:f>
        <x:v>0.5401862711279751</x:v>
      </x:c>
    </x:row>
    <x:row r="403" ht="22" customHeight="1">
      <x:c r="A403" s="11" t="str">
        <x:v>1355</x:v>
      </x:c>
      <x:c r="B403" s="8" t="str">
        <x:v>Contoso Private Branch Exchange M88 White</x:v>
      </x:c>
      <x:c r="C403" s="8" t="n">
        <x:v>34</x:v>
      </x:c>
      <x:c r="D403" s="9" t="n">
        <x:v>32.99</x:v>
      </x:c>
      <x:c r="E403" s="9" t="n">
        <x:v>15.17</x:v>
      </x:c>
      <x:c r="F403" s="8" t="n">
        <x:f>C403*D403</x:f>
        <x:v>1121.66</x:v>
      </x:c>
      <x:c r="G403" s="8" t="n">
        <x:f>C403*E403</x:f>
        <x:v>515.78</x:v>
      </x:c>
      <x:c r="H403" s="8" t="n">
        <x:f>F403-G403</x:f>
        <x:v>605.8800000000001</x:v>
      </x:c>
      <x:c r="I403" s="10" t="n">
        <x:f>H403/F403</x:f>
        <x:v>0.5401636859654442</x:v>
      </x:c>
    </x:row>
    <x:row r="404" ht="22" customHeight="1">
      <x:c r="A404" s="11" t="str">
        <x:v>1356</x:v>
      </x:c>
      <x:c r="B404" s="8" t="str">
        <x:v>Contoso 4 Handset Cordless Phone System M86 White</x:v>
      </x:c>
      <x:c r="C404" s="8" t="n">
        <x:v>75</x:v>
      </x:c>
      <x:c r="D404" s="9" t="n">
        <x:v>35.99</x:v>
      </x:c>
      <x:c r="E404" s="9" t="n">
        <x:v>16.55</x:v>
      </x:c>
      <x:c r="F404" s="8" t="n">
        <x:f>C404*D404</x:f>
        <x:v>2699.25</x:v>
      </x:c>
      <x:c r="G404" s="8" t="n">
        <x:f>C404*E404</x:f>
        <x:v>1241.25</x:v>
      </x:c>
      <x:c r="H404" s="8" t="n">
        <x:f>F404-G404</x:f>
        <x:v>1458</x:v>
      </x:c>
      <x:c r="I404" s="10" t="n">
        <x:f>H404/F404</x:f>
        <x:v>0.540150041678244</x:v>
      </x:c>
    </x:row>
    <x:row r="405" ht="22" customHeight="1">
      <x:c r="A405" s="11" t="str">
        <x:v>1357</x:v>
      </x:c>
      <x:c r="B405" s="8" t="str">
        <x:v>Contoso Private Automatic Branch Exchange M65 White</x:v>
      </x:c>
      <x:c r="C405" s="8" t="n">
        <x:v>57</x:v>
      </x:c>
      <x:c r="D405" s="9" t="n">
        <x:v>38.99</x:v>
      </x:c>
      <x:c r="E405" s="9" t="n">
        <x:v>17.93</x:v>
      </x:c>
      <x:c r="F405" s="8" t="n">
        <x:f>C405*D405</x:f>
        <x:v>2222.4300000000003</x:v>
      </x:c>
      <x:c r="G405" s="8" t="n">
        <x:f>C405*E405</x:f>
        <x:v>1022.01</x:v>
      </x:c>
      <x:c r="H405" s="8" t="n">
        <x:f>F405-G405</x:f>
        <x:v>1200.4200000000003</x:v>
      </x:c>
      <x:c r="I405" s="10" t="n">
        <x:f>H405/F405</x:f>
        <x:v>0.5401384970505259</x:v>
      </x:c>
    </x:row>
    <x:row r="406" ht="22" customHeight="1">
      <x:c r="A406" s="11" t="str">
        <x:v>1358</x:v>
      </x:c>
      <x:c r="B406" s="8" t="str">
        <x:v>Contoso Electronic Private Automatic Branch Exchange M90 White</x:v>
      </x:c>
      <x:c r="C406" s="8" t="n">
        <x:v>74</x:v>
      </x:c>
      <x:c r="D406" s="9" t="n">
        <x:v>39.99</x:v>
      </x:c>
      <x:c r="E406" s="9" t="n">
        <x:v>18.39</x:v>
      </x:c>
      <x:c r="F406" s="8" t="n">
        <x:f>C406*D406</x:f>
        <x:v>2959.26</x:v>
      </x:c>
      <x:c r="G406" s="8" t="n">
        <x:f>C406*E406</x:f>
        <x:v>1360.8600000000001</x:v>
      </x:c>
      <x:c r="H406" s="8" t="n">
        <x:f>F406-G406</x:f>
        <x:v>1598.4</x:v>
      </x:c>
      <x:c r="I406" s="10" t="n">
        <x:f>H406/F406</x:f>
        <x:v>0.5401350337584396</x:v>
      </x:c>
    </x:row>
    <x:row r="407" ht="22" customHeight="1">
      <x:c r="A407" s="11" t="str">
        <x:v>1359</x:v>
      </x:c>
      <x:c r="B407" s="8" t="str">
        <x:v>Contoso Centrex Phone System L10 White</x:v>
      </x:c>
      <x:c r="C407" s="8" t="n">
        <x:v>69</x:v>
      </x:c>
      <x:c r="D407" s="9" t="n">
        <x:v>42.99</x:v>
      </x:c>
      <x:c r="E407" s="9" t="n">
        <x:v>14.24</x:v>
      </x:c>
      <x:c r="F407" s="8" t="n">
        <x:f>C407*D407</x:f>
        <x:v>2966.31</x:v>
      </x:c>
      <x:c r="G407" s="8" t="n">
        <x:f>C407*E407</x:f>
        <x:v>982.5600000000001</x:v>
      </x:c>
      <x:c r="H407" s="8" t="n">
        <x:f>F407-G407</x:f>
        <x:v>1983.75</x:v>
      </x:c>
      <x:c r="I407" s="10" t="n">
        <x:f>H407/F407</x:f>
        <x:v>0.6687601767852989</x:v>
      </x:c>
    </x:row>
    <x:row r="408" ht="22" customHeight="1">
      <x:c r="A408" s="11" t="str">
        <x:v>136</x:v>
      </x:c>
      <x:c r="B408" s="8" t="str">
        <x:v>Adventure Works 20" LCD HDTV M120 Brown</x:v>
      </x:c>
      <x:c r="C408" s="8" t="n">
        <x:v>83</x:v>
      </x:c>
      <x:c r="D408" s="9" t="n">
        <x:v>349.95</x:v>
      </x:c>
      <x:c r="E408" s="9" t="n">
        <x:v>160.93</x:v>
      </x:c>
      <x:c r="F408" s="8" t="n">
        <x:f>C408*D408</x:f>
        <x:v>29045.85</x:v>
      </x:c>
      <x:c r="G408" s="8" t="n">
        <x:f>C408*E408</x:f>
        <x:v>13357.19</x:v>
      </x:c>
      <x:c r="H408" s="8" t="n">
        <x:f>F408-G408</x:f>
        <x:v>15688.659999999998</x:v>
      </x:c>
      <x:c r="I408" s="10" t="n">
        <x:f>H408/F408</x:f>
        <x:v>0.5401343049007</x:v>
      </x:c>
    </x:row>
    <x:row r="409" ht="22" customHeight="1">
      <x:c r="A409" s="11" t="str">
        <x:v>1360</x:v>
      </x:c>
      <x:c r="B409" s="8" t="str">
        <x:v>Contoso In front of Centrex L15 White</x:v>
      </x:c>
      <x:c r="C409" s="8" t="n">
        <x:v>82</x:v>
      </x:c>
      <x:c r="D409" s="9" t="n">
        <x:v>46.99</x:v>
      </x:c>
      <x:c r="E409" s="9" t="n">
        <x:v>15.57</x:v>
      </x:c>
      <x:c r="F409" s="8" t="n">
        <x:f>C409*D409</x:f>
        <x:v>3853.1800000000003</x:v>
      </x:c>
      <x:c r="G409" s="8" t="n">
        <x:f>C409*E409</x:f>
        <x:v>1276.74</x:v>
      </x:c>
      <x:c r="H409" s="8" t="n">
        <x:f>F409-G409</x:f>
        <x:v>2576.4400000000005</x:v>
      </x:c>
      <x:c r="I409" s="10" t="n">
        <x:f>H409/F409</x:f>
        <x:v>0.6686529048733774</x:v>
      </x:c>
    </x:row>
    <x:row r="410" ht="22" customHeight="1">
      <x:c r="A410" s="11" t="str">
        <x:v>1361</x:v>
      </x:c>
      <x:c r="B410" s="8" t="str">
        <x:v>Contoso Behind Centrex X15 White</x:v>
      </x:c>
      <x:c r="C410" s="8" t="n">
        <x:v>74</x:v>
      </x:c>
      <x:c r="D410" s="9" t="n">
        <x:v>49.99</x:v>
      </x:c>
      <x:c r="E410" s="9" t="n">
        <x:v>16.56</x:v>
      </x:c>
      <x:c r="F410" s="8" t="n">
        <x:f>C410*D410</x:f>
        <x:v>3699.26</x:v>
      </x:c>
      <x:c r="G410" s="8" t="n">
        <x:f>C410*E410</x:f>
        <x:v>1225.4399999999998</x:v>
      </x:c>
      <x:c r="H410" s="8" t="n">
        <x:f>F410-G410</x:f>
        <x:v>2473.8200000000006</x:v>
      </x:c>
      <x:c r="I410" s="10" t="n">
        <x:f>H410/F410</x:f>
        <x:v>0.66873374674935</x:v>
      </x:c>
    </x:row>
    <x:row r="411" ht="22" customHeight="1">
      <x:c r="A411" s="11" t="str">
        <x:v>1362</x:v>
      </x:c>
      <x:c r="B411" s="8" t="str">
        <x:v>Contoso Phone with 13-Number Memory (210) M301 White</x:v>
      </x:c>
      <x:c r="C411" s="8" t="n">
        <x:v>54</x:v>
      </x:c>
      <x:c r="D411" s="9" t="n">
        <x:v>16.99</x:v>
      </x:c>
      <x:c r="E411" s="9" t="n">
        <x:v>7.81</x:v>
      </x:c>
      <x:c r="F411" s="8" t="n">
        <x:f>C411*D411</x:f>
        <x:v>917.4599999999999</x:v>
      </x:c>
      <x:c r="G411" s="8" t="n">
        <x:f>C411*E411</x:f>
        <x:v>421.73999999999995</x:v>
      </x:c>
      <x:c r="H411" s="8" t="n">
        <x:f>F411-G411</x:f>
        <x:v>495.71999999999997</x:v>
      </x:c>
      <x:c r="I411" s="10" t="n">
        <x:f>H411/F411</x:f>
        <x:v>0.5403178340200118</x:v>
      </x:c>
    </x:row>
    <x:row r="412" ht="22" customHeight="1">
      <x:c r="A412" s="11" t="str">
        <x:v>1363</x:v>
      </x:c>
      <x:c r="B412" s="8" t="str">
        <x:v>Contoso Expandable Cordless Phone System M008 White</x:v>
      </x:c>
      <x:c r="C412" s="8" t="n">
        <x:v>60</x:v>
      </x:c>
      <x:c r="D412" s="9" t="n">
        <x:v>22.99</x:v>
      </x:c>
      <x:c r="E412" s="9" t="n">
        <x:v>10.57</x:v>
      </x:c>
      <x:c r="F412" s="8" t="n">
        <x:f>C412*D412</x:f>
        <x:v>1379.3999999999999</x:v>
      </x:c>
      <x:c r="G412" s="8" t="n">
        <x:f>C412*E412</x:f>
        <x:v>634.2</x:v>
      </x:c>
      <x:c r="H412" s="8" t="n">
        <x:f>F412-G412</x:f>
        <x:v>745.1999999999998</x:v>
      </x:c>
      <x:c r="I412" s="10" t="n">
        <x:f>H412/F412</x:f>
        <x:v>0.5402348847324923</x:v>
      </x:c>
    </x:row>
    <x:row r="413" ht="22" customHeight="1">
      <x:c r="A413" s="11" t="str">
        <x:v>1364</x:v>
      </x:c>
      <x:c r="B413" s="8" t="str">
        <x:v>Contoso Phone System Accessory Handset with Charger M308 White</x:v>
      </x:c>
      <x:c r="C413" s="8" t="n">
        <x:v>72</x:v>
      </x:c>
      <x:c r="D413" s="9" t="n">
        <x:v>26.99</x:v>
      </x:c>
      <x:c r="E413" s="9" t="n">
        <x:v>12.41</x:v>
      </x:c>
      <x:c r="F413" s="8" t="n">
        <x:f>C413*D413</x:f>
        <x:v>1943.28</x:v>
      </x:c>
      <x:c r="G413" s="8" t="n">
        <x:f>C413*E413</x:f>
        <x:v>893.52</x:v>
      </x:c>
      <x:c r="H413" s="8" t="n">
        <x:f>F413-G413</x:f>
        <x:v>1049.76</x:v>
      </x:c>
      <x:c r="I413" s="10" t="n">
        <x:f>H413/F413</x:f>
        <x:v>0.540200074101519</x:v>
      </x:c>
    </x:row>
    <x:row r="414" ht="22" customHeight="1">
      <x:c r="A414" s="11" t="str">
        <x:v>1365</x:v>
      </x:c>
      <x:c r="B414" s="8" t="str">
        <x:v>Contoso 2-Line Corded Cordless Telephone M202 White</x:v>
      </x:c>
      <x:c r="C414" s="8" t="n">
        <x:v>49</x:v>
      </x:c>
      <x:c r="D414" s="9" t="n">
        <x:v>28.99</x:v>
      </x:c>
      <x:c r="E414" s="9" t="n">
        <x:v>13.33</x:v>
      </x:c>
      <x:c r="F414" s="8" t="n">
        <x:f>C414*D414</x:f>
        <x:v>1420.51</x:v>
      </x:c>
      <x:c r="G414" s="8" t="n">
        <x:f>C414*E414</x:f>
        <x:v>653.17</x:v>
      </x:c>
      <x:c r="H414" s="8" t="n">
        <x:f>F414-G414</x:f>
        <x:v>767.34</x:v>
      </x:c>
      <x:c r="I414" s="10" t="n">
        <x:f>H414/F414</x:f>
        <x:v>0.5401862711279752</x:v>
      </x:c>
    </x:row>
    <x:row r="415" ht="22" customHeight="1">
      <x:c r="A415" s="11" t="str">
        <x:v>1366</x:v>
      </x:c>
      <x:c r="B415" s="8" t="str">
        <x:v>Contoso 4-Line Corded Cordless Telephone M203 White</x:v>
      </x:c>
      <x:c r="C415" s="8" t="n">
        <x:v>54</x:v>
      </x:c>
      <x:c r="D415" s="9" t="n">
        <x:v>32.99</x:v>
      </x:c>
      <x:c r="E415" s="9" t="n">
        <x:v>15.17</x:v>
      </x:c>
      <x:c r="F415" s="8" t="n">
        <x:f>C415*D415</x:f>
        <x:v>1781.46</x:v>
      </x:c>
      <x:c r="G415" s="8" t="n">
        <x:f>C415*E415</x:f>
        <x:v>819.18</x:v>
      </x:c>
      <x:c r="H415" s="8" t="n">
        <x:f>F415-G415</x:f>
        <x:v>962.2800000000001</x:v>
      </x:c>
      <x:c r="I415" s="10" t="n">
        <x:f>H415/F415</x:f>
        <x:v>0.5401636859654441</x:v>
      </x:c>
    </x:row>
    <x:row r="416" ht="22" customHeight="1">
      <x:c r="A416" s="11" t="str">
        <x:v>1367</x:v>
      </x:c>
      <x:c r="B416" s="8" t="str">
        <x:v>Contoso Expandable 3-Handset Cordless Phone System M204 White</x:v>
      </x:c>
      <x:c r="C416" s="8" t="n">
        <x:v>60</x:v>
      </x:c>
      <x:c r="D416" s="9" t="n">
        <x:v>35.99</x:v>
      </x:c>
      <x:c r="E416" s="9" t="n">
        <x:v>16.55</x:v>
      </x:c>
      <x:c r="F416" s="8" t="n">
        <x:f>C416*D416</x:f>
        <x:v>2159.4</x:v>
      </x:c>
      <x:c r="G416" s="8" t="n">
        <x:f>C416*E416</x:f>
        <x:v>993</x:v>
      </x:c>
      <x:c r="H416" s="8" t="n">
        <x:f>F416-G416</x:f>
        <x:v>1166.4</x:v>
      </x:c>
      <x:c r="I416" s="10" t="n">
        <x:f>H416/F416</x:f>
        <x:v>0.540150041678244</x:v>
      </x:c>
    </x:row>
    <x:row r="417" ht="22" customHeight="1">
      <x:c r="A417" s="11" t="str">
        <x:v>1368</x:v>
      </x:c>
      <x:c r="B417" s="8" t="str">
        <x:v>Contoso Expandable 2-Handset Cordless Phone System M205 White</x:v>
      </x:c>
      <x:c r="C417" s="8" t="n">
        <x:v>53</x:v>
      </x:c>
      <x:c r="D417" s="9" t="n">
        <x:v>40.19</x:v>
      </x:c>
      <x:c r="E417" s="9" t="n">
        <x:v>18.48</x:v>
      </x:c>
      <x:c r="F417" s="8" t="n">
        <x:f>C417*D417</x:f>
        <x:v>2130.0699999999997</x:v>
      </x:c>
      <x:c r="G417" s="8" t="n">
        <x:f>C417*E417</x:f>
        <x:v>979.44</x:v>
      </x:c>
      <x:c r="H417" s="8" t="n">
        <x:f>F417-G417</x:f>
        <x:v>1150.6299999999997</x:v>
      </x:c>
      <x:c r="I417" s="10" t="n">
        <x:f>H417/F417</x:f>
        <x:v>0.5401841254043294</x:v>
      </x:c>
    </x:row>
    <x:row r="418" ht="22" customHeight="1">
      <x:c r="A418" s="11" t="str">
        <x:v>1369</x:v>
      </x:c>
      <x:c r="B418" s="8" t="str">
        <x:v>Contoso Expandable 4-Handset Cordless Phone System M206 White</x:v>
      </x:c>
      <x:c r="C418" s="8" t="n">
        <x:v>54</x:v>
      </x:c>
      <x:c r="D418" s="9" t="n">
        <x:v>43.81</x:v>
      </x:c>
      <x:c r="E418" s="9" t="n">
        <x:v>20.15</x:v>
      </x:c>
      <x:c r="F418" s="8" t="n">
        <x:f>C418*D418</x:f>
        <x:v>2365.7400000000002</x:v>
      </x:c>
      <x:c r="G418" s="8" t="n">
        <x:f>C418*E418</x:f>
        <x:v>1088.1</x:v>
      </x:c>
      <x:c r="H418" s="8" t="n">
        <x:f>F418-G418</x:f>
        <x:v>1277.6400000000003</x:v>
      </x:c>
      <x:c r="I418" s="10" t="n">
        <x:f>H418/F418</x:f>
        <x:v>0.540059347181009</x:v>
      </x:c>
    </x:row>
    <x:row r="419" ht="22" customHeight="1">
      <x:c r="A419" s="11" t="str">
        <x:v>137</x:v>
      </x:c>
      <x:c r="B419" s="8" t="str">
        <x:v>Adventure Works 32" LCD HDTV M130 Silver</x:v>
      </x:c>
      <x:c r="C419" s="8" t="n">
        <x:v>111</x:v>
      </x:c>
      <x:c r="D419" s="9" t="n">
        <x:v>499.99</x:v>
      </x:c>
      <x:c r="E419" s="9" t="n">
        <x:v>229.93</x:v>
      </x:c>
      <x:c r="F419" s="8" t="n">
        <x:f>C419*D419</x:f>
        <x:v>55498.89</x:v>
      </x:c>
      <x:c r="G419" s="8" t="n">
        <x:f>C419*E419</x:f>
        <x:v>25522.23</x:v>
      </x:c>
      <x:c r="H419" s="8" t="n">
        <x:f>F419-G419</x:f>
        <x:v>29976.66</x:v>
      </x:c>
      <x:c r="I419" s="10" t="n">
        <x:f>H419/F419</x:f>
        <x:v>0.5401308026160523</x:v>
      </x:c>
    </x:row>
    <x:row r="420" ht="22" customHeight="1">
      <x:c r="A420" s="11" t="str">
        <x:v>1370</x:v>
      </x:c>
      <x:c r="B420" s="8" t="str">
        <x:v>Contoso Expandable1-Handset Cordless Phone System M207 White</x:v>
      </x:c>
      <x:c r="C420" s="8" t="n">
        <x:v>59</x:v>
      </x:c>
      <x:c r="D420" s="9" t="n">
        <x:v>47.44</x:v>
      </x:c>
      <x:c r="E420" s="9" t="n">
        <x:v>21.82</x:v>
      </x:c>
      <x:c r="F420" s="8" t="n">
        <x:f>C420*D420</x:f>
        <x:v>2798.96</x:v>
      </x:c>
      <x:c r="G420" s="8" t="n">
        <x:f>C420*E420</x:f>
        <x:v>1287.38</x:v>
      </x:c>
      <x:c r="H420" s="8" t="n">
        <x:f>F420-G420</x:f>
        <x:v>1511.58</x:v>
      </x:c>
      <x:c r="I420" s="10" t="n">
        <x:f>H420/F420</x:f>
        <x:v>0.5400505902192243</x:v>
      </x:c>
    </x:row>
    <x:row r="421" ht="22" customHeight="1">
      <x:c r="A421" s="11" t="str">
        <x:v>1371</x:v>
      </x:c>
      <x:c r="B421" s="8" t="str">
        <x:v>Contoso Digital Cordless Expansion Handset Phone M900 White</x:v>
      </x:c>
      <x:c r="C421" s="8" t="n">
        <x:v>33</x:v>
      </x:c>
      <x:c r="D421" s="9" t="n">
        <x:v>32.99</x:v>
      </x:c>
      <x:c r="E421" s="9" t="n">
        <x:v>15.17</x:v>
      </x:c>
      <x:c r="F421" s="8" t="n">
        <x:f>C421*D421</x:f>
        <x:v>1088.67</x:v>
      </x:c>
      <x:c r="G421" s="8" t="n">
        <x:f>C421*E421</x:f>
        <x:v>500.61</x:v>
      </x:c>
      <x:c r="H421" s="8" t="n">
        <x:f>F421-G421</x:f>
        <x:v>588.0600000000001</x:v>
      </x:c>
      <x:c r="I421" s="10" t="n">
        <x:f>H421/F421</x:f>
        <x:v>0.5401636859654441</x:v>
      </x:c>
    </x:row>
    <x:row r="422" ht="22" customHeight="1">
      <x:c r="A422" s="11" t="str">
        <x:v>1372</x:v>
      </x:c>
      <x:c r="B422" s="8" t="str">
        <x:v>Contoso 2-Line Speakerphone M109 White</x:v>
      </x:c>
      <x:c r="C422" s="8" t="n">
        <x:v>88</x:v>
      </x:c>
      <x:c r="D422" s="9" t="n">
        <x:v>35.99</x:v>
      </x:c>
      <x:c r="E422" s="9" t="n">
        <x:v>16.55</x:v>
      </x:c>
      <x:c r="F422" s="8" t="n">
        <x:f>C422*D422</x:f>
        <x:v>3167.1200000000003</x:v>
      </x:c>
      <x:c r="G422" s="8" t="n">
        <x:f>C422*E422</x:f>
        <x:v>1456.4</x:v>
      </x:c>
      <x:c r="H422" s="8" t="n">
        <x:f>F422-G422</x:f>
        <x:v>1710.7200000000003</x:v>
      </x:c>
      <x:c r="I422" s="10" t="n">
        <x:f>H422/F422</x:f>
        <x:v>0.540150041678244</x:v>
      </x:c>
    </x:row>
    <x:row r="423" ht="22" customHeight="1">
      <x:c r="A423" s="11" t="str">
        <x:v>1373</x:v>
      </x:c>
      <x:c r="B423" s="8" t="str">
        <x:v>Contoso Phone with Memory Dialing-single line E88 White</x:v>
      </x:c>
      <x:c r="C423" s="8" t="n">
        <x:v>62</x:v>
      </x:c>
      <x:c r="D423" s="9" t="n">
        <x:v>14.19</x:v>
      </x:c>
      <x:c r="E423" s="9" t="n">
        <x:v>7.23</x:v>
      </x:c>
      <x:c r="F423" s="8" t="n">
        <x:f>C423*D423</x:f>
        <x:v>879.78</x:v>
      </x:c>
      <x:c r="G423" s="8" t="n">
        <x:f>C423*E423</x:f>
        <x:v>448.26000000000005</x:v>
      </x:c>
      <x:c r="H423" s="8" t="n">
        <x:f>F423-G423</x:f>
        <x:v>431.5199999999999</x:v>
      </x:c>
      <x:c r="I423" s="10" t="n">
        <x:f>H423/F423</x:f>
        <x:v>0.49048625792811834</x:v>
      </x:c>
    </x:row>
    <x:row r="424" ht="22" customHeight="1">
      <x:c r="A424" s="11" t="str">
        <x:v>1374</x:v>
      </x:c>
      <x:c r="B424" s="8" t="str">
        <x:v>Contoso Phone with Memory Dialing-2 lines E90 White</x:v>
      </x:c>
      <x:c r="C424" s="8" t="n">
        <x:v>61</x:v>
      </x:c>
      <x:c r="D424" s="9" t="n">
        <x:v>16</x:v>
      </x:c>
      <x:c r="E424" s="9" t="n">
        <x:v>8.16</x:v>
      </x:c>
      <x:c r="F424" s="8" t="n">
        <x:f>C424*D424</x:f>
        <x:v>976</x:v>
      </x:c>
      <x:c r="G424" s="8" t="n">
        <x:f>C424*E424</x:f>
        <x:v>497.76</x:v>
      </x:c>
      <x:c r="H424" s="8" t="n">
        <x:f>F424-G424</x:f>
        <x:v>478.24</x:v>
      </x:c>
      <x:c r="I424" s="10" t="n">
        <x:f>H424/F424</x:f>
        <x:v>0.49</x:v>
      </x:c>
    </x:row>
    <x:row r="425" ht="22" customHeight="1">
      <x:c r="A425" s="11" t="str">
        <x:v>1375</x:v>
      </x:c>
      <x:c r="B425" s="8" t="str">
        <x:v>Contoso Integrated Business Phone With card L10 White</x:v>
      </x:c>
      <x:c r="C425" s="8" t="n">
        <x:v>77</x:v>
      </x:c>
      <x:c r="D425" s="9" t="n">
        <x:v>42</x:v>
      </x:c>
      <x:c r="E425" s="9" t="n">
        <x:v>13.92</x:v>
      </x:c>
      <x:c r="F425" s="8" t="n">
        <x:f>C425*D425</x:f>
        <x:v>3234</x:v>
      </x:c>
      <x:c r="G425" s="8" t="n">
        <x:f>C425*E425</x:f>
        <x:v>1071.84</x:v>
      </x:c>
      <x:c r="H425" s="8" t="n">
        <x:f>F425-G425</x:f>
        <x:v>2162.16</x:v>
      </x:c>
      <x:c r="I425" s="10" t="n">
        <x:f>H425/F425</x:f>
        <x:v>0.6685714285714285</x:v>
      </x:c>
    </x:row>
    <x:row r="426" ht="22" customHeight="1">
      <x:c r="A426" s="11" t="str">
        <x:v>1376</x:v>
      </x:c>
      <x:c r="B426" s="8" t="str">
        <x:v>Contoso Integrated Business Phone L08 White</x:v>
      </x:c>
      <x:c r="C426" s="8" t="n">
        <x:v>43</x:v>
      </x:c>
      <x:c r="D426" s="9" t="n">
        <x:v>31</x:v>
      </x:c>
      <x:c r="E426" s="9" t="n">
        <x:v>10.27</x:v>
      </x:c>
      <x:c r="F426" s="8" t="n">
        <x:f>C426*D426</x:f>
        <x:v>1333</x:v>
      </x:c>
      <x:c r="G426" s="8" t="n">
        <x:f>C426*E426</x:f>
        <x:v>441.60999999999996</x:v>
      </x:c>
      <x:c r="H426" s="8" t="n">
        <x:f>F426-G426</x:f>
        <x:v>891.3900000000001</x:v>
      </x:c>
      <x:c r="I426" s="10" t="n">
        <x:f>H426/F426</x:f>
        <x:v>0.6687096774193549</x:v>
      </x:c>
    </x:row>
    <x:row r="427" ht="22" customHeight="1">
      <x:c r="A427" s="11" t="str">
        <x:v>1377</x:v>
      </x:c>
      <x:c r="B427" s="8" t="str">
        <x:v>Contoso Phone for MSN E200 White</x:v>
      </x:c>
      <x:c r="C427" s="8" t="n">
        <x:v>55</x:v>
      </x:c>
      <x:c r="D427" s="9" t="n">
        <x:v>16</x:v>
      </x:c>
      <x:c r="E427" s="9" t="n">
        <x:v>8.16</x:v>
      </x:c>
      <x:c r="F427" s="8" t="n">
        <x:f>C427*D427</x:f>
        <x:v>880</x:v>
      </x:c>
      <x:c r="G427" s="8" t="n">
        <x:f>C427*E427</x:f>
        <x:v>448.8</x:v>
      </x:c>
      <x:c r="H427" s="8" t="n">
        <x:f>F427-G427</x:f>
        <x:v>431.2</x:v>
      </x:c>
      <x:c r="I427" s="10" t="n">
        <x:f>H427/F427</x:f>
        <x:v>0.49</x:v>
      </x:c>
    </x:row>
    <x:row r="428" ht="22" customHeight="1">
      <x:c r="A428" s="11" t="str">
        <x:v>1378</x:v>
      </x:c>
      <x:c r="B428" s="8" t="str">
        <x:v>Contoso 4-Line Expandable Cordless Phone System M900 White</x:v>
      </x:c>
      <x:c r="C428" s="8" t="n">
        <x:v>52</x:v>
      </x:c>
      <x:c r="D428" s="9" t="n">
        <x:v>22</x:v>
      </x:c>
      <x:c r="E428" s="9" t="n">
        <x:v>10.12</x:v>
      </x:c>
      <x:c r="F428" s="8" t="n">
        <x:f>C428*D428</x:f>
        <x:v>1144</x:v>
      </x:c>
      <x:c r="G428" s="8" t="n">
        <x:f>C428*E428</x:f>
        <x:v>526.24</x:v>
      </x:c>
      <x:c r="H428" s="8" t="n">
        <x:f>F428-G428</x:f>
        <x:v>617.76</x:v>
      </x:c>
      <x:c r="I428" s="10" t="n">
        <x:f>H428/F428</x:f>
        <x:v>0.54</x:v>
      </x:c>
    </x:row>
    <x:row r="429" ht="22" customHeight="1">
      <x:c r="A429" s="11" t="str">
        <x:v>1379</x:v>
      </x:c>
      <x:c r="B429" s="8" t="str">
        <x:v>Contoso Lifestyles Series - Big Button Cordless phone M800 White</x:v>
      </x:c>
      <x:c r="C429" s="8" t="n">
        <x:v>56</x:v>
      </x:c>
      <x:c r="D429" s="9" t="n">
        <x:v>23</x:v>
      </x:c>
      <x:c r="E429" s="9" t="n">
        <x:v>10.58</x:v>
      </x:c>
      <x:c r="F429" s="8" t="n">
        <x:f>C429*D429</x:f>
        <x:v>1288</x:v>
      </x:c>
      <x:c r="G429" s="8" t="n">
        <x:f>C429*E429</x:f>
        <x:v>592.48</x:v>
      </x:c>
      <x:c r="H429" s="8" t="n">
        <x:f>F429-G429</x:f>
        <x:v>695.52</x:v>
      </x:c>
      <x:c r="I429" s="10" t="n">
        <x:f>H429/F429</x:f>
        <x:v>0.54</x:v>
      </x:c>
    </x:row>
    <x:row r="430" ht="22" customHeight="1">
      <x:c r="A430" s="11" t="str">
        <x:v>138</x:v>
      </x:c>
      <x:c r="B430" s="8" t="str">
        <x:v>Adventure Works 32" LCD HDTV M130 Black</x:v>
      </x:c>
      <x:c r="C430" s="8" t="n">
        <x:v>158</x:v>
      </x:c>
      <x:c r="D430" s="9" t="n">
        <x:v>499.99</x:v>
      </x:c>
      <x:c r="E430" s="9" t="n">
        <x:v>229.93</x:v>
      </x:c>
      <x:c r="F430" s="8" t="n">
        <x:f>C430*D430</x:f>
        <x:v>78998.42</x:v>
      </x:c>
      <x:c r="G430" s="8" t="n">
        <x:f>C430*E430</x:f>
        <x:v>36328.94</x:v>
      </x:c>
      <x:c r="H430" s="8" t="n">
        <x:f>F430-G430</x:f>
        <x:v>42669.479999999996</x:v>
      </x:c>
      <x:c r="I430" s="10" t="n">
        <x:f>H430/F430</x:f>
        <x:v>0.5401308026160523</x:v>
      </x:c>
    </x:row>
    <x:row r="431" ht="22" customHeight="1">
      <x:c r="A431" s="11" t="str">
        <x:v>1380</x:v>
      </x:c>
      <x:c r="B431" s="8" t="str">
        <x:v>Contoso Bedroom Phone with AM/FM Stereo and Call Waiting Caller ID M600 White</x:v>
      </x:c>
      <x:c r="C431" s="8" t="n">
        <x:v>57</x:v>
      </x:c>
      <x:c r="D431" s="9" t="n">
        <x:v>21</x:v>
      </x:c>
      <x:c r="E431" s="9" t="n">
        <x:v>9.66</x:v>
      </x:c>
      <x:c r="F431" s="8" t="n">
        <x:f>C431*D431</x:f>
        <x:v>1197</x:v>
      </x:c>
      <x:c r="G431" s="8" t="n">
        <x:f>C431*E431</x:f>
        <x:v>550.62</x:v>
      </x:c>
      <x:c r="H431" s="8" t="n">
        <x:f>F431-G431</x:f>
        <x:v>646.38</x:v>
      </x:c>
      <x:c r="I431" s="10" t="n">
        <x:f>H431/F431</x:f>
        <x:v>0.54</x:v>
      </x:c>
    </x:row>
    <x:row r="432" ht="22" customHeight="1">
      <x:c r="A432" s="11" t="str">
        <x:v>1381</x:v>
      </x:c>
      <x:c r="B432" s="8" t="str">
        <x:v>Contoso Waterproof Accessory Handset and Charging Cradle M609 White</x:v>
      </x:c>
      <x:c r="C432" s="8" t="n">
        <x:v>68</x:v>
      </x:c>
      <x:c r="D432" s="9" t="n">
        <x:v>22.99</x:v>
      </x:c>
      <x:c r="E432" s="9" t="n">
        <x:v>10.57</x:v>
      </x:c>
      <x:c r="F432" s="8" t="n">
        <x:f>C432*D432</x:f>
        <x:v>1563.32</x:v>
      </x:c>
      <x:c r="G432" s="8" t="n">
        <x:f>C432*E432</x:f>
        <x:v>718.76</x:v>
      </x:c>
      <x:c r="H432" s="8" t="n">
        <x:f>F432-G432</x:f>
        <x:v>844.56</x:v>
      </x:c>
      <x:c r="I432" s="10" t="n">
        <x:f>H432/F432</x:f>
        <x:v>0.5402348847324924</x:v>
      </x:c>
    </x:row>
    <x:row r="433" ht="22" customHeight="1">
      <x:c r="A433" s="11" t="str">
        <x:v>1382</x:v>
      </x:c>
      <x:c r="B433" s="8" t="str">
        <x:v>Contoso Single-line phones E10 Grey</x:v>
      </x:c>
      <x:c r="C433" s="8" t="n">
        <x:v>38</x:v>
      </x:c>
      <x:c r="D433" s="9" t="n">
        <x:v>9.99</x:v>
      </x:c>
      <x:c r="E433" s="9" t="n">
        <x:v>5.09</x:v>
      </x:c>
      <x:c r="F433" s="8" t="n">
        <x:f>C433*D433</x:f>
        <x:v>379.62</x:v>
      </x:c>
      <x:c r="G433" s="8" t="n">
        <x:f>C433*E433</x:f>
        <x:v>193.42</x:v>
      </x:c>
      <x:c r="H433" s="8" t="n">
        <x:f>F433-G433</x:f>
        <x:v>186.20000000000002</x:v>
      </x:c>
      <x:c r="I433" s="10" t="n">
        <x:f>H433/F433</x:f>
        <x:v>0.49049049049049054</x:v>
      </x:c>
    </x:row>
    <x:row r="434" ht="22" customHeight="1">
      <x:c r="A434" s="11" t="str">
        <x:v>1383</x:v>
      </x:c>
      <x:c r="B434" s="8" t="str">
        <x:v>Contoso Dual Handset Cordless Phone System E20 Grey</x:v>
      </x:c>
      <x:c r="C434" s="8" t="n">
        <x:v>45</x:v>
      </x:c>
      <x:c r="D434" s="9" t="n">
        <x:v>12.99</x:v>
      </x:c>
      <x:c r="E434" s="9" t="n">
        <x:v>6.62</x:v>
      </x:c>
      <x:c r="F434" s="8" t="n">
        <x:f>C434*D434</x:f>
        <x:v>584.55</x:v>
      </x:c>
      <x:c r="G434" s="8" t="n">
        <x:f>C434*E434</x:f>
        <x:v>297.9</x:v>
      </x:c>
      <x:c r="H434" s="8" t="n">
        <x:f>F434-G434</x:f>
        <x:v>286.65</x:v>
      </x:c>
      <x:c r="I434" s="10" t="n">
        <x:f>H434/F434</x:f>
        <x:v>0.49037721324095457</x:v>
      </x:c>
    </x:row>
    <x:row r="435" ht="22" customHeight="1">
      <x:c r="A435" s="11" t="str">
        <x:v>1384</x:v>
      </x:c>
      <x:c r="B435" s="8" t="str">
        <x:v>Contoso 3 Handset Cordless Phone System E30 Grey</x:v>
      </x:c>
      <x:c r="C435" s="8" t="n">
        <x:v>42</x:v>
      </x:c>
      <x:c r="D435" s="9" t="n">
        <x:v>16.99</x:v>
      </x:c>
      <x:c r="E435" s="9" t="n">
        <x:v>8.66</x:v>
      </x:c>
      <x:c r="F435" s="8" t="n">
        <x:f>C435*D435</x:f>
        <x:v>713.5799999999999</x:v>
      </x:c>
      <x:c r="G435" s="8" t="n">
        <x:f>C435*E435</x:f>
        <x:v>363.72</x:v>
      </x:c>
      <x:c r="H435" s="8" t="n">
        <x:f>F435-G435</x:f>
        <x:v>349.8599999999999</x:v>
      </x:c>
      <x:c r="I435" s="10" t="n">
        <x:f>H435/F435</x:f>
        <x:v>0.49028840494408465</x:v>
      </x:c>
    </x:row>
    <x:row r="436" ht="22" customHeight="1">
      <x:c r="A436" s="11" t="str">
        <x:v>1385</x:v>
      </x:c>
      <x:c r="B436" s="8" t="str">
        <x:v>Contoso Multi-line phones M30 Grey</x:v>
      </x:c>
      <x:c r="C436" s="8" t="n">
        <x:v>91</x:v>
      </x:c>
      <x:c r="D436" s="9" t="n">
        <x:v>22.99</x:v>
      </x:c>
      <x:c r="E436" s="9" t="n">
        <x:v>10.57</x:v>
      </x:c>
      <x:c r="F436" s="8" t="n">
        <x:f>C436*D436</x:f>
        <x:v>2092.0899999999997</x:v>
      </x:c>
      <x:c r="G436" s="8" t="n">
        <x:f>C436*E436</x:f>
        <x:v>961.87</x:v>
      </x:c>
      <x:c r="H436" s="8" t="n">
        <x:f>F436-G436</x:f>
        <x:v>1130.2199999999998</x:v>
      </x:c>
      <x:c r="I436" s="10" t="n">
        <x:f>H436/F436</x:f>
        <x:v>0.5402348847324924</x:v>
      </x:c>
    </x:row>
    <x:row r="437" ht="22" customHeight="1">
      <x:c r="A437" s="11" t="str">
        <x:v>1386</x:v>
      </x:c>
      <x:c r="B437" s="8" t="str">
        <x:v>Contoso KSU-less key system M38 Grey</x:v>
      </x:c>
      <x:c r="C437" s="8" t="n">
        <x:v>80</x:v>
      </x:c>
      <x:c r="D437" s="9" t="n">
        <x:v>26.99</x:v>
      </x:c>
      <x:c r="E437" s="9" t="n">
        <x:v>12.41</x:v>
      </x:c>
      <x:c r="F437" s="8" t="n">
        <x:f>C437*D437</x:f>
        <x:v>2159.2</x:v>
      </x:c>
      <x:c r="G437" s="8" t="n">
        <x:f>C437*E437</x:f>
        <x:v>992.8</x:v>
      </x:c>
      <x:c r="H437" s="8" t="n">
        <x:f>F437-G437</x:f>
        <x:v>1166.3999999999999</x:v>
      </x:c>
      <x:c r="I437" s="10" t="n">
        <x:f>H437/F437</x:f>
        <x:v>0.540200074101519</x:v>
      </x:c>
    </x:row>
    <x:row r="438" ht="22" customHeight="1">
      <x:c r="A438" s="11" t="str">
        <x:v>1387</x:v>
      </x:c>
      <x:c r="B438" s="8" t="str">
        <x:v>Contoso Hybrid system M60 Grey</x:v>
      </x:c>
      <x:c r="C438" s="8" t="n">
        <x:v>73</x:v>
      </x:c>
      <x:c r="D438" s="9" t="n">
        <x:v>28.99</x:v>
      </x:c>
      <x:c r="E438" s="9" t="n">
        <x:v>13.33</x:v>
      </x:c>
      <x:c r="F438" s="8" t="n">
        <x:f>C438*D438</x:f>
        <x:v>2116.27</x:v>
      </x:c>
      <x:c r="G438" s="8" t="n">
        <x:f>C438*E438</x:f>
        <x:v>973.09</x:v>
      </x:c>
      <x:c r="H438" s="8" t="n">
        <x:f>F438-G438</x:f>
        <x:v>1143.1799999999998</x:v>
      </x:c>
      <x:c r="I438" s="10" t="n">
        <x:f>H438/F438</x:f>
        <x:v>0.5401862711279751</x:v>
      </x:c>
    </x:row>
    <x:row r="439" ht="22" customHeight="1">
      <x:c r="A439" s="11" t="str">
        <x:v>1388</x:v>
      </x:c>
      <x:c r="B439" s="8" t="str">
        <x:v>Contoso Private Branch Exchange M88 Grey</x:v>
      </x:c>
      <x:c r="C439" s="8" t="n">
        <x:v>76</x:v>
      </x:c>
      <x:c r="D439" s="9" t="n">
        <x:v>32.99</x:v>
      </x:c>
      <x:c r="E439" s="9" t="n">
        <x:v>15.17</x:v>
      </x:c>
      <x:c r="F439" s="8" t="n">
        <x:f>C439*D439</x:f>
        <x:v>2507.2400000000002</x:v>
      </x:c>
      <x:c r="G439" s="8" t="n">
        <x:f>C439*E439</x:f>
        <x:v>1152.92</x:v>
      </x:c>
      <x:c r="H439" s="8" t="n">
        <x:f>F439-G439</x:f>
        <x:v>1354.3200000000002</x:v>
      </x:c>
      <x:c r="I439" s="10" t="n">
        <x:f>H439/F439</x:f>
        <x:v>0.5401636859654441</x:v>
      </x:c>
    </x:row>
    <x:row r="440" ht="22" customHeight="1">
      <x:c r="A440" s="11" t="str">
        <x:v>1389</x:v>
      </x:c>
      <x:c r="B440" s="8" t="str">
        <x:v>Contoso 4 Handset Cordless Phone System M86 Grey</x:v>
      </x:c>
      <x:c r="C440" s="8" t="n">
        <x:v>60</x:v>
      </x:c>
      <x:c r="D440" s="9" t="n">
        <x:v>35.99</x:v>
      </x:c>
      <x:c r="E440" s="9" t="n">
        <x:v>16.55</x:v>
      </x:c>
      <x:c r="F440" s="8" t="n">
        <x:f>C440*D440</x:f>
        <x:v>2159.4</x:v>
      </x:c>
      <x:c r="G440" s="8" t="n">
        <x:f>C440*E440</x:f>
        <x:v>993</x:v>
      </x:c>
      <x:c r="H440" s="8" t="n">
        <x:f>F440-G440</x:f>
        <x:v>1166.4</x:v>
      </x:c>
      <x:c r="I440" s="10" t="n">
        <x:f>H440/F440</x:f>
        <x:v>0.540150041678244</x:v>
      </x:c>
    </x:row>
    <x:row r="441" ht="22" customHeight="1">
      <x:c r="A441" s="11" t="str">
        <x:v>139</x:v>
      </x:c>
      <x:c r="B441" s="8" t="str">
        <x:v>Adventure Works 32" LCD HDTV M130 White</x:v>
      </x:c>
      <x:c r="C441" s="8" t="n">
        <x:v>88</x:v>
      </x:c>
      <x:c r="D441" s="9" t="n">
        <x:v>499.99</x:v>
      </x:c>
      <x:c r="E441" s="9" t="n">
        <x:v>229.93</x:v>
      </x:c>
      <x:c r="F441" s="8" t="n">
        <x:f>C441*D441</x:f>
        <x:v>43999.12</x:v>
      </x:c>
      <x:c r="G441" s="8" t="n">
        <x:f>C441*E441</x:f>
        <x:v>20233.84</x:v>
      </x:c>
      <x:c r="H441" s="8" t="n">
        <x:f>F441-G441</x:f>
        <x:v>23765.280000000002</x:v>
      </x:c>
      <x:c r="I441" s="10" t="n">
        <x:f>H441/F441</x:f>
        <x:v>0.5401308026160524</x:v>
      </x:c>
    </x:row>
    <x:row r="442" ht="22" customHeight="1">
      <x:c r="A442" s="11" t="str">
        <x:v>1390</x:v>
      </x:c>
      <x:c r="B442" s="8" t="str">
        <x:v>Contoso Private Automatic Branch Exchange M65 Grey</x:v>
      </x:c>
      <x:c r="C442" s="8" t="n">
        <x:v>38</x:v>
      </x:c>
      <x:c r="D442" s="9" t="n">
        <x:v>38.99</x:v>
      </x:c>
      <x:c r="E442" s="9" t="n">
        <x:v>17.93</x:v>
      </x:c>
      <x:c r="F442" s="8" t="n">
        <x:f>C442*D442</x:f>
        <x:v>1481.6200000000001</x:v>
      </x:c>
      <x:c r="G442" s="8" t="n">
        <x:f>C442*E442</x:f>
        <x:v>681.34</x:v>
      </x:c>
      <x:c r="H442" s="8" t="n">
        <x:f>F442-G442</x:f>
        <x:v>800.2800000000001</x:v>
      </x:c>
      <x:c r="I442" s="10" t="n">
        <x:f>H442/F442</x:f>
        <x:v>0.5401384970505257</x:v>
      </x:c>
    </x:row>
    <x:row r="443" ht="22" customHeight="1">
      <x:c r="A443" s="11" t="str">
        <x:v>1391</x:v>
      </x:c>
      <x:c r="B443" s="8" t="str">
        <x:v>Contoso Electronic Private Automatic Branch Exchange M90 Grey</x:v>
      </x:c>
      <x:c r="C443" s="8" t="n">
        <x:v>53</x:v>
      </x:c>
      <x:c r="D443" s="9" t="n">
        <x:v>39.99</x:v>
      </x:c>
      <x:c r="E443" s="9" t="n">
        <x:v>18.39</x:v>
      </x:c>
      <x:c r="F443" s="8" t="n">
        <x:f>C443*D443</x:f>
        <x:v>2119.4700000000003</x:v>
      </x:c>
      <x:c r="G443" s="8" t="n">
        <x:f>C443*E443</x:f>
        <x:v>974.6700000000001</x:v>
      </x:c>
      <x:c r="H443" s="8" t="n">
        <x:f>F443-G443</x:f>
        <x:v>1144.8000000000002</x:v>
      </x:c>
      <x:c r="I443" s="10" t="n">
        <x:f>H443/F443</x:f>
        <x:v>0.5401350337584396</x:v>
      </x:c>
    </x:row>
    <x:row r="444" ht="22" customHeight="1">
      <x:c r="A444" s="11" t="str">
        <x:v>1392</x:v>
      </x:c>
      <x:c r="B444" s="8" t="str">
        <x:v>Contoso Centrex Phone System L10 Grey</x:v>
      </x:c>
      <x:c r="C444" s="8" t="n">
        <x:v>59</x:v>
      </x:c>
      <x:c r="D444" s="9" t="n">
        <x:v>42.99</x:v>
      </x:c>
      <x:c r="E444" s="9" t="n">
        <x:v>14.24</x:v>
      </x:c>
      <x:c r="F444" s="8" t="n">
        <x:f>C444*D444</x:f>
        <x:v>2536.4100000000003</x:v>
      </x:c>
      <x:c r="G444" s="8" t="n">
        <x:f>C444*E444</x:f>
        <x:v>840.16</x:v>
      </x:c>
      <x:c r="H444" s="8" t="n">
        <x:f>F444-G444</x:f>
        <x:v>1696.2500000000005</x:v>
      </x:c>
      <x:c r="I444" s="10" t="n">
        <x:f>H444/F444</x:f>
        <x:v>0.668760176785299</x:v>
      </x:c>
    </x:row>
    <x:row r="445" ht="22" customHeight="1">
      <x:c r="A445" s="11" t="str">
        <x:v>1393</x:v>
      </x:c>
      <x:c r="B445" s="8" t="str">
        <x:v>Contoso In front of Centrex L15 Grey</x:v>
      </x:c>
      <x:c r="C445" s="8" t="n">
        <x:v>60</x:v>
      </x:c>
      <x:c r="D445" s="9" t="n">
        <x:v>46.99</x:v>
      </x:c>
      <x:c r="E445" s="9" t="n">
        <x:v>15.57</x:v>
      </x:c>
      <x:c r="F445" s="8" t="n">
        <x:f>C445*D445</x:f>
        <x:v>2819.4</x:v>
      </x:c>
      <x:c r="G445" s="8" t="n">
        <x:f>C445*E445</x:f>
        <x:v>934.2</x:v>
      </x:c>
      <x:c r="H445" s="8" t="n">
        <x:f>F445-G445</x:f>
        <x:v>1885.2</x:v>
      </x:c>
      <x:c r="I445" s="10" t="n">
        <x:f>H445/F445</x:f>
        <x:v>0.6686529048733774</x:v>
      </x:c>
    </x:row>
    <x:row r="446" ht="22" customHeight="1">
      <x:c r="A446" s="11" t="str">
        <x:v>1394</x:v>
      </x:c>
      <x:c r="B446" s="8" t="str">
        <x:v>Contoso behind Centrex X15 Grey</x:v>
      </x:c>
      <x:c r="C446" s="8" t="n">
        <x:v>78</x:v>
      </x:c>
      <x:c r="D446" s="9" t="n">
        <x:v>49.99</x:v>
      </x:c>
      <x:c r="E446" s="9" t="n">
        <x:v>16.56</x:v>
      </x:c>
      <x:c r="F446" s="8" t="n">
        <x:f>C446*D446</x:f>
        <x:v>3899.2200000000003</x:v>
      </x:c>
      <x:c r="G446" s="8" t="n">
        <x:f>C446*E446</x:f>
        <x:v>1291.6799999999998</x:v>
      </x:c>
      <x:c r="H446" s="8" t="n">
        <x:f>F446-G446</x:f>
        <x:v>2607.5400000000004</x:v>
      </x:c>
      <x:c r="I446" s="10" t="n">
        <x:f>H446/F446</x:f>
        <x:v>0.6687337467493499</x:v>
      </x:c>
    </x:row>
    <x:row r="447" ht="22" customHeight="1">
      <x:c r="A447" s="11" t="str">
        <x:v>1395</x:v>
      </x:c>
      <x:c r="B447" s="8" t="str">
        <x:v>Contoso Phone with 13-Number Memory (210) M301 Grey</x:v>
      </x:c>
      <x:c r="C447" s="8" t="n">
        <x:v>50</x:v>
      </x:c>
      <x:c r="D447" s="9" t="n">
        <x:v>16.99</x:v>
      </x:c>
      <x:c r="E447" s="9" t="n">
        <x:v>7.81</x:v>
      </x:c>
      <x:c r="F447" s="8" t="n">
        <x:f>C447*D447</x:f>
        <x:v>849.4999999999999</x:v>
      </x:c>
      <x:c r="G447" s="8" t="n">
        <x:f>C447*E447</x:f>
        <x:v>390.5</x:v>
      </x:c>
      <x:c r="H447" s="8" t="n">
        <x:f>F447-G447</x:f>
        <x:v>458.9999999999999</x:v>
      </x:c>
      <x:c r="I447" s="10" t="n">
        <x:f>H447/F447</x:f>
        <x:v>0.5403178340200117</x:v>
      </x:c>
    </x:row>
    <x:row r="448" ht="22" customHeight="1">
      <x:c r="A448" s="11" t="str">
        <x:v>1396</x:v>
      </x:c>
      <x:c r="B448" s="8" t="str">
        <x:v>Contoso Expandable Cordless Phone System M008 Grey</x:v>
      </x:c>
      <x:c r="C448" s="8" t="n">
        <x:v>41</x:v>
      </x:c>
      <x:c r="D448" s="9" t="n">
        <x:v>22.99</x:v>
      </x:c>
      <x:c r="E448" s="9" t="n">
        <x:v>10.57</x:v>
      </x:c>
      <x:c r="F448" s="8" t="n">
        <x:f>C448*D448</x:f>
        <x:v>942.5899999999999</x:v>
      </x:c>
      <x:c r="G448" s="8" t="n">
        <x:f>C448*E448</x:f>
        <x:v>433.37</x:v>
      </x:c>
      <x:c r="H448" s="8" t="n">
        <x:f>F448-G448</x:f>
        <x:v>509.2199999999999</x:v>
      </x:c>
      <x:c r="I448" s="10" t="n">
        <x:f>H448/F448</x:f>
        <x:v>0.5402348847324924</x:v>
      </x:c>
    </x:row>
    <x:row r="449" ht="22" customHeight="1">
      <x:c r="A449" s="11" t="str">
        <x:v>1397</x:v>
      </x:c>
      <x:c r="B449" s="8" t="str">
        <x:v>Contoso Phone System Accessory Handset with Charger M308 Grey</x:v>
      </x:c>
      <x:c r="C449" s="8" t="n">
        <x:v>60</x:v>
      </x:c>
      <x:c r="D449" s="9" t="n">
        <x:v>26.99</x:v>
      </x:c>
      <x:c r="E449" s="9" t="n">
        <x:v>12.41</x:v>
      </x:c>
      <x:c r="F449" s="8" t="n">
        <x:f>C449*D449</x:f>
        <x:v>1619.3999999999999</x:v>
      </x:c>
      <x:c r="G449" s="8" t="n">
        <x:f>C449*E449</x:f>
        <x:v>744.6</x:v>
      </x:c>
      <x:c r="H449" s="8" t="n">
        <x:f>F449-G449</x:f>
        <x:v>874.7999999999998</x:v>
      </x:c>
      <x:c r="I449" s="10" t="n">
        <x:f>H449/F449</x:f>
        <x:v>0.540200074101519</x:v>
      </x:c>
    </x:row>
    <x:row r="450" ht="22" customHeight="1">
      <x:c r="A450" s="11" t="str">
        <x:v>1398</x:v>
      </x:c>
      <x:c r="B450" s="8" t="str">
        <x:v>Contoso 2-Line Corded Cordless Telephone M202 Grey</x:v>
      </x:c>
      <x:c r="C450" s="8" t="n">
        <x:v>45</x:v>
      </x:c>
      <x:c r="D450" s="9" t="n">
        <x:v>28.99</x:v>
      </x:c>
      <x:c r="E450" s="9" t="n">
        <x:v>13.33</x:v>
      </x:c>
      <x:c r="F450" s="8" t="n">
        <x:f>C450*D450</x:f>
        <x:v>1304.55</x:v>
      </x:c>
      <x:c r="G450" s="8" t="n">
        <x:f>C450*E450</x:f>
        <x:v>599.85</x:v>
      </x:c>
      <x:c r="H450" s="8" t="n">
        <x:f>F450-G450</x:f>
        <x:v>704.6999999999999</x:v>
      </x:c>
      <x:c r="I450" s="10" t="n">
        <x:f>H450/F450</x:f>
        <x:v>0.5401862711279751</x:v>
      </x:c>
    </x:row>
    <x:row r="451" ht="22" customHeight="1">
      <x:c r="A451" s="11" t="str">
        <x:v>1399</x:v>
      </x:c>
      <x:c r="B451" s="8" t="str">
        <x:v>Contoso 4-Line Corded Cordless Telephone M203 Grey</x:v>
      </x:c>
      <x:c r="C451" s="8" t="n">
        <x:v>90</x:v>
      </x:c>
      <x:c r="D451" s="9" t="n">
        <x:v>32.99</x:v>
      </x:c>
      <x:c r="E451" s="9" t="n">
        <x:v>15.17</x:v>
      </x:c>
      <x:c r="F451" s="8" t="n">
        <x:f>C451*D451</x:f>
        <x:v>2969.1000000000004</x:v>
      </x:c>
      <x:c r="G451" s="8" t="n">
        <x:f>C451*E451</x:f>
        <x:v>1365.3</x:v>
      </x:c>
      <x:c r="H451" s="8" t="n">
        <x:f>F451-G451</x:f>
        <x:v>1603.8000000000004</x:v>
      </x:c>
      <x:c r="I451" s="10" t="n">
        <x:f>H451/F451</x:f>
        <x:v>0.5401636859654442</x:v>
      </x:c>
    </x:row>
    <x:row r="452" ht="22" customHeight="1">
      <x:c r="A452" s="11" t="str">
        <x:v>14</x:v>
      </x:c>
      <x:c r="B452" s="8" t="str">
        <x:v>Contoso 4GB Flash MP3 Player E401 Silver</x:v>
      </x:c>
      <x:c r="C452" s="8" t="n">
        <x:v>60</x:v>
      </x:c>
      <x:c r="D452" s="9" t="n">
        <x:v>77.68</x:v>
      </x:c>
      <x:c r="E452" s="9" t="n">
        <x:v>35.72</x:v>
      </x:c>
      <x:c r="F452" s="8" t="n">
        <x:f>C452*D452</x:f>
        <x:v>4660.8</x:v>
      </x:c>
      <x:c r="G452" s="8" t="n">
        <x:f>C452*E452</x:f>
        <x:v>2143.2</x:v>
      </x:c>
      <x:c r="H452" s="8" t="n">
        <x:f>F452-G452</x:f>
        <x:v>2517.6000000000004</x:v>
      </x:c>
      <x:c r="I452" s="10" t="n">
        <x:f>H452/F452</x:f>
        <x:v>0.5401647785787849</x:v>
      </x:c>
    </x:row>
    <x:row r="453" ht="22" customHeight="1">
      <x:c r="A453" s="11" t="str">
        <x:v>140</x:v>
      </x:c>
      <x:c r="B453" s="8" t="str">
        <x:v>Adventure Works 32" LCD HDTV M130 Brown</x:v>
      </x:c>
      <x:c r="C453" s="8" t="n">
        <x:v>121</x:v>
      </x:c>
      <x:c r="D453" s="9" t="n">
        <x:v>499.99</x:v>
      </x:c>
      <x:c r="E453" s="9" t="n">
        <x:v>229.93</x:v>
      </x:c>
      <x:c r="F453" s="8" t="n">
        <x:f>C453*D453</x:f>
        <x:v>60498.79</x:v>
      </x:c>
      <x:c r="G453" s="8" t="n">
        <x:f>C453*E453</x:f>
        <x:v>27821.530000000002</x:v>
      </x:c>
      <x:c r="H453" s="8" t="n">
        <x:f>F453-G453</x:f>
        <x:v>32677.26</x:v>
      </x:c>
      <x:c r="I453" s="10" t="n">
        <x:f>H453/F453</x:f>
        <x:v>0.5401308026160523</x:v>
      </x:c>
    </x:row>
    <x:row r="454" ht="22" customHeight="1">
      <x:c r="A454" s="11" t="str">
        <x:v>1400</x:v>
      </x:c>
      <x:c r="B454" s="8" t="str">
        <x:v>Contoso Expandable 3-Handset Cordless Phone System M204 Grey</x:v>
      </x:c>
      <x:c r="C454" s="8" t="n">
        <x:v>40</x:v>
      </x:c>
      <x:c r="D454" s="9" t="n">
        <x:v>35.99</x:v>
      </x:c>
      <x:c r="E454" s="9" t="n">
        <x:v>16.55</x:v>
      </x:c>
      <x:c r="F454" s="8" t="n">
        <x:f>C454*D454</x:f>
        <x:v>1439.6000000000001</x:v>
      </x:c>
      <x:c r="G454" s="8" t="n">
        <x:f>C454*E454</x:f>
        <x:v>662</x:v>
      </x:c>
      <x:c r="H454" s="8" t="n">
        <x:f>F454-G454</x:f>
        <x:v>777.6000000000001</x:v>
      </x:c>
      <x:c r="I454" s="10" t="n">
        <x:f>H454/F454</x:f>
        <x:v>0.540150041678244</x:v>
      </x:c>
    </x:row>
    <x:row r="455" ht="22" customHeight="1">
      <x:c r="A455" s="11" t="str">
        <x:v>1401</x:v>
      </x:c>
      <x:c r="B455" s="8" t="str">
        <x:v>Contoso Expandable 2-Handset Cordless Phone System M205 Grey</x:v>
      </x:c>
      <x:c r="C455" s="8" t="n">
        <x:v>50</x:v>
      </x:c>
      <x:c r="D455" s="9" t="n">
        <x:v>40.19</x:v>
      </x:c>
      <x:c r="E455" s="9" t="n">
        <x:v>18.48</x:v>
      </x:c>
      <x:c r="F455" s="8" t="n">
        <x:f>C455*D455</x:f>
        <x:v>2009.5</x:v>
      </x:c>
      <x:c r="G455" s="8" t="n">
        <x:f>C455*E455</x:f>
        <x:v>924</x:v>
      </x:c>
      <x:c r="H455" s="8" t="n">
        <x:f>F455-G455</x:f>
        <x:v>1085.5</x:v>
      </x:c>
      <x:c r="I455" s="10" t="n">
        <x:f>H455/F455</x:f>
        <x:v>0.5401841254043295</x:v>
      </x:c>
    </x:row>
    <x:row r="456" ht="22" customHeight="1">
      <x:c r="A456" s="11" t="str">
        <x:v>1402</x:v>
      </x:c>
      <x:c r="B456" s="8" t="str">
        <x:v>Contoso Expandable 4-Handset Cordless Phone System M206 Grey</x:v>
      </x:c>
      <x:c r="C456" s="8" t="n">
        <x:v>57</x:v>
      </x:c>
      <x:c r="D456" s="9" t="n">
        <x:v>43.81</x:v>
      </x:c>
      <x:c r="E456" s="9" t="n">
        <x:v>20.15</x:v>
      </x:c>
      <x:c r="F456" s="8" t="n">
        <x:f>C456*D456</x:f>
        <x:v>2497.17</x:v>
      </x:c>
      <x:c r="G456" s="8" t="n">
        <x:f>C456*E456</x:f>
        <x:v>1148.55</x:v>
      </x:c>
      <x:c r="H456" s="8" t="n">
        <x:f>F456-G456</x:f>
        <x:v>1348.6200000000001</x:v>
      </x:c>
      <x:c r="I456" s="10" t="n">
        <x:f>H456/F456</x:f>
        <x:v>0.5400593471810089</x:v>
      </x:c>
    </x:row>
    <x:row r="457" ht="22" customHeight="1">
      <x:c r="A457" s="11" t="str">
        <x:v>1403</x:v>
      </x:c>
      <x:c r="B457" s="8" t="str">
        <x:v>Contoso Expandable1-Handset Cordless Phone System M207 Grey</x:v>
      </x:c>
      <x:c r="C457" s="8" t="n">
        <x:v>53</x:v>
      </x:c>
      <x:c r="D457" s="9" t="n">
        <x:v>47.44</x:v>
      </x:c>
      <x:c r="E457" s="9" t="n">
        <x:v>21.82</x:v>
      </x:c>
      <x:c r="F457" s="8" t="n">
        <x:f>C457*D457</x:f>
        <x:v>2514.3199999999997</x:v>
      </x:c>
      <x:c r="G457" s="8" t="n">
        <x:f>C457*E457</x:f>
        <x:v>1156.46</x:v>
      </x:c>
      <x:c r="H457" s="8" t="n">
        <x:f>F457-G457</x:f>
        <x:v>1357.8599999999997</x:v>
      </x:c>
      <x:c r="I457" s="10" t="n">
        <x:f>H457/F457</x:f>
        <x:v>0.5400505902192242</x:v>
      </x:c>
    </x:row>
    <x:row r="458" ht="22" customHeight="1">
      <x:c r="A458" s="11" t="str">
        <x:v>1404</x:v>
      </x:c>
      <x:c r="B458" s="8" t="str">
        <x:v>Contoso Digital Cordless Expansion Handset Phone M900 Grey</x:v>
      </x:c>
      <x:c r="C458" s="8" t="n">
        <x:v>34</x:v>
      </x:c>
      <x:c r="D458" s="9" t="n">
        <x:v>32.99</x:v>
      </x:c>
      <x:c r="E458" s="9" t="n">
        <x:v>15.17</x:v>
      </x:c>
      <x:c r="F458" s="8" t="n">
        <x:f>C458*D458</x:f>
        <x:v>1121.66</x:v>
      </x:c>
      <x:c r="G458" s="8" t="n">
        <x:f>C458*E458</x:f>
        <x:v>515.78</x:v>
      </x:c>
      <x:c r="H458" s="8" t="n">
        <x:f>F458-G458</x:f>
        <x:v>605.8800000000001</x:v>
      </x:c>
      <x:c r="I458" s="10" t="n">
        <x:f>H458/F458</x:f>
        <x:v>0.5401636859654442</x:v>
      </x:c>
    </x:row>
    <x:row r="459" ht="22" customHeight="1">
      <x:c r="A459" s="11" t="str">
        <x:v>1405</x:v>
      </x:c>
      <x:c r="B459" s="8" t="str">
        <x:v>Contoso 2-Line Speakerphone M109 Grey</x:v>
      </x:c>
      <x:c r="C459" s="8" t="n">
        <x:v>51</x:v>
      </x:c>
      <x:c r="D459" s="9" t="n">
        <x:v>35.99</x:v>
      </x:c>
      <x:c r="E459" s="9" t="n">
        <x:v>16.55</x:v>
      </x:c>
      <x:c r="F459" s="8" t="n">
        <x:f>C459*D459</x:f>
        <x:v>1835.49</x:v>
      </x:c>
      <x:c r="G459" s="8" t="n">
        <x:f>C459*E459</x:f>
        <x:v>844.0500000000001</x:v>
      </x:c>
      <x:c r="H459" s="8" t="n">
        <x:f>F459-G459</x:f>
        <x:v>991.4399999999999</x:v>
      </x:c>
      <x:c r="I459" s="10" t="n">
        <x:f>H459/F459</x:f>
        <x:v>0.5401500416782439</x:v>
      </x:c>
    </x:row>
    <x:row r="460" ht="22" customHeight="1">
      <x:c r="A460" s="11" t="str">
        <x:v>1406</x:v>
      </x:c>
      <x:c r="B460" s="8" t="str">
        <x:v>Contoso Phone with Memory Dialing-single line E88 Grey</x:v>
      </x:c>
      <x:c r="C460" s="8" t="n">
        <x:v>74</x:v>
      </x:c>
      <x:c r="D460" s="9" t="n">
        <x:v>14.19</x:v>
      </x:c>
      <x:c r="E460" s="9" t="n">
        <x:v>7.23</x:v>
      </x:c>
      <x:c r="F460" s="8" t="n">
        <x:f>C460*D460</x:f>
        <x:v>1050.06</x:v>
      </x:c>
      <x:c r="G460" s="8" t="n">
        <x:f>C460*E460</x:f>
        <x:v>535.02</x:v>
      </x:c>
      <x:c r="H460" s="8" t="n">
        <x:f>F460-G460</x:f>
        <x:v>515.04</x:v>
      </x:c>
      <x:c r="I460" s="10" t="n">
        <x:f>H460/F460</x:f>
        <x:v>0.4904862579281184</x:v>
      </x:c>
    </x:row>
    <x:row r="461" ht="22" customHeight="1">
      <x:c r="A461" s="11" t="str">
        <x:v>1407</x:v>
      </x:c>
      <x:c r="B461" s="8" t="str">
        <x:v>Contoso Phone with Memory Dialing-2 lines E90 Grey</x:v>
      </x:c>
      <x:c r="C461" s="8" t="n">
        <x:v>50</x:v>
      </x:c>
      <x:c r="D461" s="9" t="n">
        <x:v>16</x:v>
      </x:c>
      <x:c r="E461" s="9" t="n">
        <x:v>8.16</x:v>
      </x:c>
      <x:c r="F461" s="8" t="n">
        <x:f>C461*D461</x:f>
        <x:v>800</x:v>
      </x:c>
      <x:c r="G461" s="8" t="n">
        <x:f>C461*E461</x:f>
        <x:v>408</x:v>
      </x:c>
      <x:c r="H461" s="8" t="n">
        <x:f>F461-G461</x:f>
        <x:v>392</x:v>
      </x:c>
      <x:c r="I461" s="10" t="n">
        <x:f>H461/F461</x:f>
        <x:v>0.49</x:v>
      </x:c>
    </x:row>
    <x:row r="462" ht="22" customHeight="1">
      <x:c r="A462" s="11" t="str">
        <x:v>1408</x:v>
      </x:c>
      <x:c r="B462" s="8" t="str">
        <x:v>The Phone Company Touch Screen Phone 1600 TFT-2.2" L200 Black</x:v>
      </x:c>
      <x:c r="C462" s="8" t="n">
        <x:v>182</x:v>
      </x:c>
      <x:c r="D462" s="9" t="n">
        <x:v>529</x:v>
      </x:c>
      <x:c r="E462" s="9" t="n">
        <x:v>175.27</x:v>
      </x:c>
      <x:c r="F462" s="8" t="n">
        <x:f>C462*D462</x:f>
        <x:v>96278</x:v>
      </x:c>
      <x:c r="G462" s="8" t="n">
        <x:f>C462*E462</x:f>
        <x:v>31899.140000000003</x:v>
      </x:c>
      <x:c r="H462" s="8" t="n">
        <x:f>F462-G462</x:f>
        <x:v>64378.86</x:v>
      </x:c>
      <x:c r="I462" s="10" t="n">
        <x:f>H462/F462</x:f>
        <x:v>0.6686767485822306</x:v>
      </x:c>
    </x:row>
    <x:row r="463" ht="22" customHeight="1">
      <x:c r="A463" s="11" t="str">
        <x:v>1409</x:v>
      </x:c>
      <x:c r="B463" s="8" t="str">
        <x:v>The Phone Company Touch Screen Phone 1600 TFT-1.4" L250 Black</x:v>
      </x:c>
      <x:c r="C463" s="8" t="n">
        <x:v>187</x:v>
      </x:c>
      <x:c r="D463" s="9" t="n">
        <x:v>589</x:v>
      </x:c>
      <x:c r="E463" s="9" t="n">
        <x:v>195.15</x:v>
      </x:c>
      <x:c r="F463" s="8" t="n">
        <x:f>C463*D463</x:f>
        <x:v>110143</x:v>
      </x:c>
      <x:c r="G463" s="8" t="n">
        <x:f>C463*E463</x:f>
        <x:v>36493.05</x:v>
      </x:c>
      <x:c r="H463" s="8" t="n">
        <x:f>F463-G463</x:f>
        <x:v>73649.95</x:v>
      </x:c>
      <x:c r="I463" s="10" t="n">
        <x:f>H463/F463</x:f>
        <x:v>0.6686757215619694</x:v>
      </x:c>
    </x:row>
    <x:row r="464" ht="22" customHeight="1">
      <x:c r="A464" s="11" t="str">
        <x:v>141</x:v>
      </x:c>
      <x:c r="B464" s="8" t="str">
        <x:v>Adventure Works 15.6" LCD TV M130W Silver</x:v>
      </x:c>
      <x:c r="C464" s="8" t="n">
        <x:v>105</x:v>
      </x:c>
      <x:c r="D464" s="9" t="n">
        <x:v>299.99</x:v>
      </x:c>
      <x:c r="E464" s="9" t="n">
        <x:v>152.94</x:v>
      </x:c>
      <x:c r="F464" s="8" t="n">
        <x:f>C464*D464</x:f>
        <x:v>31498.95</x:v>
      </x:c>
      <x:c r="G464" s="8" t="n">
        <x:f>C464*E464</x:f>
        <x:v>16058.699999999999</x:v>
      </x:c>
      <x:c r="H464" s="8" t="n">
        <x:f>F464-G464</x:f>
        <x:v>15440.250000000002</x:v>
      </x:c>
      <x:c r="I464" s="10" t="n">
        <x:f>H464/F464</x:f>
        <x:v>0.4901830061002034</x:v>
      </x:c>
    </x:row>
    <x:row r="465" ht="22" customHeight="1">
      <x:c r="A465" s="11" t="str">
        <x:v>1410</x:v>
      </x:c>
      <x:c r="B465" s="8" t="str">
        <x:v>The Phone Company Touch Screen Phones 26-2.2" M200 Black</x:v>
      </x:c>
      <x:c r="C465" s="8" t="n">
        <x:v>144</x:v>
      </x:c>
      <x:c r="D465" s="9" t="n">
        <x:v>230</x:v>
      </x:c>
      <x:c r="E465" s="9" t="n">
        <x:v>105.77</x:v>
      </x:c>
      <x:c r="F465" s="8" t="n">
        <x:f>C465*D465</x:f>
        <x:v>33120</x:v>
      </x:c>
      <x:c r="G465" s="8" t="n">
        <x:f>C465*E465</x:f>
        <x:v>15230.88</x:v>
      </x:c>
      <x:c r="H465" s="8" t="n">
        <x:f>F465-G465</x:f>
        <x:v>17889.120000000003</x:v>
      </x:c>
      <x:c r="I465" s="10" t="n">
        <x:f>H465/F465</x:f>
        <x:v>0.5401304347826088</x:v>
      </x:c>
    </x:row>
    <x:row r="466" ht="22" customHeight="1">
      <x:c r="A466" s="11" t="str">
        <x:v>1411</x:v>
      </x:c>
      <x:c r="B466" s="8" t="str">
        <x:v>The Phone Company Touch Screen Phones 26-1.4" M250 Black</x:v>
      </x:c>
      <x:c r="C466" s="8" t="n">
        <x:v>176</x:v>
      </x:c>
      <x:c r="D466" s="9" t="n">
        <x:v>268</x:v>
      </x:c>
      <x:c r="E466" s="9" t="n">
        <x:v>123.24</x:v>
      </x:c>
      <x:c r="F466" s="8" t="n">
        <x:f>C466*D466</x:f>
        <x:v>47168</x:v>
      </x:c>
      <x:c r="G466" s="8" t="n">
        <x:f>C466*E466</x:f>
        <x:v>21690.239999999998</x:v>
      </x:c>
      <x:c r="H466" s="8" t="n">
        <x:f>F466-G466</x:f>
        <x:v>25477.760000000002</x:v>
      </x:c>
      <x:c r="I466" s="10" t="n">
        <x:f>H466/F466</x:f>
        <x:v>0.5401492537313434</x:v>
      </x:c>
    </x:row>
    <x:row r="467" ht="22" customHeight="1">
      <x:c r="A467" s="11" t="str">
        <x:v>1412</x:v>
      </x:c>
      <x:c r="B467" s="8" t="str">
        <x:v>The Phone Company Touch Screen Phones 4-Wire/On-wall M302 Black</x:v>
      </x:c>
      <x:c r="C467" s="8" t="n">
        <x:v>189</x:v>
      </x:c>
      <x:c r="D467" s="9" t="n">
        <x:v>289</x:v>
      </x:c>
      <x:c r="E467" s="9" t="n">
        <x:v>132.9</x:v>
      </x:c>
      <x:c r="F467" s="8" t="n">
        <x:f>C467*D467</x:f>
        <x:v>54621</x:v>
      </x:c>
      <x:c r="G467" s="8" t="n">
        <x:f>C467*E467</x:f>
        <x:v>25118.100000000002</x:v>
      </x:c>
      <x:c r="H467" s="8" t="n">
        <x:f>F467-G467</x:f>
        <x:v>29502.899999999998</x:v>
      </x:c>
      <x:c r="I467" s="10" t="n">
        <x:f>H467/F467</x:f>
        <x:v>0.5401384083044982</x:v>
      </x:c>
    </x:row>
    <x:row r="468" ht="22" customHeight="1">
      <x:c r="A468" s="11" t="str">
        <x:v>1413</x:v>
      </x:c>
      <x:c r="B468" s="8" t="str">
        <x:v>The Phone Company Touch Screen Phones SAW/Built-in M801 Black</x:v>
      </x:c>
      <x:c r="C468" s="8" t="n">
        <x:v>144</x:v>
      </x:c>
      <x:c r="D468" s="9" t="n">
        <x:v>299</x:v>
      </x:c>
      <x:c r="E468" s="9" t="n">
        <x:v>137.5</x:v>
      </x:c>
      <x:c r="F468" s="8" t="n">
        <x:f>C468*D468</x:f>
        <x:v>43056</x:v>
      </x:c>
      <x:c r="G468" s="8" t="n">
        <x:f>C468*E468</x:f>
        <x:v>19800</x:v>
      </x:c>
      <x:c r="H468" s="8" t="n">
        <x:f>F468-G468</x:f>
        <x:v>23256</x:v>
      </x:c>
      <x:c r="I468" s="10" t="n">
        <x:f>H468/F468</x:f>
        <x:v>0.540133779264214</x:v>
      </x:c>
    </x:row>
    <x:row r="469" ht="22" customHeight="1">
      <x:c r="A469" s="11" t="str">
        <x:v>1414</x:v>
      </x:c>
      <x:c r="B469" s="8" t="str">
        <x:v>The Phone Company Touch Screen Phones 5-Wire/Built-in M500 Black</x:v>
      </x:c>
      <x:c r="C469" s="8" t="n">
        <x:v>182</x:v>
      </x:c>
      <x:c r="D469" s="9" t="n">
        <x:v>256</x:v>
      </x:c>
      <x:c r="E469" s="9" t="n">
        <x:v>117.73</x:v>
      </x:c>
      <x:c r="F469" s="8" t="n">
        <x:f>C469*D469</x:f>
        <x:v>46592</x:v>
      </x:c>
      <x:c r="G469" s="8" t="n">
        <x:f>C469*E469</x:f>
        <x:v>21426.86</x:v>
      </x:c>
      <x:c r="H469" s="8" t="n">
        <x:f>F469-G469</x:f>
        <x:v>25165.14</x:v>
      </x:c>
      <x:c r="I469" s="10" t="n">
        <x:f>H469/F469</x:f>
        <x:v>0.5401171875</x:v>
      </x:c>
    </x:row>
    <x:row r="470" ht="22" customHeight="1">
      <x:c r="A470" s="11" t="str">
        <x:v>1415</x:v>
      </x:c>
      <x:c r="B470" s="8" t="str">
        <x:v>The Phone Company Touch Screen Phones Infrared M901 Black</x:v>
      </x:c>
      <x:c r="C470" s="8" t="n">
        <x:v>165</x:v>
      </x:c>
      <x:c r="D470" s="9" t="n">
        <x:v>300</x:v>
      </x:c>
      <x:c r="E470" s="9" t="n">
        <x:v>137.96</x:v>
      </x:c>
      <x:c r="F470" s="8" t="n">
        <x:f>C470*D470</x:f>
        <x:v>49500</x:v>
      </x:c>
      <x:c r="G470" s="8" t="n">
        <x:f>C470*E470</x:f>
        <x:v>22763.4</x:v>
      </x:c>
      <x:c r="H470" s="8" t="n">
        <x:f>F470-G470</x:f>
        <x:v>26736.6</x:v>
      </x:c>
      <x:c r="I470" s="10" t="n">
        <x:f>H470/F470</x:f>
        <x:v>0.5401333333333334</x:v>
      </x:c>
    </x:row>
    <x:row r="471" ht="22" customHeight="1">
      <x:c r="A471" s="11" t="str">
        <x:v>1416</x:v>
      </x:c>
      <x:c r="B471" s="8" t="str">
        <x:v>The Phone Company Touch Screen Phones Capacitive M908 Black</x:v>
      </x:c>
      <x:c r="C471" s="8" t="n">
        <x:v>163</x:v>
      </x:c>
      <x:c r="D471" s="9" t="n">
        <x:v>308</x:v>
      </x:c>
      <x:c r="E471" s="9" t="n">
        <x:v>141.64</x:v>
      </x:c>
      <x:c r="F471" s="8" t="n">
        <x:f>C471*D471</x:f>
        <x:v>50204</x:v>
      </x:c>
      <x:c r="G471" s="8" t="n">
        <x:f>C471*E471</x:f>
        <x:v>23087.319999999996</x:v>
      </x:c>
      <x:c r="H471" s="8" t="n">
        <x:f>F471-G471</x:f>
        <x:v>27116.680000000004</x:v>
      </x:c>
      <x:c r="I471" s="10" t="n">
        <x:f>H471/F471</x:f>
        <x:v>0.5401298701298702</x:v>
      </x:c>
    </x:row>
    <x:row r="472" ht="22" customHeight="1">
      <x:c r="A472" s="11" t="str">
        <x:v>1417</x:v>
      </x:c>
      <x:c r="B472" s="8" t="str">
        <x:v>The Phone Company Touch Screen Phones 4-Wire/ Built-in M205 Black</x:v>
      </x:c>
      <x:c r="C472" s="8" t="n">
        <x:v>153</x:v>
      </x:c>
      <x:c r="D472" s="9" t="n">
        <x:v>268</x:v>
      </x:c>
      <x:c r="E472" s="9" t="n">
        <x:v>123.24</x:v>
      </x:c>
      <x:c r="F472" s="8" t="n">
        <x:f>C472*D472</x:f>
        <x:v>41004</x:v>
      </x:c>
      <x:c r="G472" s="8" t="n">
        <x:f>C472*E472</x:f>
        <x:v>18855.719999999998</x:v>
      </x:c>
      <x:c r="H472" s="8" t="n">
        <x:f>F472-G472</x:f>
        <x:v>22148.280000000002</x:v>
      </x:c>
      <x:c r="I472" s="10" t="n">
        <x:f>H472/F472</x:f>
        <x:v>0.5401492537313434</x:v>
      </x:c>
    </x:row>
    <x:row r="473" ht="22" customHeight="1">
      <x:c r="A473" s="11" t="str">
        <x:v>1418</x:v>
      </x:c>
      <x:c r="B473" s="8" t="str">
        <x:v>The Phone Company Touch Screen Phones SAW/On-wall M806 Black</x:v>
      </x:c>
      <x:c r="C473" s="8" t="n">
        <x:v>137</x:v>
      </x:c>
      <x:c r="D473" s="9" t="n">
        <x:v>293</x:v>
      </x:c>
      <x:c r="E473" s="9" t="n">
        <x:v>134.74</x:v>
      </x:c>
      <x:c r="F473" s="8" t="n">
        <x:f>C473*D473</x:f>
        <x:v>40141</x:v>
      </x:c>
      <x:c r="G473" s="8" t="n">
        <x:f>C473*E473</x:f>
        <x:v>18459.38</x:v>
      </x:c>
      <x:c r="H473" s="8" t="n">
        <x:f>F473-G473</x:f>
        <x:v>21681.62</x:v>
      </x:c>
      <x:c r="I473" s="10" t="n">
        <x:f>H473/F473</x:f>
        <x:v>0.5401365187713311</x:v>
      </x:c>
    </x:row>
    <x:row r="474" ht="22" customHeight="1">
      <x:c r="A474" s="11" t="str">
        <x:v>1419</x:v>
      </x:c>
      <x:c r="B474" s="8" t="str">
        <x:v>The Phone Company Touch Screen Phones 5-Wire/On-wall M508 Black</x:v>
      </x:c>
      <x:c r="C474" s="8" t="n">
        <x:v>149</x:v>
      </x:c>
      <x:c r="D474" s="9" t="n">
        <x:v>258</x:v>
      </x:c>
      <x:c r="E474" s="9" t="n">
        <x:v>118.65</x:v>
      </x:c>
      <x:c r="F474" s="8" t="n">
        <x:f>C474*D474</x:f>
        <x:v>38442</x:v>
      </x:c>
      <x:c r="G474" s="8" t="n">
        <x:f>C474*E474</x:f>
        <x:v>17678.850000000002</x:v>
      </x:c>
      <x:c r="H474" s="8" t="n">
        <x:f>F474-G474</x:f>
        <x:v>20763.149999999998</x:v>
      </x:c>
      <x:c r="I474" s="10" t="n">
        <x:f>H474/F474</x:f>
        <x:v>0.5401162790697673</x:v>
      </x:c>
    </x:row>
    <x:row r="475" ht="22" customHeight="1">
      <x:c r="A475" s="11" t="str">
        <x:v>142</x:v>
      </x:c>
      <x:c r="B475" s="8" t="str">
        <x:v>Adventure Works 15.6" LCD TV M130W Black</x:v>
      </x:c>
      <x:c r="C475" s="8" t="n">
        <x:v>131</x:v>
      </x:c>
      <x:c r="D475" s="9" t="n">
        <x:v>299.99</x:v>
      </x:c>
      <x:c r="E475" s="9" t="n">
        <x:v>152.94</x:v>
      </x:c>
      <x:c r="F475" s="8" t="n">
        <x:f>C475*D475</x:f>
        <x:v>39298.69</x:v>
      </x:c>
      <x:c r="G475" s="8" t="n">
        <x:f>C475*E475</x:f>
        <x:v>20035.14</x:v>
      </x:c>
      <x:c r="H475" s="8" t="n">
        <x:f>F475-G475</x:f>
        <x:v>19263.550000000003</x:v>
      </x:c>
      <x:c r="I475" s="10" t="n">
        <x:f>H475/F475</x:f>
        <x:v>0.4901830061002034</x:v>
      </x:c>
    </x:row>
    <x:row r="476" ht="22" customHeight="1">
      <x:c r="A476" s="11" t="str">
        <x:v>1420</x:v>
      </x:c>
      <x:c r="B476" s="8" t="str">
        <x:v>The Phone Company Finger Touch Screen Phones M30 Black</x:v>
      </x:c>
      <x:c r="C476" s="8" t="n">
        <x:v>164</x:v>
      </x:c>
      <x:c r="D476" s="9" t="n">
        <x:v>199</x:v>
      </x:c>
      <x:c r="E476" s="9" t="n">
        <x:v>91.51</x:v>
      </x:c>
      <x:c r="F476" s="8" t="n">
        <x:f>C476*D476</x:f>
        <x:v>32636</x:v>
      </x:c>
      <x:c r="G476" s="8" t="n">
        <x:f>C476*E476</x:f>
        <x:v>15007.640000000001</x:v>
      </x:c>
      <x:c r="H476" s="8" t="n">
        <x:f>F476-G476</x:f>
        <x:v>17628.36</x:v>
      </x:c>
      <x:c r="I476" s="10" t="n">
        <x:f>H476/F476</x:f>
        <x:v>0.5401507537688442</x:v>
      </x:c>
    </x:row>
    <x:row r="477" ht="22" customHeight="1">
      <x:c r="A477" s="11" t="str">
        <x:v>1421</x:v>
      </x:c>
      <x:c r="B477" s="8" t="str">
        <x:v>The Phone Company Pen Touch Screen Phones-2.6" M320 Black</x:v>
      </x:c>
      <x:c r="C477" s="8" t="n">
        <x:v>156</x:v>
      </x:c>
      <x:c r="D477" s="9" t="n">
        <x:v>290</x:v>
      </x:c>
      <x:c r="E477" s="9" t="n">
        <x:v>133.36</x:v>
      </x:c>
      <x:c r="F477" s="8" t="n">
        <x:f>C477*D477</x:f>
        <x:v>45240</x:v>
      </x:c>
      <x:c r="G477" s="8" t="n">
        <x:f>C477*E477</x:f>
        <x:v>20804.160000000003</x:v>
      </x:c>
      <x:c r="H477" s="8" t="n">
        <x:f>F477-G477</x:f>
        <x:v>24435.839999999997</x:v>
      </x:c>
      <x:c r="I477" s="10" t="n">
        <x:f>H477/F477</x:f>
        <x:v>0.5401379310344827</x:v>
      </x:c>
    </x:row>
    <x:row r="478" ht="22" customHeight="1">
      <x:c r="A478" s="11" t="str">
        <x:v>1422</x:v>
      </x:c>
      <x:c r="B478" s="8" t="str">
        <x:v>The Phone Company Sharp Touch Screen Phones M910 Black</x:v>
      </x:c>
      <x:c r="C478" s="8" t="n">
        <x:v>157</x:v>
      </x:c>
      <x:c r="D478" s="9" t="n">
        <x:v>301</x:v>
      </x:c>
      <x:c r="E478" s="9" t="n">
        <x:v>138.42</x:v>
      </x:c>
      <x:c r="F478" s="8" t="n">
        <x:f>C478*D478</x:f>
        <x:v>47257</x:v>
      </x:c>
      <x:c r="G478" s="8" t="n">
        <x:f>C478*E478</x:f>
        <x:v>21731.94</x:v>
      </x:c>
      <x:c r="H478" s="8" t="n">
        <x:f>F478-G478</x:f>
        <x:v>25525.06</x:v>
      </x:c>
      <x:c r="I478" s="10" t="n">
        <x:f>H478/F478</x:f>
        <x:v>0.5401328903654485</x:v>
      </x:c>
    </x:row>
    <x:row r="479" ht="22" customHeight="1">
      <x:c r="A479" s="11" t="str">
        <x:v>1423</x:v>
      </x:c>
      <x:c r="B479" s="8" t="str">
        <x:v>The Phone Company Touch Screen Phones - CRT M11 Black</x:v>
      </x:c>
      <x:c r="C479" s="8" t="n">
        <x:v>147</x:v>
      </x:c>
      <x:c r="D479" s="9" t="n">
        <x:v>189</x:v>
      </x:c>
      <x:c r="E479" s="9" t="n">
        <x:v>86.91</x:v>
      </x:c>
      <x:c r="F479" s="8" t="n">
        <x:f>C479*D479</x:f>
        <x:v>27783</x:v>
      </x:c>
      <x:c r="G479" s="8" t="n">
        <x:f>C479*E479</x:f>
        <x:v>12775.769999999999</x:v>
      </x:c>
      <x:c r="H479" s="8" t="n">
        <x:f>F479-G479</x:f>
        <x:v>15007.230000000001</x:v>
      </x:c>
      <x:c r="I479" s="10" t="n">
        <x:f>H479/F479</x:f>
        <x:v>0.5401587301587302</x:v>
      </x:c>
    </x:row>
    <x:row r="480" ht="22" customHeight="1">
      <x:c r="A480" s="11" t="str">
        <x:v>1424</x:v>
      </x:c>
      <x:c r="B480" s="8" t="str">
        <x:v>The Phone Company Touch Screen Phones - LCD M12 Black</x:v>
      </x:c>
      <x:c r="C480" s="8" t="n">
        <x:v>165</x:v>
      </x:c>
      <x:c r="D480" s="9" t="n">
        <x:v>200</x:v>
      </x:c>
      <x:c r="E480" s="9" t="n">
        <x:v>91.97</x:v>
      </x:c>
      <x:c r="F480" s="8" t="n">
        <x:f>C480*D480</x:f>
        <x:v>33000</x:v>
      </x:c>
      <x:c r="G480" s="8" t="n">
        <x:f>C480*E480</x:f>
        <x:v>15175.05</x:v>
      </x:c>
      <x:c r="H480" s="8" t="n">
        <x:f>F480-G480</x:f>
        <x:v>17824.95</x:v>
      </x:c>
      <x:c r="I480" s="10" t="n">
        <x:f>H480/F480</x:f>
        <x:v>0.54015</x:v>
      </x:c>
    </x:row>
    <x:row r="481" ht="22" customHeight="1">
      <x:c r="A481" s="11" t="str">
        <x:v>1425</x:v>
      </x:c>
      <x:c r="B481" s="8" t="str">
        <x:v>The Phone Company Touch Screen Phone 1600 TFT-2.2" L200 Grey</x:v>
      </x:c>
      <x:c r="C481" s="8" t="n">
        <x:v>151</x:v>
      </x:c>
      <x:c r="D481" s="9" t="n">
        <x:v>529</x:v>
      </x:c>
      <x:c r="E481" s="9" t="n">
        <x:v>175.27</x:v>
      </x:c>
      <x:c r="F481" s="8" t="n">
        <x:f>C481*D481</x:f>
        <x:v>79879</x:v>
      </x:c>
      <x:c r="G481" s="8" t="n">
        <x:f>C481*E481</x:f>
        <x:v>26465.77</x:v>
      </x:c>
      <x:c r="H481" s="8" t="n">
        <x:f>F481-G481</x:f>
        <x:v>53413.229999999996</x:v>
      </x:c>
      <x:c r="I481" s="10" t="n">
        <x:f>H481/F481</x:f>
        <x:v>0.6686767485822306</x:v>
      </x:c>
    </x:row>
    <x:row r="482" ht="22" customHeight="1">
      <x:c r="A482" s="11" t="str">
        <x:v>1426</x:v>
      </x:c>
      <x:c r="B482" s="8" t="str">
        <x:v>The Phone Company Touch Screen Phone 1600 TFT-1.4" L250 Grey</x:v>
      </x:c>
      <x:c r="C482" s="8" t="n">
        <x:v>177</x:v>
      </x:c>
      <x:c r="D482" s="9" t="n">
        <x:v>589</x:v>
      </x:c>
      <x:c r="E482" s="9" t="n">
        <x:v>195.15</x:v>
      </x:c>
      <x:c r="F482" s="8" t="n">
        <x:f>C482*D482</x:f>
        <x:v>104253</x:v>
      </x:c>
      <x:c r="G482" s="8" t="n">
        <x:f>C482*E482</x:f>
        <x:v>34541.55</x:v>
      </x:c>
      <x:c r="H482" s="8" t="n">
        <x:f>F482-G482</x:f>
        <x:v>69711.45</x:v>
      </x:c>
      <x:c r="I482" s="10" t="n">
        <x:f>H482/F482</x:f>
        <x:v>0.6686757215619694</x:v>
      </x:c>
    </x:row>
    <x:row r="483" ht="22" customHeight="1">
      <x:c r="A483" s="11" t="str">
        <x:v>1427</x:v>
      </x:c>
      <x:c r="B483" s="8" t="str">
        <x:v>The Phone Company Touch Screen Phones 26-2.2" M200 Grey</x:v>
      </x:c>
      <x:c r="C483" s="8" t="n">
        <x:v>195</x:v>
      </x:c>
      <x:c r="D483" s="9" t="n">
        <x:v>230</x:v>
      </x:c>
      <x:c r="E483" s="9" t="n">
        <x:v>105.77</x:v>
      </x:c>
      <x:c r="F483" s="8" t="n">
        <x:f>C483*D483</x:f>
        <x:v>44850</x:v>
      </x:c>
      <x:c r="G483" s="8" t="n">
        <x:f>C483*E483</x:f>
        <x:v>20625.149999999998</x:v>
      </x:c>
      <x:c r="H483" s="8" t="n">
        <x:f>F483-G483</x:f>
        <x:v>24224.850000000002</x:v>
      </x:c>
      <x:c r="I483" s="10" t="n">
        <x:f>H483/F483</x:f>
        <x:v>0.5401304347826087</x:v>
      </x:c>
    </x:row>
    <x:row r="484" ht="22" customHeight="1">
      <x:c r="A484" s="11" t="str">
        <x:v>1428</x:v>
      </x:c>
      <x:c r="B484" s="8" t="str">
        <x:v>The Phone Company Touch Screen Phones 26-1.4" M250 Grey</x:v>
      </x:c>
      <x:c r="C484" s="8" t="n">
        <x:v>171</x:v>
      </x:c>
      <x:c r="D484" s="9" t="n">
        <x:v>268</x:v>
      </x:c>
      <x:c r="E484" s="9" t="n">
        <x:v>123.24</x:v>
      </x:c>
      <x:c r="F484" s="8" t="n">
        <x:f>C484*D484</x:f>
        <x:v>45828</x:v>
      </x:c>
      <x:c r="G484" s="8" t="n">
        <x:f>C484*E484</x:f>
        <x:v>21074.04</x:v>
      </x:c>
      <x:c r="H484" s="8" t="n">
        <x:f>F484-G484</x:f>
        <x:v>24753.96</x:v>
      </x:c>
      <x:c r="I484" s="10" t="n">
        <x:f>H484/F484</x:f>
        <x:v>0.5401492537313433</x:v>
      </x:c>
    </x:row>
    <x:row r="485" ht="22" customHeight="1">
      <x:c r="A485" s="11" t="str">
        <x:v>1429</x:v>
      </x:c>
      <x:c r="B485" s="8" t="str">
        <x:v>The Phone Company Touch Screen Phones 4-Wire/On-wall M302 Grey</x:v>
      </x:c>
      <x:c r="C485" s="8" t="n">
        <x:v>117</x:v>
      </x:c>
      <x:c r="D485" s="9" t="n">
        <x:v>289</x:v>
      </x:c>
      <x:c r="E485" s="9" t="n">
        <x:v>132.9</x:v>
      </x:c>
      <x:c r="F485" s="8" t="n">
        <x:f>C485*D485</x:f>
        <x:v>33813</x:v>
      </x:c>
      <x:c r="G485" s="8" t="n">
        <x:f>C485*E485</x:f>
        <x:v>15549.300000000001</x:v>
      </x:c>
      <x:c r="H485" s="8" t="n">
        <x:f>F485-G485</x:f>
        <x:v>18263.699999999997</x:v>
      </x:c>
      <x:c r="I485" s="10" t="n">
        <x:f>H485/F485</x:f>
        <x:v>0.5401384083044982</x:v>
      </x:c>
    </x:row>
    <x:row r="486" ht="22" customHeight="1">
      <x:c r="A486" s="11" t="str">
        <x:v>143</x:v>
      </x:c>
      <x:c r="B486" s="8" t="str">
        <x:v>Adventure Works 15.6" LCD TV M130W White</x:v>
      </x:c>
      <x:c r="C486" s="8" t="n">
        <x:v>149</x:v>
      </x:c>
      <x:c r="D486" s="9" t="n">
        <x:v>299.99</x:v>
      </x:c>
      <x:c r="E486" s="9" t="n">
        <x:v>152.94</x:v>
      </x:c>
      <x:c r="F486" s="8" t="n">
        <x:f>C486*D486</x:f>
        <x:v>44698.51</x:v>
      </x:c>
      <x:c r="G486" s="8" t="n">
        <x:f>C486*E486</x:f>
        <x:v>22788.06</x:v>
      </x:c>
      <x:c r="H486" s="8" t="n">
        <x:f>F486-G486</x:f>
        <x:v>21910.45</x:v>
      </x:c>
      <x:c r="I486" s="10" t="n">
        <x:f>H486/F486</x:f>
        <x:v>0.4901830061002033</x:v>
      </x:c>
    </x:row>
    <x:row r="487" ht="22" customHeight="1">
      <x:c r="A487" s="11" t="str">
        <x:v>1430</x:v>
      </x:c>
      <x:c r="B487" s="8" t="str">
        <x:v>The Phone Company Touch Screen Phones SAW/Built-in M801 Grey</x:v>
      </x:c>
      <x:c r="C487" s="8" t="n">
        <x:v>143</x:v>
      </x:c>
      <x:c r="D487" s="9" t="n">
        <x:v>299</x:v>
      </x:c>
      <x:c r="E487" s="9" t="n">
        <x:v>137.5</x:v>
      </x:c>
      <x:c r="F487" s="8" t="n">
        <x:f>C487*D487</x:f>
        <x:v>42757</x:v>
      </x:c>
      <x:c r="G487" s="8" t="n">
        <x:f>C487*E487</x:f>
        <x:v>19662.5</x:v>
      </x:c>
      <x:c r="H487" s="8" t="n">
        <x:f>F487-G487</x:f>
        <x:v>23094.5</x:v>
      </x:c>
      <x:c r="I487" s="10" t="n">
        <x:f>H487/F487</x:f>
        <x:v>0.540133779264214</x:v>
      </x:c>
    </x:row>
    <x:row r="488" ht="22" customHeight="1">
      <x:c r="A488" s="11" t="str">
        <x:v>1431</x:v>
      </x:c>
      <x:c r="B488" s="8" t="str">
        <x:v>The Phone Company Touch Screen Phones 5-Wire/Built-in M500 Grey</x:v>
      </x:c>
      <x:c r="C488" s="8" t="n">
        <x:v>170</x:v>
      </x:c>
      <x:c r="D488" s="9" t="n">
        <x:v>256</x:v>
      </x:c>
      <x:c r="E488" s="9" t="n">
        <x:v>117.73</x:v>
      </x:c>
      <x:c r="F488" s="8" t="n">
        <x:f>C488*D488</x:f>
        <x:v>43520</x:v>
      </x:c>
      <x:c r="G488" s="8" t="n">
        <x:f>C488*E488</x:f>
        <x:v>20014.100000000002</x:v>
      </x:c>
      <x:c r="H488" s="8" t="n">
        <x:f>F488-G488</x:f>
        <x:v>23505.899999999998</x:v>
      </x:c>
      <x:c r="I488" s="10" t="n">
        <x:f>H488/F488</x:f>
        <x:v>0.5401171874999999</x:v>
      </x:c>
    </x:row>
    <x:row r="489" ht="22" customHeight="1">
      <x:c r="A489" s="11" t="str">
        <x:v>1432</x:v>
      </x:c>
      <x:c r="B489" s="8" t="str">
        <x:v>The Phone Company Touch Screen Phones Infrared M901 Grey</x:v>
      </x:c>
      <x:c r="C489" s="8" t="n">
        <x:v>192</x:v>
      </x:c>
      <x:c r="D489" s="9" t="n">
        <x:v>300</x:v>
      </x:c>
      <x:c r="E489" s="9" t="n">
        <x:v>137.96</x:v>
      </x:c>
      <x:c r="F489" s="8" t="n">
        <x:f>C489*D489</x:f>
        <x:v>57600</x:v>
      </x:c>
      <x:c r="G489" s="8" t="n">
        <x:f>C489*E489</x:f>
        <x:v>26488.32</x:v>
      </x:c>
      <x:c r="H489" s="8" t="n">
        <x:f>F489-G489</x:f>
        <x:v>31111.68</x:v>
      </x:c>
      <x:c r="I489" s="10" t="n">
        <x:f>H489/F489</x:f>
        <x:v>0.5401333333333334</x:v>
      </x:c>
    </x:row>
    <x:row r="490" ht="22" customHeight="1">
      <x:c r="A490" s="11" t="str">
        <x:v>1433</x:v>
      </x:c>
      <x:c r="B490" s="8" t="str">
        <x:v>The Phone Company Touch Screen Phones Capacitive M908 Grey</x:v>
      </x:c>
      <x:c r="C490" s="8" t="n">
        <x:v>155</x:v>
      </x:c>
      <x:c r="D490" s="9" t="n">
        <x:v>308</x:v>
      </x:c>
      <x:c r="E490" s="9" t="n">
        <x:v>141.64</x:v>
      </x:c>
      <x:c r="F490" s="8" t="n">
        <x:f>C490*D490</x:f>
        <x:v>47740</x:v>
      </x:c>
      <x:c r="G490" s="8" t="n">
        <x:f>C490*E490</x:f>
        <x:v>21954.199999999997</x:v>
      </x:c>
      <x:c r="H490" s="8" t="n">
        <x:f>F490-G490</x:f>
        <x:v>25785.800000000003</x:v>
      </x:c>
      <x:c r="I490" s="10" t="n">
        <x:f>H490/F490</x:f>
        <x:v>0.5401298701298702</x:v>
      </x:c>
    </x:row>
    <x:row r="491" ht="22" customHeight="1">
      <x:c r="A491" s="11" t="str">
        <x:v>1434</x:v>
      </x:c>
      <x:c r="B491" s="8" t="str">
        <x:v>The Phone Company Touch Screen Phones 4-Wire/ Built-in M205 Grey</x:v>
      </x:c>
      <x:c r="C491" s="8" t="n">
        <x:v>210</x:v>
      </x:c>
      <x:c r="D491" s="9" t="n">
        <x:v>268</x:v>
      </x:c>
      <x:c r="E491" s="9" t="n">
        <x:v>123.24</x:v>
      </x:c>
      <x:c r="F491" s="8" t="n">
        <x:f>C491*D491</x:f>
        <x:v>56280</x:v>
      </x:c>
      <x:c r="G491" s="8" t="n">
        <x:f>C491*E491</x:f>
        <x:v>25880.399999999998</x:v>
      </x:c>
      <x:c r="H491" s="8" t="n">
        <x:f>F491-G491</x:f>
        <x:v>30399.600000000002</x:v>
      </x:c>
      <x:c r="I491" s="10" t="n">
        <x:f>H491/F491</x:f>
        <x:v>0.5401492537313434</x:v>
      </x:c>
    </x:row>
    <x:row r="492" ht="22" customHeight="1">
      <x:c r="A492" s="11" t="str">
        <x:v>1435</x:v>
      </x:c>
      <x:c r="B492" s="8" t="str">
        <x:v>The Phone Company Touch Screen Phones SAW/On-wall M806 Grey</x:v>
      </x:c>
      <x:c r="C492" s="8" t="n">
        <x:v>129</x:v>
      </x:c>
      <x:c r="D492" s="9" t="n">
        <x:v>293</x:v>
      </x:c>
      <x:c r="E492" s="9" t="n">
        <x:v>134.74</x:v>
      </x:c>
      <x:c r="F492" s="8" t="n">
        <x:f>C492*D492</x:f>
        <x:v>37797</x:v>
      </x:c>
      <x:c r="G492" s="8" t="n">
        <x:f>C492*E492</x:f>
        <x:v>17381.460000000003</x:v>
      </x:c>
      <x:c r="H492" s="8" t="n">
        <x:f>F492-G492</x:f>
        <x:v>20415.539999999997</x:v>
      </x:c>
      <x:c r="I492" s="10" t="n">
        <x:f>H492/F492</x:f>
        <x:v>0.540136518771331</x:v>
      </x:c>
    </x:row>
    <x:row r="493" ht="22" customHeight="1">
      <x:c r="A493" s="11" t="str">
        <x:v>1436</x:v>
      </x:c>
      <x:c r="B493" s="8" t="str">
        <x:v>The Phone Company Touch Screen Phones 5-Wire/On-wall M508 Grey</x:v>
      </x:c>
      <x:c r="C493" s="8" t="n">
        <x:v>184</x:v>
      </x:c>
      <x:c r="D493" s="9" t="n">
        <x:v>258</x:v>
      </x:c>
      <x:c r="E493" s="9" t="n">
        <x:v>118.65</x:v>
      </x:c>
      <x:c r="F493" s="8" t="n">
        <x:f>C493*D493</x:f>
        <x:v>47472</x:v>
      </x:c>
      <x:c r="G493" s="8" t="n">
        <x:f>C493*E493</x:f>
        <x:v>21831.600000000002</x:v>
      </x:c>
      <x:c r="H493" s="8" t="n">
        <x:f>F493-G493</x:f>
        <x:v>25640.399999999998</x:v>
      </x:c>
      <x:c r="I493" s="10" t="n">
        <x:f>H493/F493</x:f>
        <x:v>0.5401162790697674</x:v>
      </x:c>
    </x:row>
    <x:row r="494" ht="22" customHeight="1">
      <x:c r="A494" s="11" t="str">
        <x:v>1437</x:v>
      </x:c>
      <x:c r="B494" s="8" t="str">
        <x:v>The Phone Company Finger Touch Screen Phones M30 Grey</x:v>
      </x:c>
      <x:c r="C494" s="8" t="n">
        <x:v>187</x:v>
      </x:c>
      <x:c r="D494" s="9" t="n">
        <x:v>199</x:v>
      </x:c>
      <x:c r="E494" s="9" t="n">
        <x:v>91.51</x:v>
      </x:c>
      <x:c r="F494" s="8" t="n">
        <x:f>C494*D494</x:f>
        <x:v>37213</x:v>
      </x:c>
      <x:c r="G494" s="8" t="n">
        <x:f>C494*E494</x:f>
        <x:v>17112.370000000003</x:v>
      </x:c>
      <x:c r="H494" s="8" t="n">
        <x:f>F494-G494</x:f>
        <x:v>20100.629999999997</x:v>
      </x:c>
      <x:c r="I494" s="10" t="n">
        <x:f>H494/F494</x:f>
        <x:v>0.5401507537688441</x:v>
      </x:c>
    </x:row>
    <x:row r="495" ht="22" customHeight="1">
      <x:c r="A495" s="11" t="str">
        <x:v>1438</x:v>
      </x:c>
      <x:c r="B495" s="8" t="str">
        <x:v>The Phone Company Pen Touch Screen Phones M320 Grey</x:v>
      </x:c>
      <x:c r="C495" s="8" t="n">
        <x:v>170</x:v>
      </x:c>
      <x:c r="D495" s="9" t="n">
        <x:v>290</x:v>
      </x:c>
      <x:c r="E495" s="9" t="n">
        <x:v>133.36</x:v>
      </x:c>
      <x:c r="F495" s="8" t="n">
        <x:f>C495*D495</x:f>
        <x:v>49300</x:v>
      </x:c>
      <x:c r="G495" s="8" t="n">
        <x:f>C495*E495</x:f>
        <x:v>22671.2</x:v>
      </x:c>
      <x:c r="H495" s="8" t="n">
        <x:f>F495-G495</x:f>
        <x:v>26628.8</x:v>
      </x:c>
      <x:c r="I495" s="10" t="n">
        <x:f>H495/F495</x:f>
        <x:v>0.5401379310344827</x:v>
      </x:c>
    </x:row>
    <x:row r="496" ht="22" customHeight="1">
      <x:c r="A496" s="11" t="str">
        <x:v>1439</x:v>
      </x:c>
      <x:c r="B496" s="8" t="str">
        <x:v>The Phone Company Sharp Touch Screen Phones M910 Grey</x:v>
      </x:c>
      <x:c r="C496" s="8" t="n">
        <x:v>190</x:v>
      </x:c>
      <x:c r="D496" s="9" t="n">
        <x:v>301</x:v>
      </x:c>
      <x:c r="E496" s="9" t="n">
        <x:v>138.42</x:v>
      </x:c>
      <x:c r="F496" s="8" t="n">
        <x:f>C496*D496</x:f>
        <x:v>57190</x:v>
      </x:c>
      <x:c r="G496" s="8" t="n">
        <x:f>C496*E496</x:f>
        <x:v>26299.8</x:v>
      </x:c>
      <x:c r="H496" s="8" t="n">
        <x:f>F496-G496</x:f>
        <x:v>30890.2</x:v>
      </x:c>
      <x:c r="I496" s="10" t="n">
        <x:f>H496/F496</x:f>
        <x:v>0.5401328903654485</x:v>
      </x:c>
    </x:row>
    <x:row r="497" ht="22" customHeight="1">
      <x:c r="A497" s="11" t="str">
        <x:v>144</x:v>
      </x:c>
      <x:c r="B497" s="8" t="str">
        <x:v>Adventure Works 15.6" LCD TV M130W Brown</x:v>
      </x:c>
      <x:c r="C497" s="8" t="n">
        <x:v>112</x:v>
      </x:c>
      <x:c r="D497" s="9" t="n">
        <x:v>299.99</x:v>
      </x:c>
      <x:c r="E497" s="9" t="n">
        <x:v>152.94</x:v>
      </x:c>
      <x:c r="F497" s="8" t="n">
        <x:f>C497*D497</x:f>
        <x:v>33598.880000000005</x:v>
      </x:c>
      <x:c r="G497" s="8" t="n">
        <x:f>C497*E497</x:f>
        <x:v>17129.28</x:v>
      </x:c>
      <x:c r="H497" s="8" t="n">
        <x:f>F497-G497</x:f>
        <x:v>16469.600000000006</x:v>
      </x:c>
      <x:c r="I497" s="10" t="n">
        <x:f>H497/F497</x:f>
        <x:v>0.49018300610020343</x:v>
      </x:c>
    </x:row>
    <x:row r="498" ht="22" customHeight="1">
      <x:c r="A498" s="11" t="str">
        <x:v>1440</x:v>
      </x:c>
      <x:c r="B498" s="8" t="str">
        <x:v>The Phone Company Touch Screen Phones - CRT M11 Grey</x:v>
      </x:c>
      <x:c r="C498" s="8" t="n">
        <x:v>173</x:v>
      </x:c>
      <x:c r="D498" s="9" t="n">
        <x:v>189</x:v>
      </x:c>
      <x:c r="E498" s="9" t="n">
        <x:v>86.91</x:v>
      </x:c>
      <x:c r="F498" s="8" t="n">
        <x:f>C498*D498</x:f>
        <x:v>32697</x:v>
      </x:c>
      <x:c r="G498" s="8" t="n">
        <x:f>C498*E498</x:f>
        <x:v>15035.43</x:v>
      </x:c>
      <x:c r="H498" s="8" t="n">
        <x:f>F498-G498</x:f>
        <x:v>17661.57</x:v>
      </x:c>
      <x:c r="I498" s="10" t="n">
        <x:f>H498/F498</x:f>
        <x:v>0.5401587301587302</x:v>
      </x:c>
    </x:row>
    <x:row r="499" ht="22" customHeight="1">
      <x:c r="A499" s="11" t="str">
        <x:v>1441</x:v>
      </x:c>
      <x:c r="B499" s="8" t="str">
        <x:v>The Phone Company Touch Screen Phones - LCD M12 Grey</x:v>
      </x:c>
      <x:c r="C499" s="8" t="n">
        <x:v>146</x:v>
      </x:c>
      <x:c r="D499" s="9" t="n">
        <x:v>200</x:v>
      </x:c>
      <x:c r="E499" s="9" t="n">
        <x:v>91.97</x:v>
      </x:c>
      <x:c r="F499" s="8" t="n">
        <x:f>C499*D499</x:f>
        <x:v>29200</x:v>
      </x:c>
      <x:c r="G499" s="8" t="n">
        <x:f>C499*E499</x:f>
        <x:v>13427.619999999999</x:v>
      </x:c>
      <x:c r="H499" s="8" t="n">
        <x:f>F499-G499</x:f>
        <x:v>15772.380000000001</x:v>
      </x:c>
      <x:c r="I499" s="10" t="n">
        <x:f>H499/F499</x:f>
        <x:v>0.54015</x:v>
      </x:c>
    </x:row>
    <x:row r="500" ht="22" customHeight="1">
      <x:c r="A500" s="11" t="str">
        <x:v>1442</x:v>
      </x:c>
      <x:c r="B500" s="8" t="str">
        <x:v>The Phone Company Touch Screen Phone 1600 TFT-2.2" L200 Gold</x:v>
      </x:c>
      <x:c r="C500" s="8" t="n">
        <x:v>113</x:v>
      </x:c>
      <x:c r="D500" s="9" t="n">
        <x:v>529</x:v>
      </x:c>
      <x:c r="E500" s="9" t="n">
        <x:v>175.27</x:v>
      </x:c>
      <x:c r="F500" s="8" t="n">
        <x:f>C500*D500</x:f>
        <x:v>59777</x:v>
      </x:c>
      <x:c r="G500" s="8" t="n">
        <x:f>C500*E500</x:f>
        <x:v>19805.510000000002</x:v>
      </x:c>
      <x:c r="H500" s="8" t="n">
        <x:f>F500-G500</x:f>
        <x:v>39971.49</x:v>
      </x:c>
      <x:c r="I500" s="10" t="n">
        <x:f>H500/F500</x:f>
        <x:v>0.6686767485822306</x:v>
      </x:c>
    </x:row>
    <x:row r="501" ht="22" customHeight="1">
      <x:c r="A501" s="11" t="str">
        <x:v>1443</x:v>
      </x:c>
      <x:c r="B501" s="8" t="str">
        <x:v>The Phone Company Touch Screen Phone 1600 TFT-1.4" L250 Gold</x:v>
      </x:c>
      <x:c r="C501" s="8" t="n">
        <x:v>201</x:v>
      </x:c>
      <x:c r="D501" s="9" t="n">
        <x:v>589</x:v>
      </x:c>
      <x:c r="E501" s="9" t="n">
        <x:v>195.15</x:v>
      </x:c>
      <x:c r="F501" s="8" t="n">
        <x:f>C501*D501</x:f>
        <x:v>118389</x:v>
      </x:c>
      <x:c r="G501" s="8" t="n">
        <x:f>C501*E501</x:f>
        <x:v>39225.15</x:v>
      </x:c>
      <x:c r="H501" s="8" t="n">
        <x:f>F501-G501</x:f>
        <x:v>79163.85</x:v>
      </x:c>
      <x:c r="I501" s="10" t="n">
        <x:f>H501/F501</x:f>
        <x:v>0.6686757215619695</x:v>
      </x:c>
    </x:row>
    <x:row r="502" ht="22" customHeight="1">
      <x:c r="A502" s="11" t="str">
        <x:v>1444</x:v>
      </x:c>
      <x:c r="B502" s="8" t="str">
        <x:v>The Phone Company Touch Screen Phones 26-2.2" M200 Gold</x:v>
      </x:c>
      <x:c r="C502" s="8" t="n">
        <x:v>191</x:v>
      </x:c>
      <x:c r="D502" s="9" t="n">
        <x:v>230</x:v>
      </x:c>
      <x:c r="E502" s="9" t="n">
        <x:v>105.77</x:v>
      </x:c>
      <x:c r="F502" s="8" t="n">
        <x:f>C502*D502</x:f>
        <x:v>43930</x:v>
      </x:c>
      <x:c r="G502" s="8" t="n">
        <x:f>C502*E502</x:f>
        <x:v>20202.07</x:v>
      </x:c>
      <x:c r="H502" s="8" t="n">
        <x:f>F502-G502</x:f>
        <x:v>23727.93</x:v>
      </x:c>
      <x:c r="I502" s="10" t="n">
        <x:f>H502/F502</x:f>
        <x:v>0.5401304347826087</x:v>
      </x:c>
    </x:row>
    <x:row r="503" ht="22" customHeight="1">
      <x:c r="A503" s="11" t="str">
        <x:v>1445</x:v>
      </x:c>
      <x:c r="B503" s="8" t="str">
        <x:v>The Phone Company Touch Screen Phones 26-1.4" M250 Gold</x:v>
      </x:c>
      <x:c r="C503" s="8" t="n">
        <x:v>196</x:v>
      </x:c>
      <x:c r="D503" s="9" t="n">
        <x:v>268</x:v>
      </x:c>
      <x:c r="E503" s="9" t="n">
        <x:v>123.24</x:v>
      </x:c>
      <x:c r="F503" s="8" t="n">
        <x:f>C503*D503</x:f>
        <x:v>52528</x:v>
      </x:c>
      <x:c r="G503" s="8" t="n">
        <x:f>C503*E503</x:f>
        <x:v>24155.039999999997</x:v>
      </x:c>
      <x:c r="H503" s="8" t="n">
        <x:f>F503-G503</x:f>
        <x:v>28372.960000000003</x:v>
      </x:c>
      <x:c r="I503" s="10" t="n">
        <x:f>H503/F503</x:f>
        <x:v>0.5401492537313434</x:v>
      </x:c>
    </x:row>
    <x:row r="504" ht="22" customHeight="1">
      <x:c r="A504" s="11" t="str">
        <x:v>1446</x:v>
      </x:c>
      <x:c r="B504" s="8" t="str">
        <x:v>The Phone Company Touch Screen Phones 4-Wire/On-wall M302 Gold</x:v>
      </x:c>
      <x:c r="C504" s="8" t="n">
        <x:v>152</x:v>
      </x:c>
      <x:c r="D504" s="9" t="n">
        <x:v>289</x:v>
      </x:c>
      <x:c r="E504" s="9" t="n">
        <x:v>132.9</x:v>
      </x:c>
      <x:c r="F504" s="8" t="n">
        <x:f>C504*D504</x:f>
        <x:v>43928</x:v>
      </x:c>
      <x:c r="G504" s="8" t="n">
        <x:f>C504*E504</x:f>
        <x:v>20200.8</x:v>
      </x:c>
      <x:c r="H504" s="8" t="n">
        <x:f>F504-G504</x:f>
        <x:v>23727.2</x:v>
      </x:c>
      <x:c r="I504" s="10" t="n">
        <x:f>H504/F504</x:f>
        <x:v>0.5401384083044983</x:v>
      </x:c>
    </x:row>
    <x:row r="505" ht="22" customHeight="1">
      <x:c r="A505" s="11" t="str">
        <x:v>1447</x:v>
      </x:c>
      <x:c r="B505" s="8" t="str">
        <x:v>The Phone Company Touch Screen Phones SAW/Built-in M801 Gold</x:v>
      </x:c>
      <x:c r="C505" s="8" t="n">
        <x:v>182</x:v>
      </x:c>
      <x:c r="D505" s="9" t="n">
        <x:v>299</x:v>
      </x:c>
      <x:c r="E505" s="9" t="n">
        <x:v>137.5</x:v>
      </x:c>
      <x:c r="F505" s="8" t="n">
        <x:f>C505*D505</x:f>
        <x:v>54418</x:v>
      </x:c>
      <x:c r="G505" s="8" t="n">
        <x:f>C505*E505</x:f>
        <x:v>25025</x:v>
      </x:c>
      <x:c r="H505" s="8" t="n">
        <x:f>F505-G505</x:f>
        <x:v>29393</x:v>
      </x:c>
      <x:c r="I505" s="10" t="n">
        <x:f>H505/F505</x:f>
        <x:v>0.540133779264214</x:v>
      </x:c>
    </x:row>
    <x:row r="506" ht="22" customHeight="1">
      <x:c r="A506" s="11" t="str">
        <x:v>1448</x:v>
      </x:c>
      <x:c r="B506" s="8" t="str">
        <x:v>The Phone Company Touch Screen Phones 5-Wire/Built-in M500 Gold</x:v>
      </x:c>
      <x:c r="C506" s="8" t="n">
        <x:v>140</x:v>
      </x:c>
      <x:c r="D506" s="9" t="n">
        <x:v>256</x:v>
      </x:c>
      <x:c r="E506" s="9" t="n">
        <x:v>117.73</x:v>
      </x:c>
      <x:c r="F506" s="8" t="n">
        <x:f>C506*D506</x:f>
        <x:v>35840</x:v>
      </x:c>
      <x:c r="G506" s="8" t="n">
        <x:f>C506*E506</x:f>
        <x:v>16482.2</x:v>
      </x:c>
      <x:c r="H506" s="8" t="n">
        <x:f>F506-G506</x:f>
        <x:v>19357.8</x:v>
      </x:c>
      <x:c r="I506" s="10" t="n">
        <x:f>H506/F506</x:f>
        <x:v>0.5401171874999999</x:v>
      </x:c>
    </x:row>
    <x:row r="507" ht="22" customHeight="1">
      <x:c r="A507" s="11" t="str">
        <x:v>1449</x:v>
      </x:c>
      <x:c r="B507" s="8" t="str">
        <x:v>The Phone Company Touch Screen Phones Infrared M901 Gold</x:v>
      </x:c>
      <x:c r="C507" s="8" t="n">
        <x:v>224</x:v>
      </x:c>
      <x:c r="D507" s="9" t="n">
        <x:v>300</x:v>
      </x:c>
      <x:c r="E507" s="9" t="n">
        <x:v>137.96</x:v>
      </x:c>
      <x:c r="F507" s="8" t="n">
        <x:f>C507*D507</x:f>
        <x:v>67200</x:v>
      </x:c>
      <x:c r="G507" s="8" t="n">
        <x:f>C507*E507</x:f>
        <x:v>30903.04</x:v>
      </x:c>
      <x:c r="H507" s="8" t="n">
        <x:f>F507-G507</x:f>
        <x:v>36296.96</x:v>
      </x:c>
      <x:c r="I507" s="10" t="n">
        <x:f>H507/F507</x:f>
        <x:v>0.5401333333333334</x:v>
      </x:c>
    </x:row>
    <x:row r="508" ht="22" customHeight="1">
      <x:c r="A508" s="11" t="str">
        <x:v>145</x:v>
      </x:c>
      <x:c r="B508" s="8" t="str">
        <x:v>Adventure Works 52" LCD HDTV X590 Silver</x:v>
      </x:c>
      <x:c r="C508" s="8" t="n">
        <x:v>122</x:v>
      </x:c>
      <x:c r="D508" s="9" t="n">
        <x:v>2899.99</x:v>
      </x:c>
      <x:c r="E508" s="9" t="n">
        <x:v>960.82</x:v>
      </x:c>
      <x:c r="F508" s="8" t="n">
        <x:f>C508*D508</x:f>
        <x:v>353798.77999999997</x:v>
      </x:c>
      <x:c r="G508" s="8" t="n">
        <x:f>C508*E508</x:f>
        <x:v>117220.04000000001</x:v>
      </x:c>
      <x:c r="H508" s="8" t="n">
        <x:f>F508-G508</x:f>
        <x:v>236578.73999999996</x:v>
      </x:c>
      <x:c r="I508" s="10" t="n">
        <x:f>H508/F508</x:f>
        <x:v>0.6686816161435039</x:v>
      </x:c>
    </x:row>
    <x:row r="509" ht="22" customHeight="1">
      <x:c r="A509" s="11" t="str">
        <x:v>1450</x:v>
      </x:c>
      <x:c r="B509" s="8" t="str">
        <x:v>The Phone Company Touch Screen Phones Capacitive M908 Gold</x:v>
      </x:c>
      <x:c r="C509" s="8" t="n">
        <x:v>174</x:v>
      </x:c>
      <x:c r="D509" s="9" t="n">
        <x:v>308</x:v>
      </x:c>
      <x:c r="E509" s="9" t="n">
        <x:v>141.64</x:v>
      </x:c>
      <x:c r="F509" s="8" t="n">
        <x:f>C509*D509</x:f>
        <x:v>53592</x:v>
      </x:c>
      <x:c r="G509" s="8" t="n">
        <x:f>C509*E509</x:f>
        <x:v>24645.359999999997</x:v>
      </x:c>
      <x:c r="H509" s="8" t="n">
        <x:f>F509-G509</x:f>
        <x:v>28946.640000000003</x:v>
      </x:c>
      <x:c r="I509" s="10" t="n">
        <x:f>H509/F509</x:f>
        <x:v>0.5401298701298702</x:v>
      </x:c>
    </x:row>
    <x:row r="510" ht="22" customHeight="1">
      <x:c r="A510" s="11" t="str">
        <x:v>1451</x:v>
      </x:c>
      <x:c r="B510" s="8" t="str">
        <x:v>The Phone Company Touch Screen Phones 4-Wire/ Built-in M205 Gold</x:v>
      </x:c>
      <x:c r="C510" s="8" t="n">
        <x:v>130</x:v>
      </x:c>
      <x:c r="D510" s="9" t="n">
        <x:v>268</x:v>
      </x:c>
      <x:c r="E510" s="9" t="n">
        <x:v>123.24</x:v>
      </x:c>
      <x:c r="F510" s="8" t="n">
        <x:f>C510*D510</x:f>
        <x:v>34840</x:v>
      </x:c>
      <x:c r="G510" s="8" t="n">
        <x:f>C510*E510</x:f>
        <x:v>16021.199999999999</x:v>
      </x:c>
      <x:c r="H510" s="8" t="n">
        <x:f>F510-G510</x:f>
        <x:v>18818.800000000003</x:v>
      </x:c>
      <x:c r="I510" s="10" t="n">
        <x:f>H510/F510</x:f>
        <x:v>0.5401492537313434</x:v>
      </x:c>
    </x:row>
    <x:row r="511" ht="22" customHeight="1">
      <x:c r="A511" s="11" t="str">
        <x:v>1452</x:v>
      </x:c>
      <x:c r="B511" s="8" t="str">
        <x:v>The Phone Company Touch Screen Phones SAW/On-wall M806 Gold</x:v>
      </x:c>
      <x:c r="C511" s="8" t="n">
        <x:v>150</x:v>
      </x:c>
      <x:c r="D511" s="9" t="n">
        <x:v>293</x:v>
      </x:c>
      <x:c r="E511" s="9" t="n">
        <x:v>134.74</x:v>
      </x:c>
      <x:c r="F511" s="8" t="n">
        <x:f>C511*D511</x:f>
        <x:v>43950</x:v>
      </x:c>
      <x:c r="G511" s="8" t="n">
        <x:f>C511*E511</x:f>
        <x:v>20211</x:v>
      </x:c>
      <x:c r="H511" s="8" t="n">
        <x:f>F511-G511</x:f>
        <x:v>23739</x:v>
      </x:c>
      <x:c r="I511" s="10" t="n">
        <x:f>H511/F511</x:f>
        <x:v>0.5401365187713311</x:v>
      </x:c>
    </x:row>
    <x:row r="512" ht="22" customHeight="1">
      <x:c r="A512" s="11" t="str">
        <x:v>1453</x:v>
      </x:c>
      <x:c r="B512" s="8" t="str">
        <x:v>The Phone Company Touch Screen Phones 5-Wire/On-wall M508 Gold</x:v>
      </x:c>
      <x:c r="C512" s="8" t="n">
        <x:v>217</x:v>
      </x:c>
      <x:c r="D512" s="9" t="n">
        <x:v>258</x:v>
      </x:c>
      <x:c r="E512" s="9" t="n">
        <x:v>118.65</x:v>
      </x:c>
      <x:c r="F512" s="8" t="n">
        <x:f>C512*D512</x:f>
        <x:v>55986</x:v>
      </x:c>
      <x:c r="G512" s="8" t="n">
        <x:f>C512*E512</x:f>
        <x:v>25747.050000000003</x:v>
      </x:c>
      <x:c r="H512" s="8" t="n">
        <x:f>F512-G512</x:f>
        <x:v>30238.949999999997</x:v>
      </x:c>
      <x:c r="I512" s="10" t="n">
        <x:f>H512/F512</x:f>
        <x:v>0.5401162790697673</x:v>
      </x:c>
    </x:row>
    <x:row r="513" ht="22" customHeight="1">
      <x:c r="A513" s="11" t="str">
        <x:v>1454</x:v>
      </x:c>
      <x:c r="B513" s="8" t="str">
        <x:v>The Phone Company Finger Touch Screen Phones M30 Gold</x:v>
      </x:c>
      <x:c r="C513" s="8" t="n">
        <x:v>194</x:v>
      </x:c>
      <x:c r="D513" s="9" t="n">
        <x:v>199</x:v>
      </x:c>
      <x:c r="E513" s="9" t="n">
        <x:v>91.51</x:v>
      </x:c>
      <x:c r="F513" s="8" t="n">
        <x:f>C513*D513</x:f>
        <x:v>38606</x:v>
      </x:c>
      <x:c r="G513" s="8" t="n">
        <x:f>C513*E513</x:f>
        <x:v>17752.940000000002</x:v>
      </x:c>
      <x:c r="H513" s="8" t="n">
        <x:f>F513-G513</x:f>
        <x:v>20853.059999999998</x:v>
      </x:c>
      <x:c r="I513" s="10" t="n">
        <x:f>H513/F513</x:f>
        <x:v>0.5401507537688441</x:v>
      </x:c>
    </x:row>
    <x:row r="514" ht="22" customHeight="1">
      <x:c r="A514" s="11" t="str">
        <x:v>1455</x:v>
      </x:c>
      <x:c r="B514" s="8" t="str">
        <x:v>The Phone Company Pen Touch Screen Phones M320 Gold</x:v>
      </x:c>
      <x:c r="C514" s="8" t="n">
        <x:v>190</x:v>
      </x:c>
      <x:c r="D514" s="9" t="n">
        <x:v>290</x:v>
      </x:c>
      <x:c r="E514" s="9" t="n">
        <x:v>133.36</x:v>
      </x:c>
      <x:c r="F514" s="8" t="n">
        <x:f>C514*D514</x:f>
        <x:v>55100</x:v>
      </x:c>
      <x:c r="G514" s="8" t="n">
        <x:f>C514*E514</x:f>
        <x:v>25338.4</x:v>
      </x:c>
      <x:c r="H514" s="8" t="n">
        <x:f>F514-G514</x:f>
        <x:v>29761.6</x:v>
      </x:c>
      <x:c r="I514" s="10" t="n">
        <x:f>H514/F514</x:f>
        <x:v>0.5401379310344827</x:v>
      </x:c>
    </x:row>
    <x:row r="515" ht="22" customHeight="1">
      <x:c r="A515" s="11" t="str">
        <x:v>1456</x:v>
      </x:c>
      <x:c r="B515" s="8" t="str">
        <x:v>The Phone Company Sharp Touch Screen Phones M910 Gold</x:v>
      </x:c>
      <x:c r="C515" s="8" t="n">
        <x:v>186</x:v>
      </x:c>
      <x:c r="D515" s="9" t="n">
        <x:v>301</x:v>
      </x:c>
      <x:c r="E515" s="9" t="n">
        <x:v>138.42</x:v>
      </x:c>
      <x:c r="F515" s="8" t="n">
        <x:f>C515*D515</x:f>
        <x:v>55986</x:v>
      </x:c>
      <x:c r="G515" s="8" t="n">
        <x:f>C515*E515</x:f>
        <x:v>25746.12</x:v>
      </x:c>
      <x:c r="H515" s="8" t="n">
        <x:f>F515-G515</x:f>
        <x:v>30239.88</x:v>
      </x:c>
      <x:c r="I515" s="10" t="n">
        <x:f>H515/F515</x:f>
        <x:v>0.5401328903654485</x:v>
      </x:c>
    </x:row>
    <x:row r="516" ht="22" customHeight="1">
      <x:c r="A516" s="11" t="str">
        <x:v>1457</x:v>
      </x:c>
      <x:c r="B516" s="8" t="str">
        <x:v>The Phone Company Touch Screen Phones - CRT M11 Gold</x:v>
      </x:c>
      <x:c r="C516" s="8" t="n">
        <x:v>171</x:v>
      </x:c>
      <x:c r="D516" s="9" t="n">
        <x:v>189</x:v>
      </x:c>
      <x:c r="E516" s="9" t="n">
        <x:v>86.91</x:v>
      </x:c>
      <x:c r="F516" s="8" t="n">
        <x:f>C516*D516</x:f>
        <x:v>32319</x:v>
      </x:c>
      <x:c r="G516" s="8" t="n">
        <x:f>C516*E516</x:f>
        <x:v>14861.609999999999</x:v>
      </x:c>
      <x:c r="H516" s="8" t="n">
        <x:f>F516-G516</x:f>
        <x:v>17457.39</x:v>
      </x:c>
      <x:c r="I516" s="10" t="n">
        <x:f>H516/F516</x:f>
        <x:v>0.5401587301587302</x:v>
      </x:c>
    </x:row>
    <x:row r="517" ht="22" customHeight="1">
      <x:c r="A517" s="11" t="str">
        <x:v>1458</x:v>
      </x:c>
      <x:c r="B517" s="8" t="str">
        <x:v>The Phone Company Touch Screen Phones - LCD M12 Gold</x:v>
      </x:c>
      <x:c r="C517" s="8" t="n">
        <x:v>256</x:v>
      </x:c>
      <x:c r="D517" s="9" t="n">
        <x:v>200</x:v>
      </x:c>
      <x:c r="E517" s="9" t="n">
        <x:v>91.97</x:v>
      </x:c>
      <x:c r="F517" s="8" t="n">
        <x:f>C517*D517</x:f>
        <x:v>51200</x:v>
      </x:c>
      <x:c r="G517" s="8" t="n">
        <x:f>C517*E517</x:f>
        <x:v>23544.32</x:v>
      </x:c>
      <x:c r="H517" s="8" t="n">
        <x:f>F517-G517</x:f>
        <x:v>27655.68</x:v>
      </x:c>
      <x:c r="I517" s="10" t="n">
        <x:f>H517/F517</x:f>
        <x:v>0.54015</x:v>
      </x:c>
    </x:row>
    <x:row r="518" ht="22" customHeight="1">
      <x:c r="A518" s="11" t="str">
        <x:v>1459</x:v>
      </x:c>
      <x:c r="B518" s="8" t="str">
        <x:v>Contoso Touch Screen Phones 5-Wire/Built-in M500 Black</x:v>
      </x:c>
      <x:c r="C518" s="8" t="n">
        <x:v>209</x:v>
      </x:c>
      <x:c r="D518" s="9" t="n">
        <x:v>256</x:v>
      </x:c>
      <x:c r="E518" s="9" t="n">
        <x:v>117.73</x:v>
      </x:c>
      <x:c r="F518" s="8" t="n">
        <x:f>C518*D518</x:f>
        <x:v>53504</x:v>
      </x:c>
      <x:c r="G518" s="8" t="n">
        <x:f>C518*E518</x:f>
        <x:v>24605.57</x:v>
      </x:c>
      <x:c r="H518" s="8" t="n">
        <x:f>F518-G518</x:f>
        <x:v>28898.43</x:v>
      </x:c>
      <x:c r="I518" s="10" t="n">
        <x:f>H518/F518</x:f>
        <x:v>0.5401171875</x:v>
      </x:c>
    </x:row>
    <x:row r="519" ht="22" customHeight="1">
      <x:c r="A519" s="11" t="str">
        <x:v>146</x:v>
      </x:c>
      <x:c r="B519" s="8" t="str">
        <x:v>Adventure Works 52" LCD HDTV X590 Black</x:v>
      </x:c>
      <x:c r="C519" s="8" t="n">
        <x:v>129</x:v>
      </x:c>
      <x:c r="D519" s="9" t="n">
        <x:v>2899.99</x:v>
      </x:c>
      <x:c r="E519" s="9" t="n">
        <x:v>960.82</x:v>
      </x:c>
      <x:c r="F519" s="8" t="n">
        <x:f>C519*D519</x:f>
        <x:v>374098.70999999996</x:v>
      </x:c>
      <x:c r="G519" s="8" t="n">
        <x:f>C519*E519</x:f>
        <x:v>123945.78000000001</x:v>
      </x:c>
      <x:c r="H519" s="8" t="n">
        <x:f>F519-G519</x:f>
        <x:v>250152.92999999993</x:v>
      </x:c>
      <x:c r="I519" s="10" t="n">
        <x:f>H519/F519</x:f>
        <x:v>0.6686816161435039</x:v>
      </x:c>
    </x:row>
    <x:row r="520" ht="22" customHeight="1">
      <x:c r="A520" s="11" t="str">
        <x:v>1460</x:v>
      </x:c>
      <x:c r="B520" s="8" t="str">
        <x:v>Contoso Touch Screen Phones Infrared M901 Black</x:v>
      </x:c>
      <x:c r="C520" s="8" t="n">
        <x:v>177</x:v>
      </x:c>
      <x:c r="D520" s="9" t="n">
        <x:v>300</x:v>
      </x:c>
      <x:c r="E520" s="9" t="n">
        <x:v>137.96</x:v>
      </x:c>
      <x:c r="F520" s="8" t="n">
        <x:f>C520*D520</x:f>
        <x:v>53100</x:v>
      </x:c>
      <x:c r="G520" s="8" t="n">
        <x:f>C520*E520</x:f>
        <x:v>24418.920000000002</x:v>
      </x:c>
      <x:c r="H520" s="8" t="n">
        <x:f>F520-G520</x:f>
        <x:v>28681.079999999998</x:v>
      </x:c>
      <x:c r="I520" s="10" t="n">
        <x:f>H520/F520</x:f>
        <x:v>0.5401333333333332</x:v>
      </x:c>
    </x:row>
    <x:row r="521" ht="22" customHeight="1">
      <x:c r="A521" s="11" t="str">
        <x:v>1461</x:v>
      </x:c>
      <x:c r="B521" s="8" t="str">
        <x:v>Contoso Touch Screen Phones Capacitive M908 Black</x:v>
      </x:c>
      <x:c r="C521" s="8" t="n">
        <x:v>158</x:v>
      </x:c>
      <x:c r="D521" s="9" t="n">
        <x:v>308</x:v>
      </x:c>
      <x:c r="E521" s="9" t="n">
        <x:v>141.64</x:v>
      </x:c>
      <x:c r="F521" s="8" t="n">
        <x:f>C521*D521</x:f>
        <x:v>48664</x:v>
      </x:c>
      <x:c r="G521" s="8" t="n">
        <x:f>C521*E521</x:f>
        <x:v>22379.12</x:v>
      </x:c>
      <x:c r="H521" s="8" t="n">
        <x:f>F521-G521</x:f>
        <x:v>26284.88</x:v>
      </x:c>
      <x:c r="I521" s="10" t="n">
        <x:f>H521/F521</x:f>
        <x:v>0.5401298701298701</x:v>
      </x:c>
    </x:row>
    <x:row r="522" ht="22" customHeight="1">
      <x:c r="A522" s="11" t="str">
        <x:v>1462</x:v>
      </x:c>
      <x:c r="B522" s="8" t="str">
        <x:v>Contoso Touch Screen Phones 4-Wire/ Built-in M205 Black</x:v>
      </x:c>
      <x:c r="C522" s="8" t="n">
        <x:v>200</x:v>
      </x:c>
      <x:c r="D522" s="9" t="n">
        <x:v>268</x:v>
      </x:c>
      <x:c r="E522" s="9" t="n">
        <x:v>123.24</x:v>
      </x:c>
      <x:c r="F522" s="8" t="n">
        <x:f>C522*D522</x:f>
        <x:v>53600</x:v>
      </x:c>
      <x:c r="G522" s="8" t="n">
        <x:f>C522*E522</x:f>
        <x:v>24648</x:v>
      </x:c>
      <x:c r="H522" s="8" t="n">
        <x:f>F522-G522</x:f>
        <x:v>28952</x:v>
      </x:c>
      <x:c r="I522" s="10" t="n">
        <x:f>H522/F522</x:f>
        <x:v>0.5401492537313433</x:v>
      </x:c>
    </x:row>
    <x:row r="523" ht="22" customHeight="1">
      <x:c r="A523" s="11" t="str">
        <x:v>1463</x:v>
      </x:c>
      <x:c r="B523" s="8" t="str">
        <x:v>Contoso Touch Screen Phones SAW/On-wall M806 Black</x:v>
      </x:c>
      <x:c r="C523" s="8" t="n">
        <x:v>156</x:v>
      </x:c>
      <x:c r="D523" s="9" t="n">
        <x:v>293</x:v>
      </x:c>
      <x:c r="E523" s="9" t="n">
        <x:v>134.74</x:v>
      </x:c>
      <x:c r="F523" s="8" t="n">
        <x:f>C523*D523</x:f>
        <x:v>45708</x:v>
      </x:c>
      <x:c r="G523" s="8" t="n">
        <x:f>C523*E523</x:f>
        <x:v>21019.440000000002</x:v>
      </x:c>
      <x:c r="H523" s="8" t="n">
        <x:f>F523-G523</x:f>
        <x:v>24688.559999999998</x:v>
      </x:c>
      <x:c r="I523" s="10" t="n">
        <x:f>H523/F523</x:f>
        <x:v>0.540136518771331</x:v>
      </x:c>
    </x:row>
    <x:row r="524" ht="22" customHeight="1">
      <x:c r="A524" s="11" t="str">
        <x:v>1464</x:v>
      </x:c>
      <x:c r="B524" s="8" t="str">
        <x:v>Contoso Touch Screen Phones 5-Wire/On-wall M508 Black</x:v>
      </x:c>
      <x:c r="C524" s="8" t="n">
        <x:v>163</x:v>
      </x:c>
      <x:c r="D524" s="9" t="n">
        <x:v>258</x:v>
      </x:c>
      <x:c r="E524" s="9" t="n">
        <x:v>118.65</x:v>
      </x:c>
      <x:c r="F524" s="8" t="n">
        <x:f>C524*D524</x:f>
        <x:v>42054</x:v>
      </x:c>
      <x:c r="G524" s="8" t="n">
        <x:f>C524*E524</x:f>
        <x:v>19339.95</x:v>
      </x:c>
      <x:c r="H524" s="8" t="n">
        <x:f>F524-G524</x:f>
        <x:v>22714.05</x:v>
      </x:c>
      <x:c r="I524" s="10" t="n">
        <x:f>H524/F524</x:f>
        <x:v>0.5401162790697674</x:v>
      </x:c>
    </x:row>
    <x:row r="525" ht="22" customHeight="1">
      <x:c r="A525" s="11" t="str">
        <x:v>1465</x:v>
      </x:c>
      <x:c r="B525" s="8" t="str">
        <x:v>Contoso Finger Touch Screen Phones M30 Black</x:v>
      </x:c>
      <x:c r="C525" s="8" t="n">
        <x:v>223</x:v>
      </x:c>
      <x:c r="D525" s="9" t="n">
        <x:v>199</x:v>
      </x:c>
      <x:c r="E525" s="9" t="n">
        <x:v>91.51</x:v>
      </x:c>
      <x:c r="F525" s="8" t="n">
        <x:f>C525*D525</x:f>
        <x:v>44377</x:v>
      </x:c>
      <x:c r="G525" s="8" t="n">
        <x:f>C525*E525</x:f>
        <x:v>20406.73</x:v>
      </x:c>
      <x:c r="H525" s="8" t="n">
        <x:f>F525-G525</x:f>
        <x:v>23970.27</x:v>
      </x:c>
      <x:c r="I525" s="10" t="n">
        <x:f>H525/F525</x:f>
        <x:v>0.5401507537688442</x:v>
      </x:c>
    </x:row>
    <x:row r="526" ht="22" customHeight="1">
      <x:c r="A526" s="11" t="str">
        <x:v>1466</x:v>
      </x:c>
      <x:c r="B526" s="8" t="str">
        <x:v>Contoso Pen Touch Screen Phones M320 Black</x:v>
      </x:c>
      <x:c r="C526" s="8" t="n">
        <x:v>164</x:v>
      </x:c>
      <x:c r="D526" s="9" t="n">
        <x:v>290</x:v>
      </x:c>
      <x:c r="E526" s="9" t="n">
        <x:v>133.36</x:v>
      </x:c>
      <x:c r="F526" s="8" t="n">
        <x:f>C526*D526</x:f>
        <x:v>47560</x:v>
      </x:c>
      <x:c r="G526" s="8" t="n">
        <x:f>C526*E526</x:f>
        <x:v>21871.04</x:v>
      </x:c>
      <x:c r="H526" s="8" t="n">
        <x:f>F526-G526</x:f>
        <x:v>25688.96</x:v>
      </x:c>
      <x:c r="I526" s="10" t="n">
        <x:f>H526/F526</x:f>
        <x:v>0.5401379310344827</x:v>
      </x:c>
    </x:row>
    <x:row r="527" ht="22" customHeight="1">
      <x:c r="A527" s="11" t="str">
        <x:v>1467</x:v>
      </x:c>
      <x:c r="B527" s="8" t="str">
        <x:v>Contoso Sharp Touch Screen Phones M910 Black</x:v>
      </x:c>
      <x:c r="C527" s="8" t="n">
        <x:v>163</x:v>
      </x:c>
      <x:c r="D527" s="9" t="n">
        <x:v>301</x:v>
      </x:c>
      <x:c r="E527" s="9" t="n">
        <x:v>138.42</x:v>
      </x:c>
      <x:c r="F527" s="8" t="n">
        <x:f>C527*D527</x:f>
        <x:v>49063</x:v>
      </x:c>
      <x:c r="G527" s="8" t="n">
        <x:f>C527*E527</x:f>
        <x:v>22562.46</x:v>
      </x:c>
      <x:c r="H527" s="8" t="n">
        <x:f>F527-G527</x:f>
        <x:v>26500.54</x:v>
      </x:c>
      <x:c r="I527" s="10" t="n">
        <x:f>H527/F527</x:f>
        <x:v>0.5401328903654485</x:v>
      </x:c>
    </x:row>
    <x:row r="528" ht="22" customHeight="1">
      <x:c r="A528" s="11" t="str">
        <x:v>1468</x:v>
      </x:c>
      <x:c r="B528" s="8" t="str">
        <x:v>Contoso Touch Screen Phones - CRT M11 Black</x:v>
      </x:c>
      <x:c r="C528" s="8" t="n">
        <x:v>121</x:v>
      </x:c>
      <x:c r="D528" s="9" t="n">
        <x:v>189</x:v>
      </x:c>
      <x:c r="E528" s="9" t="n">
        <x:v>86.91</x:v>
      </x:c>
      <x:c r="F528" s="8" t="n">
        <x:f>C528*D528</x:f>
        <x:v>22869</x:v>
      </x:c>
      <x:c r="G528" s="8" t="n">
        <x:f>C528*E528</x:f>
        <x:v>10516.109999999999</x:v>
      </x:c>
      <x:c r="H528" s="8" t="n">
        <x:f>F528-G528</x:f>
        <x:v>12352.890000000001</x:v>
      </x:c>
      <x:c r="I528" s="10" t="n">
        <x:f>H528/F528</x:f>
        <x:v>0.5401587301587302</x:v>
      </x:c>
    </x:row>
    <x:row r="529" ht="22" customHeight="1">
      <x:c r="A529" s="11" t="str">
        <x:v>1469</x:v>
      </x:c>
      <x:c r="B529" s="8" t="str">
        <x:v>Contoso Touch Screen Phones  - LCD M12 Black</x:v>
      </x:c>
      <x:c r="C529" s="8" t="n">
        <x:v>209</x:v>
      </x:c>
      <x:c r="D529" s="9" t="n">
        <x:v>200</x:v>
      </x:c>
      <x:c r="E529" s="9" t="n">
        <x:v>91.97</x:v>
      </x:c>
      <x:c r="F529" s="8" t="n">
        <x:f>C529*D529</x:f>
        <x:v>41800</x:v>
      </x:c>
      <x:c r="G529" s="8" t="n">
        <x:f>C529*E529</x:f>
        <x:v>19221.73</x:v>
      </x:c>
      <x:c r="H529" s="8" t="n">
        <x:f>F529-G529</x:f>
        <x:v>22578.27</x:v>
      </x:c>
      <x:c r="I529" s="10" t="n">
        <x:f>H529/F529</x:f>
        <x:v>0.54015</x:v>
      </x:c>
    </x:row>
    <x:row r="530" ht="22" customHeight="1">
      <x:c r="A530" s="11" t="str">
        <x:v>147</x:v>
      </x:c>
      <x:c r="B530" s="8" t="str">
        <x:v>Adventure Works 52" LCD HDTV X590 White</x:v>
      </x:c>
      <x:c r="C530" s="8" t="n">
        <x:v>136</x:v>
      </x:c>
      <x:c r="D530" s="9" t="n">
        <x:v>2899.99</x:v>
      </x:c>
      <x:c r="E530" s="9" t="n">
        <x:v>960.82</x:v>
      </x:c>
      <x:c r="F530" s="8" t="n">
        <x:f>C530*D530</x:f>
        <x:v>394398.63999999996</x:v>
      </x:c>
      <x:c r="G530" s="8" t="n">
        <x:f>C530*E530</x:f>
        <x:v>130671.52</x:v>
      </x:c>
      <x:c r="H530" s="8" t="n">
        <x:f>F530-G530</x:f>
        <x:v>263727.11999999994</x:v>
      </x:c>
      <x:c r="I530" s="10" t="n">
        <x:f>H530/F530</x:f>
        <x:v>0.6686816161435039</x:v>
      </x:c>
    </x:row>
    <x:row r="531" ht="22" customHeight="1">
      <x:c r="A531" s="11" t="str">
        <x:v>1470</x:v>
      </x:c>
      <x:c r="B531" s="8" t="str">
        <x:v>The Phone Company Smart phones without camera E100 Black</x:v>
      </x:c>
      <x:c r="C531" s="8" t="n">
        <x:v>120</x:v>
      </x:c>
      <x:c r="D531" s="9" t="n">
        <x:v>129</x:v>
      </x:c>
      <x:c r="E531" s="9" t="n">
        <x:v>65.77</x:v>
      </x:c>
      <x:c r="F531" s="8" t="n">
        <x:f>C531*D531</x:f>
        <x:v>15480</x:v>
      </x:c>
      <x:c r="G531" s="8" t="n">
        <x:f>C531*E531</x:f>
        <x:v>7892.4</x:v>
      </x:c>
      <x:c r="H531" s="8" t="n">
        <x:f>F531-G531</x:f>
        <x:v>7587.6</x:v>
      </x:c>
      <x:c r="I531" s="10" t="n">
        <x:f>H531/F531</x:f>
        <x:v>0.49015503875968996</x:v>
      </x:c>
    </x:row>
    <x:row r="532" ht="22" customHeight="1">
      <x:c r="A532" s="11" t="str">
        <x:v>1471</x:v>
      </x:c>
      <x:c r="B532" s="8" t="str">
        <x:v>The Phone Company Microsoft Windows Mobile M200 Black</x:v>
      </x:c>
      <x:c r="C532" s="8" t="n">
        <x:v>72</x:v>
      </x:c>
      <x:c r="D532" s="9" t="n">
        <x:v>229</x:v>
      </x:c>
      <x:c r="E532" s="9" t="n">
        <x:v>105.31</x:v>
      </x:c>
      <x:c r="F532" s="8" t="n">
        <x:f>C532*D532</x:f>
        <x:v>16488</x:v>
      </x:c>
      <x:c r="G532" s="8" t="n">
        <x:f>C532*E532</x:f>
        <x:v>7582.32</x:v>
      </x:c>
      <x:c r="H532" s="8" t="n">
        <x:f>F532-G532</x:f>
        <x:v>8905.68</x:v>
      </x:c>
      <x:c r="I532" s="10" t="n">
        <x:f>H532/F532</x:f>
        <x:v>0.5401310043668123</x:v>
      </x:c>
    </x:row>
    <x:row r="533" ht="22" customHeight="1">
      <x:c r="A533" s="11" t="str">
        <x:v>1472</x:v>
      </x:c>
      <x:c r="B533" s="8" t="str">
        <x:v>The Phone Company Smart phones 4 GB of Memory M300 Black</x:v>
      </x:c>
      <x:c r="C533" s="8" t="n">
        <x:v>105</x:v>
      </x:c>
      <x:c r="D533" s="9" t="n">
        <x:v>239</x:v>
      </x:c>
      <x:c r="E533" s="9" t="n">
        <x:v>109.91</x:v>
      </x:c>
      <x:c r="F533" s="8" t="n">
        <x:f>C533*D533</x:f>
        <x:v>25095</x:v>
      </x:c>
      <x:c r="G533" s="8" t="n">
        <x:f>C533*E533</x:f>
        <x:v>11540.55</x:v>
      </x:c>
      <x:c r="H533" s="8" t="n">
        <x:f>F533-G533</x:f>
        <x:v>13554.45</x:v>
      </x:c>
      <x:c r="I533" s="10" t="n">
        <x:f>H533/F533</x:f>
        <x:v>0.5401255230125523</x:v>
      </x:c>
    </x:row>
    <x:row r="534" ht="22" customHeight="1">
      <x:c r="A534" s="11" t="str">
        <x:v>1473</x:v>
      </x:c>
      <x:c r="B534" s="8" t="str">
        <x:v>The Phone Company Smart phones 8 GB of Memory M400 Black</x:v>
      </x:c>
      <x:c r="C534" s="8" t="n">
        <x:v>89</x:v>
      </x:c>
      <x:c r="D534" s="9" t="n">
        <x:v>269</x:v>
      </x:c>
      <x:c r="E534" s="9" t="n">
        <x:v>123.7</x:v>
      </x:c>
      <x:c r="F534" s="8" t="n">
        <x:f>C534*D534</x:f>
        <x:v>23941</x:v>
      </x:c>
      <x:c r="G534" s="8" t="n">
        <x:f>C534*E534</x:f>
        <x:v>11009.300000000001</x:v>
      </x:c>
      <x:c r="H534" s="8" t="n">
        <x:f>F534-G534</x:f>
        <x:v>12931.699999999999</x:v>
      </x:c>
      <x:c r="I534" s="10" t="n">
        <x:f>H534/F534</x:f>
        <x:v>0.5401486988847584</x:v>
      </x:c>
    </x:row>
    <x:row r="535" ht="22" customHeight="1">
      <x:c r="A535" s="11" t="str">
        <x:v>1474</x:v>
      </x:c>
      <x:c r="B535" s="8" t="str">
        <x:v>The Phone Company Smart phones 160x160 M26 Black</x:v>
      </x:c>
      <x:c r="C535" s="8" t="n">
        <x:v>54</x:v>
      </x:c>
      <x:c r="D535" s="9" t="n">
        <x:v>208</x:v>
      </x:c>
      <x:c r="E535" s="9" t="n">
        <x:v>95.65</x:v>
      </x:c>
      <x:c r="F535" s="8" t="n">
        <x:f>C535*D535</x:f>
        <x:v>11232</x:v>
      </x:c>
      <x:c r="G535" s="8" t="n">
        <x:f>C535*E535</x:f>
        <x:v>5165.1</x:v>
      </x:c>
      <x:c r="H535" s="8" t="n">
        <x:f>F535-G535</x:f>
        <x:v>6066.9</x:v>
      </x:c>
      <x:c r="I535" s="10" t="n">
        <x:f>H535/F535</x:f>
        <x:v>0.5401442307692307</x:v>
      </x:c>
    </x:row>
    <x:row r="536" ht="22" customHeight="1">
      <x:c r="A536" s="11" t="str">
        <x:v>1475</x:v>
      </x:c>
      <x:c r="B536" s="8" t="str">
        <x:v>The Phone Company Smart phones 6-LINE SCREEN M21 Black</x:v>
      </x:c>
      <x:c r="C536" s="8" t="n">
        <x:v>139</x:v>
      </x:c>
      <x:c r="D536" s="9" t="n">
        <x:v>230</x:v>
      </x:c>
      <x:c r="E536" s="9" t="n">
        <x:v>105.77</x:v>
      </x:c>
      <x:c r="F536" s="8" t="n">
        <x:f>C536*D536</x:f>
        <x:v>31970</x:v>
      </x:c>
      <x:c r="G536" s="8" t="n">
        <x:f>C536*E536</x:f>
        <x:v>14702.029999999999</x:v>
      </x:c>
      <x:c r="H536" s="8" t="n">
        <x:f>F536-G536</x:f>
        <x:v>17267.97</x:v>
      </x:c>
      <x:c r="I536" s="10" t="n">
        <x:f>H536/F536</x:f>
        <x:v>0.5401304347826087</x:v>
      </x:c>
    </x:row>
    <x:row r="537" ht="22" customHeight="1">
      <x:c r="A537" s="11" t="str">
        <x:v>1476</x:v>
      </x:c>
      <x:c r="B537" s="8" t="str">
        <x:v>The Phone Company Smart phones -320 x 320 M86 Black</x:v>
      </x:c>
      <x:c r="C537" s="8" t="n">
        <x:v>148</x:v>
      </x:c>
      <x:c r="D537" s="9" t="n">
        <x:v>288</x:v>
      </x:c>
      <x:c r="E537" s="9" t="n">
        <x:v>132.44</x:v>
      </x:c>
      <x:c r="F537" s="8" t="n">
        <x:f>C537*D537</x:f>
        <x:v>42624</x:v>
      </x:c>
      <x:c r="G537" s="8" t="n">
        <x:f>C537*E537</x:f>
        <x:v>19601.12</x:v>
      </x:c>
      <x:c r="H537" s="8" t="n">
        <x:f>F537-G537</x:f>
        <x:v>23022.88</x:v>
      </x:c>
      <x:c r="I537" s="10" t="n">
        <x:f>H537/F537</x:f>
        <x:v>0.540138888888889</x:v>
      </x:c>
    </x:row>
    <x:row r="538" ht="22" customHeight="1">
      <x:c r="A538" s="11" t="str">
        <x:v>1477</x:v>
      </x:c>
      <x:c r="B538" s="8" t="str">
        <x:v>The Phone Company Smart phones Unlocked M300 Black</x:v>
      </x:c>
      <x:c r="C538" s="8" t="n">
        <x:v>53</x:v>
      </x:c>
      <x:c r="D538" s="9" t="n">
        <x:v>267</x:v>
      </x:c>
      <x:c r="E538" s="9" t="n">
        <x:v>122.78</x:v>
      </x:c>
      <x:c r="F538" s="8" t="n">
        <x:f>C538*D538</x:f>
        <x:v>14151</x:v>
      </x:c>
      <x:c r="G538" s="8" t="n">
        <x:f>C538*E538</x:f>
        <x:v>6507.34</x:v>
      </x:c>
      <x:c r="H538" s="8" t="n">
        <x:f>F538-G538</x:f>
        <x:v>7643.66</x:v>
      </x:c>
      <x:c r="I538" s="10" t="n">
        <x:f>H538/F538</x:f>
        <x:v>0.5401498127340824</x:v>
      </x:c>
    </x:row>
    <x:row r="539" ht="22" customHeight="1">
      <x:c r="A539" s="11" t="str">
        <x:v>1478</x:v>
      </x:c>
      <x:c r="B539" s="8" t="str">
        <x:v>The Phone Company Smart phones Expert M400 Black</x:v>
      </x:c>
      <x:c r="C539" s="8" t="n">
        <x:v>85</x:v>
      </x:c>
      <x:c r="D539" s="9" t="n">
        <x:v>300</x:v>
      </x:c>
      <x:c r="E539" s="9" t="n">
        <x:v>137.96</x:v>
      </x:c>
      <x:c r="F539" s="8" t="n">
        <x:f>C539*D539</x:f>
        <x:v>25500</x:v>
      </x:c>
      <x:c r="G539" s="8" t="n">
        <x:f>C539*E539</x:f>
        <x:v>11726.6</x:v>
      </x:c>
      <x:c r="H539" s="8" t="n">
        <x:f>F539-G539</x:f>
        <x:v>13773.4</x:v>
      </x:c>
      <x:c r="I539" s="10" t="n">
        <x:f>H539/F539</x:f>
        <x:v>0.5401333333333334</x:v>
      </x:c>
    </x:row>
    <x:row r="540" ht="22" customHeight="1">
      <x:c r="A540" s="11" t="str">
        <x:v>1479</x:v>
      </x:c>
      <x:c r="B540" s="8" t="str">
        <x:v>The Phone Company Smart phones Unlocked International M800 Black</x:v>
      </x:c>
      <x:c r="C540" s="8" t="n">
        <x:v>109</x:v>
      </x:c>
      <x:c r="D540" s="9" t="n">
        <x:v>310</x:v>
      </x:c>
      <x:c r="E540" s="9" t="n">
        <x:v>142.56</x:v>
      </x:c>
      <x:c r="F540" s="8" t="n">
        <x:f>C540*D540</x:f>
        <x:v>33790</x:v>
      </x:c>
      <x:c r="G540" s="8" t="n">
        <x:f>C540*E540</x:f>
        <x:v>15539.04</x:v>
      </x:c>
      <x:c r="H540" s="8" t="n">
        <x:f>F540-G540</x:f>
        <x:v>18250.96</x:v>
      </x:c>
      <x:c r="I540" s="10" t="n">
        <x:f>H540/F540</x:f>
        <x:v>0.5401290322580645</x:v>
      </x:c>
    </x:row>
    <x:row r="541" ht="22" customHeight="1">
      <x:c r="A541" s="11" t="str">
        <x:v>148</x:v>
      </x:c>
      <x:c r="B541" s="8" t="str">
        <x:v>Adventure Works 52" LCD HDTV X590 Brown</x:v>
      </x:c>
      <x:c r="C541" s="8" t="n">
        <x:v>107</x:v>
      </x:c>
      <x:c r="D541" s="9" t="n">
        <x:v>2899.99</x:v>
      </x:c>
      <x:c r="E541" s="9" t="n">
        <x:v>960.82</x:v>
      </x:c>
      <x:c r="F541" s="8" t="n">
        <x:f>C541*D541</x:f>
        <x:v>310298.93</x:v>
      </x:c>
      <x:c r="G541" s="8" t="n">
        <x:f>C541*E541</x:f>
        <x:v>102807.74</x:v>
      </x:c>
      <x:c r="H541" s="8" t="n">
        <x:f>F541-G541</x:f>
        <x:v>207491.19</x:v>
      </x:c>
      <x:c r="I541" s="10" t="n">
        <x:f>H541/F541</x:f>
        <x:v>0.668681616143504</x:v>
      </x:c>
    </x:row>
    <x:row r="542" ht="22" customHeight="1">
      <x:c r="A542" s="11" t="str">
        <x:v>1480</x:v>
      </x:c>
      <x:c r="B542" s="8" t="str">
        <x:v>The Phone Company Smart phones without camera E100 Grey</x:v>
      </x:c>
      <x:c r="C542" s="8" t="n">
        <x:v>121</x:v>
      </x:c>
      <x:c r="D542" s="9" t="n">
        <x:v>129</x:v>
      </x:c>
      <x:c r="E542" s="9" t="n">
        <x:v>65.77</x:v>
      </x:c>
      <x:c r="F542" s="8" t="n">
        <x:f>C542*D542</x:f>
        <x:v>15609</x:v>
      </x:c>
      <x:c r="G542" s="8" t="n">
        <x:f>C542*E542</x:f>
        <x:v>7958.169999999999</x:v>
      </x:c>
      <x:c r="H542" s="8" t="n">
        <x:f>F542-G542</x:f>
        <x:v>7650.830000000001</x:v>
      </x:c>
      <x:c r="I542" s="10" t="n">
        <x:f>H542/F542</x:f>
        <x:v>0.49015503875968996</x:v>
      </x:c>
    </x:row>
    <x:row r="543" ht="22" customHeight="1">
      <x:c r="A543" s="11" t="str">
        <x:v>1481</x:v>
      </x:c>
      <x:c r="B543" s="8" t="str">
        <x:v>The Phone Company Microsoft Windows Mobile M200 Grey</x:v>
      </x:c>
      <x:c r="C543" s="8" t="n">
        <x:v>125</x:v>
      </x:c>
      <x:c r="D543" s="9" t="n">
        <x:v>229</x:v>
      </x:c>
      <x:c r="E543" s="9" t="n">
        <x:v>105.31</x:v>
      </x:c>
      <x:c r="F543" s="8" t="n">
        <x:f>C543*D543</x:f>
        <x:v>28625</x:v>
      </x:c>
      <x:c r="G543" s="8" t="n">
        <x:f>C543*E543</x:f>
        <x:v>13163.75</x:v>
      </x:c>
      <x:c r="H543" s="8" t="n">
        <x:f>F543-G543</x:f>
        <x:v>15461.25</x:v>
      </x:c>
      <x:c r="I543" s="10" t="n">
        <x:f>H543/F543</x:f>
        <x:v>0.5401310043668123</x:v>
      </x:c>
    </x:row>
    <x:row r="544" ht="22" customHeight="1">
      <x:c r="A544" s="11" t="str">
        <x:v>1482</x:v>
      </x:c>
      <x:c r="B544" s="8" t="str">
        <x:v>The Phone Company Smart phones 4 GB of Memory M300 Grey</x:v>
      </x:c>
      <x:c r="C544" s="8" t="n">
        <x:v>103</x:v>
      </x:c>
      <x:c r="D544" s="9" t="n">
        <x:v>239</x:v>
      </x:c>
      <x:c r="E544" s="9" t="n">
        <x:v>109.91</x:v>
      </x:c>
      <x:c r="F544" s="8" t="n">
        <x:f>C544*D544</x:f>
        <x:v>24617</x:v>
      </x:c>
      <x:c r="G544" s="8" t="n">
        <x:f>C544*E544</x:f>
        <x:v>11320.73</x:v>
      </x:c>
      <x:c r="H544" s="8" t="n">
        <x:f>F544-G544</x:f>
        <x:v>13296.27</x:v>
      </x:c>
      <x:c r="I544" s="10" t="n">
        <x:f>H544/F544</x:f>
        <x:v>0.5401255230125523</x:v>
      </x:c>
    </x:row>
    <x:row r="545" ht="22" customHeight="1">
      <x:c r="A545" s="11" t="str">
        <x:v>1483</x:v>
      </x:c>
      <x:c r="B545" s="8" t="str">
        <x:v>The Phone Company Smart phones 8 GB of Memory M400 Grey</x:v>
      </x:c>
      <x:c r="C545" s="8" t="n">
        <x:v>113</x:v>
      </x:c>
      <x:c r="D545" s="9" t="n">
        <x:v>269</x:v>
      </x:c>
      <x:c r="E545" s="9" t="n">
        <x:v>123.7</x:v>
      </x:c>
      <x:c r="F545" s="8" t="n">
        <x:f>C545*D545</x:f>
        <x:v>30397</x:v>
      </x:c>
      <x:c r="G545" s="8" t="n">
        <x:f>C545*E545</x:f>
        <x:v>13978.1</x:v>
      </x:c>
      <x:c r="H545" s="8" t="n">
        <x:f>F545-G545</x:f>
        <x:v>16418.9</x:v>
      </x:c>
      <x:c r="I545" s="10" t="n">
        <x:f>H545/F545</x:f>
        <x:v>0.5401486988847584</x:v>
      </x:c>
    </x:row>
    <x:row r="546" ht="22" customHeight="1">
      <x:c r="A546" s="11" t="str">
        <x:v>1484</x:v>
      </x:c>
      <x:c r="B546" s="8" t="str">
        <x:v>The Phone Company Smart phones 160x160 M26 Grey</x:v>
      </x:c>
      <x:c r="C546" s="8" t="n">
        <x:v>115</x:v>
      </x:c>
      <x:c r="D546" s="9" t="n">
        <x:v>208</x:v>
      </x:c>
      <x:c r="E546" s="9" t="n">
        <x:v>95.65</x:v>
      </x:c>
      <x:c r="F546" s="8" t="n">
        <x:f>C546*D546</x:f>
        <x:v>23920</x:v>
      </x:c>
      <x:c r="G546" s="8" t="n">
        <x:f>C546*E546</x:f>
        <x:v>10999.75</x:v>
      </x:c>
      <x:c r="H546" s="8" t="n">
        <x:f>F546-G546</x:f>
        <x:v>12920.25</x:v>
      </x:c>
      <x:c r="I546" s="10" t="n">
        <x:f>H546/F546</x:f>
        <x:v>0.5401442307692308</x:v>
      </x:c>
    </x:row>
    <x:row r="547" ht="22" customHeight="1">
      <x:c r="A547" s="11" t="str">
        <x:v>1485</x:v>
      </x:c>
      <x:c r="B547" s="8" t="str">
        <x:v>The Phone Company Smart phones 6-LINE SCREEN M21 Grey</x:v>
      </x:c>
      <x:c r="C547" s="8" t="n">
        <x:v>107</x:v>
      </x:c>
      <x:c r="D547" s="9" t="n">
        <x:v>230</x:v>
      </x:c>
      <x:c r="E547" s="9" t="n">
        <x:v>105.77</x:v>
      </x:c>
      <x:c r="F547" s="8" t="n">
        <x:f>C547*D547</x:f>
        <x:v>24610</x:v>
      </x:c>
      <x:c r="G547" s="8" t="n">
        <x:f>C547*E547</x:f>
        <x:v>11317.39</x:v>
      </x:c>
      <x:c r="H547" s="8" t="n">
        <x:f>F547-G547</x:f>
        <x:v>13292.61</x:v>
      </x:c>
      <x:c r="I547" s="10" t="n">
        <x:f>H547/F547</x:f>
        <x:v>0.5401304347826087</x:v>
      </x:c>
    </x:row>
    <x:row r="548" ht="22" customHeight="1">
      <x:c r="A548" s="11" t="str">
        <x:v>1486</x:v>
      </x:c>
      <x:c r="B548" s="8" t="str">
        <x:v>The Phone Company Smart phones 320 x 320 M86 Grey</x:v>
      </x:c>
      <x:c r="C548" s="8" t="n">
        <x:v>120</x:v>
      </x:c>
      <x:c r="D548" s="9" t="n">
        <x:v>288</x:v>
      </x:c>
      <x:c r="E548" s="9" t="n">
        <x:v>132.44</x:v>
      </x:c>
      <x:c r="F548" s="8" t="n">
        <x:f>C548*D548</x:f>
        <x:v>34560</x:v>
      </x:c>
      <x:c r="G548" s="8" t="n">
        <x:f>C548*E548</x:f>
        <x:v>15892.8</x:v>
      </x:c>
      <x:c r="H548" s="8" t="n">
        <x:f>F548-G548</x:f>
        <x:v>18667.2</x:v>
      </x:c>
      <x:c r="I548" s="10" t="n">
        <x:f>H548/F548</x:f>
        <x:v>0.540138888888889</x:v>
      </x:c>
    </x:row>
    <x:row r="549" ht="22" customHeight="1">
      <x:c r="A549" s="11" t="str">
        <x:v>1487</x:v>
      </x:c>
      <x:c r="B549" s="8" t="str">
        <x:v>The Phone Company Smart phones Unlocked M300 Grey</x:v>
      </x:c>
      <x:c r="C549" s="8" t="n">
        <x:v>87</x:v>
      </x:c>
      <x:c r="D549" s="9" t="n">
        <x:v>267</x:v>
      </x:c>
      <x:c r="E549" s="9" t="n">
        <x:v>122.78</x:v>
      </x:c>
      <x:c r="F549" s="8" t="n">
        <x:f>C549*D549</x:f>
        <x:v>23229</x:v>
      </x:c>
      <x:c r="G549" s="8" t="n">
        <x:f>C549*E549</x:f>
        <x:v>10681.86</x:v>
      </x:c>
      <x:c r="H549" s="8" t="n">
        <x:f>F549-G549</x:f>
        <x:v>12547.14</x:v>
      </x:c>
      <x:c r="I549" s="10" t="n">
        <x:f>H549/F549</x:f>
        <x:v>0.5401498127340824</x:v>
      </x:c>
    </x:row>
    <x:row r="550" ht="22" customHeight="1">
      <x:c r="A550" s="11" t="str">
        <x:v>1488</x:v>
      </x:c>
      <x:c r="B550" s="8" t="str">
        <x:v>The Phone Company Smart phones Expert M400 Grey</x:v>
      </x:c>
      <x:c r="C550" s="8" t="n">
        <x:v>97</x:v>
      </x:c>
      <x:c r="D550" s="9" t="n">
        <x:v>300</x:v>
      </x:c>
      <x:c r="E550" s="9" t="n">
        <x:v>137.96</x:v>
      </x:c>
      <x:c r="F550" s="8" t="n">
        <x:f>C550*D550</x:f>
        <x:v>29100</x:v>
      </x:c>
      <x:c r="G550" s="8" t="n">
        <x:f>C550*E550</x:f>
        <x:v>13382.12</x:v>
      </x:c>
      <x:c r="H550" s="8" t="n">
        <x:f>F550-G550</x:f>
        <x:v>15717.88</x:v>
      </x:c>
      <x:c r="I550" s="10" t="n">
        <x:f>H550/F550</x:f>
        <x:v>0.5401333333333334</x:v>
      </x:c>
    </x:row>
    <x:row r="551" ht="22" customHeight="1">
      <x:c r="A551" s="11" t="str">
        <x:v>1489</x:v>
      </x:c>
      <x:c r="B551" s="8" t="str">
        <x:v>The Phone Company Smart phones Unlocked International M800 Grey</x:v>
      </x:c>
      <x:c r="C551" s="8" t="n">
        <x:v>101</x:v>
      </x:c>
      <x:c r="D551" s="9" t="n">
        <x:v>310</x:v>
      </x:c>
      <x:c r="E551" s="9" t="n">
        <x:v>142.56</x:v>
      </x:c>
      <x:c r="F551" s="8" t="n">
        <x:f>C551*D551</x:f>
        <x:v>31310</x:v>
      </x:c>
      <x:c r="G551" s="8" t="n">
        <x:f>C551*E551</x:f>
        <x:v>14398.56</x:v>
      </x:c>
      <x:c r="H551" s="8" t="n">
        <x:f>F551-G551</x:f>
        <x:v>16911.440000000002</x:v>
      </x:c>
      <x:c r="I551" s="10" t="n">
        <x:f>H551/F551</x:f>
        <x:v>0.5401290322580646</x:v>
      </x:c>
    </x:row>
    <x:row r="552" ht="22" customHeight="1">
      <x:c r="A552" s="11" t="str">
        <x:v>149</x:v>
      </x:c>
      <x:c r="B552" s="8" t="str">
        <x:v>Adventure Works 40" LCD HDTV M690 Silver</x:v>
      </x:c>
      <x:c r="C552" s="8" t="n">
        <x:v>92</x:v>
      </x:c>
      <x:c r="D552" s="9" t="n">
        <x:v>1184.97</x:v>
      </x:c>
      <x:c r="E552" s="9" t="n">
        <x:v>392.6</x:v>
      </x:c>
      <x:c r="F552" s="8" t="n">
        <x:f>C552*D552</x:f>
        <x:v>109017.24</x:v>
      </x:c>
      <x:c r="G552" s="8" t="n">
        <x:f>C552*E552</x:f>
        <x:v>36119.200000000004</x:v>
      </x:c>
      <x:c r="H552" s="8" t="n">
        <x:f>F552-G552</x:f>
        <x:v>72898.04000000001</x:v>
      </x:c>
      <x:c r="I552" s="10" t="n">
        <x:f>H552/F552</x:f>
        <x:v>0.6686835953652835</x:v>
      </x:c>
    </x:row>
    <x:row r="553" ht="22" customHeight="1">
      <x:c r="A553" s="11" t="str">
        <x:v>1490</x:v>
      </x:c>
      <x:c r="B553" s="8" t="str">
        <x:v>The Phone Company Smart phones without camera E100 White</x:v>
      </x:c>
      <x:c r="C553" s="8" t="n">
        <x:v>106</x:v>
      </x:c>
      <x:c r="D553" s="9" t="n">
        <x:v>129</x:v>
      </x:c>
      <x:c r="E553" s="9" t="n">
        <x:v>65.77</x:v>
      </x:c>
      <x:c r="F553" s="8" t="n">
        <x:f>C553*D553</x:f>
        <x:v>13674</x:v>
      </x:c>
      <x:c r="G553" s="8" t="n">
        <x:f>C553*E553</x:f>
        <x:v>6971.62</x:v>
      </x:c>
      <x:c r="H553" s="8" t="n">
        <x:f>F553-G553</x:f>
        <x:v>6702.38</x:v>
      </x:c>
      <x:c r="I553" s="10" t="n">
        <x:f>H553/F553</x:f>
        <x:v>0.4901550387596899</x:v>
      </x:c>
    </x:row>
    <x:row r="554" ht="22" customHeight="1">
      <x:c r="A554" s="11" t="str">
        <x:v>1491</x:v>
      </x:c>
      <x:c r="B554" s="8" t="str">
        <x:v>The Phone Company Microsoft Windows Mobile M200 White</x:v>
      </x:c>
      <x:c r="C554" s="8" t="n">
        <x:v>105</x:v>
      </x:c>
      <x:c r="D554" s="9" t="n">
        <x:v>229</x:v>
      </x:c>
      <x:c r="E554" s="9" t="n">
        <x:v>105.31</x:v>
      </x:c>
      <x:c r="F554" s="8" t="n">
        <x:f>C554*D554</x:f>
        <x:v>24045</x:v>
      </x:c>
      <x:c r="G554" s="8" t="n">
        <x:f>C554*E554</x:f>
        <x:v>11057.550000000001</x:v>
      </x:c>
      <x:c r="H554" s="8" t="n">
        <x:f>F554-G554</x:f>
        <x:v>12987.449999999999</x:v>
      </x:c>
      <x:c r="I554" s="10" t="n">
        <x:f>H554/F554</x:f>
        <x:v>0.5401310043668122</x:v>
      </x:c>
    </x:row>
    <x:row r="555" ht="22" customHeight="1">
      <x:c r="A555" s="11" t="str">
        <x:v>1492</x:v>
      </x:c>
      <x:c r="B555" s="8" t="str">
        <x:v>The Phone Company Smart phones 4 GB of Memory M300 White</x:v>
      </x:c>
      <x:c r="C555" s="8" t="n">
        <x:v>63</x:v>
      </x:c>
      <x:c r="D555" s="9" t="n">
        <x:v>239</x:v>
      </x:c>
      <x:c r="E555" s="9" t="n">
        <x:v>109.91</x:v>
      </x:c>
      <x:c r="F555" s="8" t="n">
        <x:f>C555*D555</x:f>
        <x:v>15057</x:v>
      </x:c>
      <x:c r="G555" s="8" t="n">
        <x:f>C555*E555</x:f>
        <x:v>6924.33</x:v>
      </x:c>
      <x:c r="H555" s="8" t="n">
        <x:f>F555-G555</x:f>
        <x:v>8132.67</x:v>
      </x:c>
      <x:c r="I555" s="10" t="n">
        <x:f>H555/F555</x:f>
        <x:v>0.5401255230125523</x:v>
      </x:c>
    </x:row>
    <x:row r="556" ht="22" customHeight="1">
      <x:c r="A556" s="11" t="str">
        <x:v>1493</x:v>
      </x:c>
      <x:c r="B556" s="8" t="str">
        <x:v>The Phone Company Smart phones 8 GB of Memory M400 White</x:v>
      </x:c>
      <x:c r="C556" s="8" t="n">
        <x:v>98</x:v>
      </x:c>
      <x:c r="D556" s="9" t="n">
        <x:v>269</x:v>
      </x:c>
      <x:c r="E556" s="9" t="n">
        <x:v>123.7</x:v>
      </x:c>
      <x:c r="F556" s="8" t="n">
        <x:f>C556*D556</x:f>
        <x:v>26362</x:v>
      </x:c>
      <x:c r="G556" s="8" t="n">
        <x:f>C556*E556</x:f>
        <x:v>12122.6</x:v>
      </x:c>
      <x:c r="H556" s="8" t="n">
        <x:f>F556-G556</x:f>
        <x:v>14239.4</x:v>
      </x:c>
      <x:c r="I556" s="10" t="n">
        <x:f>H556/F556</x:f>
        <x:v>0.5401486988847584</x:v>
      </x:c>
    </x:row>
    <x:row r="557" ht="22" customHeight="1">
      <x:c r="A557" s="11" t="str">
        <x:v>1494</x:v>
      </x:c>
      <x:c r="B557" s="8" t="str">
        <x:v>The Phone Company Smart phones 160x160 M26 White</x:v>
      </x:c>
      <x:c r="C557" s="8" t="n">
        <x:v>109</x:v>
      </x:c>
      <x:c r="D557" s="9" t="n">
        <x:v>208</x:v>
      </x:c>
      <x:c r="E557" s="9" t="n">
        <x:v>95.65</x:v>
      </x:c>
      <x:c r="F557" s="8" t="n">
        <x:f>C557*D557</x:f>
        <x:v>22672</x:v>
      </x:c>
      <x:c r="G557" s="8" t="n">
        <x:f>C557*E557</x:f>
        <x:v>10425.85</x:v>
      </x:c>
      <x:c r="H557" s="8" t="n">
        <x:f>F557-G557</x:f>
        <x:v>12246.15</x:v>
      </x:c>
      <x:c r="I557" s="10" t="n">
        <x:f>H557/F557</x:f>
        <x:v>0.5401442307692308</x:v>
      </x:c>
    </x:row>
    <x:row r="558" ht="22" customHeight="1">
      <x:c r="A558" s="11" t="str">
        <x:v>1495</x:v>
      </x:c>
      <x:c r="B558" s="8" t="str">
        <x:v>The Phone Company Smart phones 6-LINE SCREEN M21 White</x:v>
      </x:c>
      <x:c r="C558" s="8" t="n">
        <x:v>103</x:v>
      </x:c>
      <x:c r="D558" s="9" t="n">
        <x:v>230</x:v>
      </x:c>
      <x:c r="E558" s="9" t="n">
        <x:v>105.77</x:v>
      </x:c>
      <x:c r="F558" s="8" t="n">
        <x:f>C558*D558</x:f>
        <x:v>23690</x:v>
      </x:c>
      <x:c r="G558" s="8" t="n">
        <x:f>C558*E558</x:f>
        <x:v>10894.31</x:v>
      </x:c>
      <x:c r="H558" s="8" t="n">
        <x:f>F558-G558</x:f>
        <x:v>12795.69</x:v>
      </x:c>
      <x:c r="I558" s="10" t="n">
        <x:f>H558/F558</x:f>
        <x:v>0.5401304347826087</x:v>
      </x:c>
    </x:row>
    <x:row r="559" ht="22" customHeight="1">
      <x:c r="A559" s="11" t="str">
        <x:v>1496</x:v>
      </x:c>
      <x:c r="B559" s="8" t="str">
        <x:v>The Phone Company Smart phones 320 x 320 M86 White</x:v>
      </x:c>
      <x:c r="C559" s="8" t="n">
        <x:v>104</x:v>
      </x:c>
      <x:c r="D559" s="9" t="n">
        <x:v>288</x:v>
      </x:c>
      <x:c r="E559" s="9" t="n">
        <x:v>132.44</x:v>
      </x:c>
      <x:c r="F559" s="8" t="n">
        <x:f>C559*D559</x:f>
        <x:v>29952</x:v>
      </x:c>
      <x:c r="G559" s="8" t="n">
        <x:f>C559*E559</x:f>
        <x:v>13773.76</x:v>
      </x:c>
      <x:c r="H559" s="8" t="n">
        <x:f>F559-G559</x:f>
        <x:v>16178.24</x:v>
      </x:c>
      <x:c r="I559" s="10" t="n">
        <x:f>H559/F559</x:f>
        <x:v>0.5401388888888888</x:v>
      </x:c>
    </x:row>
    <x:row r="560" ht="22" customHeight="1">
      <x:c r="A560" s="11" t="str">
        <x:v>1497</x:v>
      </x:c>
      <x:c r="B560" s="8" t="str">
        <x:v>The Phone Company Smart phones Unlocked M300 White</x:v>
      </x:c>
      <x:c r="C560" s="8" t="n">
        <x:v>96</x:v>
      </x:c>
      <x:c r="D560" s="9" t="n">
        <x:v>267</x:v>
      </x:c>
      <x:c r="E560" s="9" t="n">
        <x:v>122.78</x:v>
      </x:c>
      <x:c r="F560" s="8" t="n">
        <x:f>C560*D560</x:f>
        <x:v>25632</x:v>
      </x:c>
      <x:c r="G560" s="8" t="n">
        <x:f>C560*E560</x:f>
        <x:v>11786.880000000001</x:v>
      </x:c>
      <x:c r="H560" s="8" t="n">
        <x:f>F560-G560</x:f>
        <x:v>13845.119999999999</x:v>
      </x:c>
      <x:c r="I560" s="10" t="n">
        <x:f>H560/F560</x:f>
        <x:v>0.5401498127340824</x:v>
      </x:c>
    </x:row>
    <x:row r="561" ht="22" customHeight="1">
      <x:c r="A561" s="11" t="str">
        <x:v>1498</x:v>
      </x:c>
      <x:c r="B561" s="8" t="str">
        <x:v>The Phone Company Smart phones Expert M400 White</x:v>
      </x:c>
      <x:c r="C561" s="8" t="n">
        <x:v>88</x:v>
      </x:c>
      <x:c r="D561" s="9" t="n">
        <x:v>300</x:v>
      </x:c>
      <x:c r="E561" s="9" t="n">
        <x:v>137.96</x:v>
      </x:c>
      <x:c r="F561" s="8" t="n">
        <x:f>C561*D561</x:f>
        <x:v>26400</x:v>
      </x:c>
      <x:c r="G561" s="8" t="n">
        <x:f>C561*E561</x:f>
        <x:v>12140.480000000001</x:v>
      </x:c>
      <x:c r="H561" s="8" t="n">
        <x:f>F561-G561</x:f>
        <x:v>14259.519999999999</x:v>
      </x:c>
      <x:c r="I561" s="10" t="n">
        <x:f>H561/F561</x:f>
        <x:v>0.5401333333333332</x:v>
      </x:c>
    </x:row>
    <x:row r="562" ht="22" customHeight="1">
      <x:c r="A562" s="11" t="str">
        <x:v>1499</x:v>
      </x:c>
      <x:c r="B562" s="8" t="str">
        <x:v>The Phone Company Smart phones Unlocked International M800 White</x:v>
      </x:c>
      <x:c r="C562" s="8" t="n">
        <x:v>68</x:v>
      </x:c>
      <x:c r="D562" s="9" t="n">
        <x:v>310</x:v>
      </x:c>
      <x:c r="E562" s="9" t="n">
        <x:v>142.56</x:v>
      </x:c>
      <x:c r="F562" s="8" t="n">
        <x:f>C562*D562</x:f>
        <x:v>21080</x:v>
      </x:c>
      <x:c r="G562" s="8" t="n">
        <x:f>C562*E562</x:f>
        <x:v>9694.08</x:v>
      </x:c>
      <x:c r="H562" s="8" t="n">
        <x:f>F562-G562</x:f>
        <x:v>11385.92</x:v>
      </x:c>
      <x:c r="I562" s="10" t="n">
        <x:f>H562/F562</x:f>
        <x:v>0.5401290322580645</x:v>
      </x:c>
    </x:row>
    <x:row r="563" ht="22" customHeight="1">
      <x:c r="A563" s="11" t="str">
        <x:v>15</x:v>
      </x:c>
      <x:c r="B563" s="8" t="str">
        <x:v>Contoso 4GB Flash MP3 Player E401 White</x:v>
      </x:c>
      <x:c r="C563" s="8" t="n">
        <x:v>101</x:v>
      </x:c>
      <x:c r="D563" s="9" t="n">
        <x:v>77.68</x:v>
      </x:c>
      <x:c r="E563" s="9" t="n">
        <x:v>35.72</x:v>
      </x:c>
      <x:c r="F563" s="8" t="n">
        <x:f>C563*D563</x:f>
        <x:v>7845.68</x:v>
      </x:c>
      <x:c r="G563" s="8" t="n">
        <x:f>C563*E563</x:f>
        <x:v>3607.72</x:v>
      </x:c>
      <x:c r="H563" s="8" t="n">
        <x:f>F563-G563</x:f>
        <x:v>4237.960000000001</x:v>
      </x:c>
      <x:c r="I563" s="10" t="n">
        <x:f>H563/F563</x:f>
        <x:v>0.5401647785787849</x:v>
      </x:c>
    </x:row>
    <x:row r="564" ht="22" customHeight="1">
      <x:c r="A564" s="11" t="str">
        <x:v>150</x:v>
      </x:c>
      <x:c r="B564" s="8" t="str">
        <x:v>Adventure Works 40" LCD HDTV M690 Black</x:v>
      </x:c>
      <x:c r="C564" s="8" t="n">
        <x:v>97</x:v>
      </x:c>
      <x:c r="D564" s="9" t="n">
        <x:v>1184.97</x:v>
      </x:c>
      <x:c r="E564" s="9" t="n">
        <x:v>392.6</x:v>
      </x:c>
      <x:c r="F564" s="8" t="n">
        <x:f>C564*D564</x:f>
        <x:v>114942.09</x:v>
      </x:c>
      <x:c r="G564" s="8" t="n">
        <x:f>C564*E564</x:f>
        <x:v>38082.200000000004</x:v>
      </x:c>
      <x:c r="H564" s="8" t="n">
        <x:f>F564-G564</x:f>
        <x:v>76859.88999999998</x:v>
      </x:c>
      <x:c r="I564" s="10" t="n">
        <x:f>H564/F564</x:f>
        <x:v>0.6686835953652834</x:v>
      </x:c>
    </x:row>
    <x:row r="565" ht="22" customHeight="1">
      <x:c r="A565" s="11" t="str">
        <x:v>1500</x:v>
      </x:c>
      <x:c r="B565" s="8" t="str">
        <x:v>The Phone Company Smart phones without camera E100 Pink</x:v>
      </x:c>
      <x:c r="C565" s="8" t="n">
        <x:v>102</x:v>
      </x:c>
      <x:c r="D565" s="9" t="n">
        <x:v>129</x:v>
      </x:c>
      <x:c r="E565" s="9" t="n">
        <x:v>65.77</x:v>
      </x:c>
      <x:c r="F565" s="8" t="n">
        <x:f>C565*D565</x:f>
        <x:v>13158</x:v>
      </x:c>
      <x:c r="G565" s="8" t="n">
        <x:f>C565*E565</x:f>
        <x:v>6708.54</x:v>
      </x:c>
      <x:c r="H565" s="8" t="n">
        <x:f>F565-G565</x:f>
        <x:v>6449.46</x:v>
      </x:c>
      <x:c r="I565" s="10" t="n">
        <x:f>H565/F565</x:f>
        <x:v>0.4901550387596899</x:v>
      </x:c>
    </x:row>
    <x:row r="566" ht="22" customHeight="1">
      <x:c r="A566" s="11" t="str">
        <x:v>1501</x:v>
      </x:c>
      <x:c r="B566" s="8" t="str">
        <x:v>The Phone Company Microsoft Windows Mobile M200 Pink</x:v>
      </x:c>
      <x:c r="C566" s="8" t="n">
        <x:v>100</x:v>
      </x:c>
      <x:c r="D566" s="9" t="n">
        <x:v>229</x:v>
      </x:c>
      <x:c r="E566" s="9" t="n">
        <x:v>105.31</x:v>
      </x:c>
      <x:c r="F566" s="8" t="n">
        <x:f>C566*D566</x:f>
        <x:v>22900</x:v>
      </x:c>
      <x:c r="G566" s="8" t="n">
        <x:f>C566*E566</x:f>
        <x:v>10531</x:v>
      </x:c>
      <x:c r="H566" s="8" t="n">
        <x:f>F566-G566</x:f>
        <x:v>12369</x:v>
      </x:c>
      <x:c r="I566" s="10" t="n">
        <x:f>H566/F566</x:f>
        <x:v>0.5401310043668123</x:v>
      </x:c>
    </x:row>
    <x:row r="567" ht="22" customHeight="1">
      <x:c r="A567" s="11" t="str">
        <x:v>1502</x:v>
      </x:c>
      <x:c r="B567" s="8" t="str">
        <x:v>The Phone Company Smart phones 4 GB of Memory M300 Pink</x:v>
      </x:c>
      <x:c r="C567" s="8" t="n">
        <x:v>130</x:v>
      </x:c>
      <x:c r="D567" s="9" t="n">
        <x:v>239</x:v>
      </x:c>
      <x:c r="E567" s="9" t="n">
        <x:v>109.91</x:v>
      </x:c>
      <x:c r="F567" s="8" t="n">
        <x:f>C567*D567</x:f>
        <x:v>31070</x:v>
      </x:c>
      <x:c r="G567" s="8" t="n">
        <x:f>C567*E567</x:f>
        <x:v>14288.3</x:v>
      </x:c>
      <x:c r="H567" s="8" t="n">
        <x:f>F567-G567</x:f>
        <x:v>16781.7</x:v>
      </x:c>
      <x:c r="I567" s="10" t="n">
        <x:f>H567/F567</x:f>
        <x:v>0.5401255230125523</x:v>
      </x:c>
    </x:row>
    <x:row r="568" ht="22" customHeight="1">
      <x:c r="A568" s="11" t="str">
        <x:v>1503</x:v>
      </x:c>
      <x:c r="B568" s="8" t="str">
        <x:v>The Phone Company Smart phones 8 GB of Memory M400 Pink</x:v>
      </x:c>
      <x:c r="C568" s="8" t="n">
        <x:v>60</x:v>
      </x:c>
      <x:c r="D568" s="9" t="n">
        <x:v>269</x:v>
      </x:c>
      <x:c r="E568" s="9" t="n">
        <x:v>123.7</x:v>
      </x:c>
      <x:c r="F568" s="8" t="n">
        <x:f>C568*D568</x:f>
        <x:v>16140</x:v>
      </x:c>
      <x:c r="G568" s="8" t="n">
        <x:f>C568*E568</x:f>
        <x:v>7422</x:v>
      </x:c>
      <x:c r="H568" s="8" t="n">
        <x:f>F568-G568</x:f>
        <x:v>8718</x:v>
      </x:c>
      <x:c r="I568" s="10" t="n">
        <x:f>H568/F568</x:f>
        <x:v>0.5401486988847584</x:v>
      </x:c>
    </x:row>
    <x:row r="569" ht="22" customHeight="1">
      <x:c r="A569" s="11" t="str">
        <x:v>1504</x:v>
      </x:c>
      <x:c r="B569" s="8" t="str">
        <x:v>The Phone Company Smart phones 160x160 M26 Pink</x:v>
      </x:c>
      <x:c r="C569" s="8" t="n">
        <x:v>94</x:v>
      </x:c>
      <x:c r="D569" s="9" t="n">
        <x:v>208</x:v>
      </x:c>
      <x:c r="E569" s="9" t="n">
        <x:v>95.65</x:v>
      </x:c>
      <x:c r="F569" s="8" t="n">
        <x:f>C569*D569</x:f>
        <x:v>19552</x:v>
      </x:c>
      <x:c r="G569" s="8" t="n">
        <x:f>C569*E569</x:f>
        <x:v>8991.1</x:v>
      </x:c>
      <x:c r="H569" s="8" t="n">
        <x:f>F569-G569</x:f>
        <x:v>10560.9</x:v>
      </x:c>
      <x:c r="I569" s="10" t="n">
        <x:f>H569/F569</x:f>
        <x:v>0.5401442307692308</x:v>
      </x:c>
    </x:row>
    <x:row r="570" ht="22" customHeight="1">
      <x:c r="A570" s="11" t="str">
        <x:v>1505</x:v>
      </x:c>
      <x:c r="B570" s="8" t="str">
        <x:v>The Phone Company Smart phones 6-LINE SCREEN M21 Pink</x:v>
      </x:c>
      <x:c r="C570" s="8" t="n">
        <x:v>82</x:v>
      </x:c>
      <x:c r="D570" s="9" t="n">
        <x:v>230</x:v>
      </x:c>
      <x:c r="E570" s="9" t="n">
        <x:v>105.77</x:v>
      </x:c>
      <x:c r="F570" s="8" t="n">
        <x:f>C570*D570</x:f>
        <x:v>18860</x:v>
      </x:c>
      <x:c r="G570" s="8" t="n">
        <x:f>C570*E570</x:f>
        <x:v>8673.14</x:v>
      </x:c>
      <x:c r="H570" s="8" t="n">
        <x:f>F570-G570</x:f>
        <x:v>10186.86</x:v>
      </x:c>
      <x:c r="I570" s="10" t="n">
        <x:f>H570/F570</x:f>
        <x:v>0.5401304347826087</x:v>
      </x:c>
    </x:row>
    <x:row r="571" ht="22" customHeight="1">
      <x:c r="A571" s="11" t="str">
        <x:v>1506</x:v>
      </x:c>
      <x:c r="B571" s="8" t="str">
        <x:v>The Phone Company Smart phones 320 x 320 M86 Pink</x:v>
      </x:c>
      <x:c r="C571" s="8" t="n">
        <x:v>141</x:v>
      </x:c>
      <x:c r="D571" s="9" t="n">
        <x:v>288</x:v>
      </x:c>
      <x:c r="E571" s="9" t="n">
        <x:v>132.44</x:v>
      </x:c>
      <x:c r="F571" s="8" t="n">
        <x:f>C571*D571</x:f>
        <x:v>40608</x:v>
      </x:c>
      <x:c r="G571" s="8" t="n">
        <x:f>C571*E571</x:f>
        <x:v>18674.04</x:v>
      </x:c>
      <x:c r="H571" s="8" t="n">
        <x:f>F571-G571</x:f>
        <x:v>21933.96</x:v>
      </x:c>
      <x:c r="I571" s="10" t="n">
        <x:f>H571/F571</x:f>
        <x:v>0.5401388888888888</x:v>
      </x:c>
    </x:row>
    <x:row r="572" ht="22" customHeight="1">
      <x:c r="A572" s="11" t="str">
        <x:v>1507</x:v>
      </x:c>
      <x:c r="B572" s="8" t="str">
        <x:v>The Phone Company Smart phones Unlocked M300 Pink</x:v>
      </x:c>
      <x:c r="C572" s="8" t="n">
        <x:v>67</x:v>
      </x:c>
      <x:c r="D572" s="9" t="n">
        <x:v>267</x:v>
      </x:c>
      <x:c r="E572" s="9" t="n">
        <x:v>122.78</x:v>
      </x:c>
      <x:c r="F572" s="8" t="n">
        <x:f>C572*D572</x:f>
        <x:v>17889</x:v>
      </x:c>
      <x:c r="G572" s="8" t="n">
        <x:f>C572*E572</x:f>
        <x:v>8226.26</x:v>
      </x:c>
      <x:c r="H572" s="8" t="n">
        <x:f>F572-G572</x:f>
        <x:v>9662.74</x:v>
      </x:c>
      <x:c r="I572" s="10" t="n">
        <x:f>H572/F572</x:f>
        <x:v>0.5401498127340824</x:v>
      </x:c>
    </x:row>
    <x:row r="573" ht="22" customHeight="1">
      <x:c r="A573" s="11" t="str">
        <x:v>1508</x:v>
      </x:c>
      <x:c r="B573" s="8" t="str">
        <x:v>The Phone Company Smart phones Expert M400 Pink</x:v>
      </x:c>
      <x:c r="C573" s="8" t="n">
        <x:v>65</x:v>
      </x:c>
      <x:c r="D573" s="9" t="n">
        <x:v>300</x:v>
      </x:c>
      <x:c r="E573" s="9" t="n">
        <x:v>137.96</x:v>
      </x:c>
      <x:c r="F573" s="8" t="n">
        <x:f>C573*D573</x:f>
        <x:v>19500</x:v>
      </x:c>
      <x:c r="G573" s="8" t="n">
        <x:f>C573*E573</x:f>
        <x:v>8967.4</x:v>
      </x:c>
      <x:c r="H573" s="8" t="n">
        <x:f>F573-G573</x:f>
        <x:v>10532.6</x:v>
      </x:c>
      <x:c r="I573" s="10" t="n">
        <x:f>H573/F573</x:f>
        <x:v>0.5401333333333334</x:v>
      </x:c>
    </x:row>
    <x:row r="574" ht="22" customHeight="1">
      <x:c r="A574" s="11" t="str">
        <x:v>1509</x:v>
      </x:c>
      <x:c r="B574" s="8" t="str">
        <x:v>The Phone Company Smart phones Unlocked International M800 Pink</x:v>
      </x:c>
      <x:c r="C574" s="8" t="n">
        <x:v>118</x:v>
      </x:c>
      <x:c r="D574" s="9" t="n">
        <x:v>310</x:v>
      </x:c>
      <x:c r="E574" s="9" t="n">
        <x:v>142.56</x:v>
      </x:c>
      <x:c r="F574" s="8" t="n">
        <x:f>C574*D574</x:f>
        <x:v>36580</x:v>
      </x:c>
      <x:c r="G574" s="8" t="n">
        <x:f>C574*E574</x:f>
        <x:v>16822.08</x:v>
      </x:c>
      <x:c r="H574" s="8" t="n">
        <x:f>F574-G574</x:f>
        <x:v>19757.92</x:v>
      </x:c>
      <x:c r="I574" s="10" t="n">
        <x:f>H574/F574</x:f>
        <x:v>0.5401290322580645</x:v>
      </x:c>
    </x:row>
    <x:row r="575" ht="22" customHeight="1">
      <x:c r="A575" s="11" t="str">
        <x:v>151</x:v>
      </x:c>
      <x:c r="B575" s="8" t="str">
        <x:v>Adventure Works 40" LCD HDTV M690 White</x:v>
      </x:c>
      <x:c r="C575" s="8" t="n">
        <x:v>84</x:v>
      </x:c>
      <x:c r="D575" s="9" t="n">
        <x:v>1184.97</x:v>
      </x:c>
      <x:c r="E575" s="9" t="n">
        <x:v>392.6</x:v>
      </x:c>
      <x:c r="F575" s="8" t="n">
        <x:f>C575*D575</x:f>
        <x:v>99537.48</x:v>
      </x:c>
      <x:c r="G575" s="8" t="n">
        <x:f>C575*E575</x:f>
        <x:v>32978.4</x:v>
      </x:c>
      <x:c r="H575" s="8" t="n">
        <x:f>F575-G575</x:f>
        <x:v>66559.07999999999</x:v>
      </x:c>
      <x:c r="I575" s="10" t="n">
        <x:f>H575/F575</x:f>
        <x:v>0.6686835953652834</x:v>
      </x:c>
    </x:row>
    <x:row r="576" ht="22" customHeight="1">
      <x:c r="A576" s="11" t="str">
        <x:v>1510</x:v>
      </x:c>
      <x:c r="B576" s="8" t="str">
        <x:v>The Phone Company Smart phones without camera E100 Gold</x:v>
      </x:c>
      <x:c r="C576" s="8" t="n">
        <x:v>113</x:v>
      </x:c>
      <x:c r="D576" s="9" t="n">
        <x:v>129</x:v>
      </x:c>
      <x:c r="E576" s="9" t="n">
        <x:v>65.77</x:v>
      </x:c>
      <x:c r="F576" s="8" t="n">
        <x:f>C576*D576</x:f>
        <x:v>14577</x:v>
      </x:c>
      <x:c r="G576" s="8" t="n">
        <x:f>C576*E576</x:f>
        <x:v>7432.009999999999</x:v>
      </x:c>
      <x:c r="H576" s="8" t="n">
        <x:f>F576-G576</x:f>
        <x:v>7144.990000000001</x:v>
      </x:c>
      <x:c r="I576" s="10" t="n">
        <x:f>H576/F576</x:f>
        <x:v>0.49015503875968996</x:v>
      </x:c>
    </x:row>
    <x:row r="577" ht="22" customHeight="1">
      <x:c r="A577" s="11" t="str">
        <x:v>1511</x:v>
      </x:c>
      <x:c r="B577" s="8" t="str">
        <x:v>The Phone Company Microsoft Windows Mobile M200 Gold</x:v>
      </x:c>
      <x:c r="C577" s="8" t="n">
        <x:v>107</x:v>
      </x:c>
      <x:c r="D577" s="9" t="n">
        <x:v>229</x:v>
      </x:c>
      <x:c r="E577" s="9" t="n">
        <x:v>105.31</x:v>
      </x:c>
      <x:c r="F577" s="8" t="n">
        <x:f>C577*D577</x:f>
        <x:v>24503</x:v>
      </x:c>
      <x:c r="G577" s="8" t="n">
        <x:f>C577*E577</x:f>
        <x:v>11268.17</x:v>
      </x:c>
      <x:c r="H577" s="8" t="n">
        <x:f>F577-G577</x:f>
        <x:v>13234.83</x:v>
      </x:c>
      <x:c r="I577" s="10" t="n">
        <x:f>H577/F577</x:f>
        <x:v>0.5401310043668123</x:v>
      </x:c>
    </x:row>
    <x:row r="578" ht="22" customHeight="1">
      <x:c r="A578" s="11" t="str">
        <x:v>1512</x:v>
      </x:c>
      <x:c r="B578" s="8" t="str">
        <x:v>The Phone Company Smart phones 4 GB of Memory M300 Gold</x:v>
      </x:c>
      <x:c r="C578" s="8" t="n">
        <x:v>117</x:v>
      </x:c>
      <x:c r="D578" s="9" t="n">
        <x:v>239</x:v>
      </x:c>
      <x:c r="E578" s="9" t="n">
        <x:v>109.91</x:v>
      </x:c>
      <x:c r="F578" s="8" t="n">
        <x:f>C578*D578</x:f>
        <x:v>27963</x:v>
      </x:c>
      <x:c r="G578" s="8" t="n">
        <x:f>C578*E578</x:f>
        <x:v>12859.47</x:v>
      </x:c>
      <x:c r="H578" s="8" t="n">
        <x:f>F578-G578</x:f>
        <x:v>15103.53</x:v>
      </x:c>
      <x:c r="I578" s="10" t="n">
        <x:f>H578/F578</x:f>
        <x:v>0.5401255230125523</x:v>
      </x:c>
    </x:row>
    <x:row r="579" ht="22" customHeight="1">
      <x:c r="A579" s="11" t="str">
        <x:v>1513</x:v>
      </x:c>
      <x:c r="B579" s="8" t="str">
        <x:v>The Phone Company Smart phones 8 GB of Memory M400 Gold</x:v>
      </x:c>
      <x:c r="C579" s="8" t="n">
        <x:v>134</x:v>
      </x:c>
      <x:c r="D579" s="9" t="n">
        <x:v>269</x:v>
      </x:c>
      <x:c r="E579" s="9" t="n">
        <x:v>123.7</x:v>
      </x:c>
      <x:c r="F579" s="8" t="n">
        <x:f>C579*D579</x:f>
        <x:v>36046</x:v>
      </x:c>
      <x:c r="G579" s="8" t="n">
        <x:f>C579*E579</x:f>
        <x:v>16575.8</x:v>
      </x:c>
      <x:c r="H579" s="8" t="n">
        <x:f>F579-G579</x:f>
        <x:v>19470.2</x:v>
      </x:c>
      <x:c r="I579" s="10" t="n">
        <x:f>H579/F579</x:f>
        <x:v>0.5401486988847584</x:v>
      </x:c>
    </x:row>
    <x:row r="580" ht="22" customHeight="1">
      <x:c r="A580" s="11" t="str">
        <x:v>1514</x:v>
      </x:c>
      <x:c r="B580" s="8" t="str">
        <x:v>The Phone Company Smart phones 160x160 M26 Gold</x:v>
      </x:c>
      <x:c r="C580" s="8" t="n">
        <x:v>93</x:v>
      </x:c>
      <x:c r="D580" s="9" t="n">
        <x:v>208</x:v>
      </x:c>
      <x:c r="E580" s="9" t="n">
        <x:v>95.65</x:v>
      </x:c>
      <x:c r="F580" s="8" t="n">
        <x:f>C580*D580</x:f>
        <x:v>19344</x:v>
      </x:c>
      <x:c r="G580" s="8" t="n">
        <x:f>C580*E580</x:f>
        <x:v>8895.45</x:v>
      </x:c>
      <x:c r="H580" s="8" t="n">
        <x:f>F580-G580</x:f>
        <x:v>10448.55</x:v>
      </x:c>
      <x:c r="I580" s="10" t="n">
        <x:f>H580/F580</x:f>
        <x:v>0.5401442307692307</x:v>
      </x:c>
    </x:row>
    <x:row r="581" ht="22" customHeight="1">
      <x:c r="A581" s="11" t="str">
        <x:v>1515</x:v>
      </x:c>
      <x:c r="B581" s="8" t="str">
        <x:v>The Phone Company Smart phones 6-LINE SCREEN M21 Gold</x:v>
      </x:c>
      <x:c r="C581" s="8" t="n">
        <x:v>91</x:v>
      </x:c>
      <x:c r="D581" s="9" t="n">
        <x:v>230</x:v>
      </x:c>
      <x:c r="E581" s="9" t="n">
        <x:v>105.77</x:v>
      </x:c>
      <x:c r="F581" s="8" t="n">
        <x:f>C581*D581</x:f>
        <x:v>20930</x:v>
      </x:c>
      <x:c r="G581" s="8" t="n">
        <x:f>C581*E581</x:f>
        <x:v>9625.07</x:v>
      </x:c>
      <x:c r="H581" s="8" t="n">
        <x:f>F581-G581</x:f>
        <x:v>11304.93</x:v>
      </x:c>
      <x:c r="I581" s="10" t="n">
        <x:f>H581/F581</x:f>
        <x:v>0.5401304347826087</x:v>
      </x:c>
    </x:row>
    <x:row r="582" ht="22" customHeight="1">
      <x:c r="A582" s="11" t="str">
        <x:v>1516</x:v>
      </x:c>
      <x:c r="B582" s="8" t="str">
        <x:v>The Phone Company Smart phones 320 x 320 M86 Gold</x:v>
      </x:c>
      <x:c r="C582" s="8" t="n">
        <x:v>90</x:v>
      </x:c>
      <x:c r="D582" s="9" t="n">
        <x:v>288</x:v>
      </x:c>
      <x:c r="E582" s="9" t="n">
        <x:v>132.44</x:v>
      </x:c>
      <x:c r="F582" s="8" t="n">
        <x:f>C582*D582</x:f>
        <x:v>25920</x:v>
      </x:c>
      <x:c r="G582" s="8" t="n">
        <x:f>C582*E582</x:f>
        <x:v>11919.6</x:v>
      </x:c>
      <x:c r="H582" s="8" t="n">
        <x:f>F582-G582</x:f>
        <x:v>14000.4</x:v>
      </x:c>
      <x:c r="I582" s="10" t="n">
        <x:f>H582/F582</x:f>
        <x:v>0.5401388888888888</x:v>
      </x:c>
    </x:row>
    <x:row r="583" ht="22" customHeight="1">
      <x:c r="A583" s="11" t="str">
        <x:v>1517</x:v>
      </x:c>
      <x:c r="B583" s="8" t="str">
        <x:v>The Phone Company Smart phones Unlocked M300 Gold</x:v>
      </x:c>
      <x:c r="C583" s="8" t="n">
        <x:v>119</x:v>
      </x:c>
      <x:c r="D583" s="9" t="n">
        <x:v>267</x:v>
      </x:c>
      <x:c r="E583" s="9" t="n">
        <x:v>122.78</x:v>
      </x:c>
      <x:c r="F583" s="8" t="n">
        <x:f>C583*D583</x:f>
        <x:v>31773</x:v>
      </x:c>
      <x:c r="G583" s="8" t="n">
        <x:f>C583*E583</x:f>
        <x:v>14610.82</x:v>
      </x:c>
      <x:c r="H583" s="8" t="n">
        <x:f>F583-G583</x:f>
        <x:v>17162.18</x:v>
      </x:c>
      <x:c r="I583" s="10" t="n">
        <x:f>H583/F583</x:f>
        <x:v>0.5401498127340824</x:v>
      </x:c>
    </x:row>
    <x:row r="584" ht="22" customHeight="1">
      <x:c r="A584" s="11" t="str">
        <x:v>1518</x:v>
      </x:c>
      <x:c r="B584" s="8" t="str">
        <x:v>The Phone Company Smart phones Expert M400 Gold</x:v>
      </x:c>
      <x:c r="C584" s="8" t="n">
        <x:v>103</x:v>
      </x:c>
      <x:c r="D584" s="9" t="n">
        <x:v>300</x:v>
      </x:c>
      <x:c r="E584" s="9" t="n">
        <x:v>137.96</x:v>
      </x:c>
      <x:c r="F584" s="8" t="n">
        <x:f>C584*D584</x:f>
        <x:v>30900</x:v>
      </x:c>
      <x:c r="G584" s="8" t="n">
        <x:f>C584*E584</x:f>
        <x:v>14209.880000000001</x:v>
      </x:c>
      <x:c r="H584" s="8" t="n">
        <x:f>F584-G584</x:f>
        <x:v>16690.12</x:v>
      </x:c>
      <x:c r="I584" s="10" t="n">
        <x:f>H584/F584</x:f>
        <x:v>0.5401333333333334</x:v>
      </x:c>
    </x:row>
    <x:row r="585" ht="22" customHeight="1">
      <x:c r="A585" s="11" t="str">
        <x:v>1519</x:v>
      </x:c>
      <x:c r="B585" s="8" t="str">
        <x:v>The Phone Company Smart phones Unlocked International M800 Gold</x:v>
      </x:c>
      <x:c r="C585" s="8" t="n">
        <x:v>63</x:v>
      </x:c>
      <x:c r="D585" s="9" t="n">
        <x:v>310</x:v>
      </x:c>
      <x:c r="E585" s="9" t="n">
        <x:v>142.56</x:v>
      </x:c>
      <x:c r="F585" s="8" t="n">
        <x:f>C585*D585</x:f>
        <x:v>19530</x:v>
      </x:c>
      <x:c r="G585" s="8" t="n">
        <x:f>C585*E585</x:f>
        <x:v>8981.28</x:v>
      </x:c>
      <x:c r="H585" s="8" t="n">
        <x:f>F585-G585</x:f>
        <x:v>10548.72</x:v>
      </x:c>
      <x:c r="I585" s="10" t="n">
        <x:f>H585/F585</x:f>
        <x:v>0.5401290322580645</x:v>
      </x:c>
    </x:row>
    <x:row r="586" ht="22" customHeight="1">
      <x:c r="A586" s="11" t="str">
        <x:v>152</x:v>
      </x:c>
      <x:c r="B586" s="8" t="str">
        <x:v>Adventure Works 40" LCD HDTV M690 Brown</x:v>
      </x:c>
      <x:c r="C586" s="8" t="n">
        <x:v>106</x:v>
      </x:c>
      <x:c r="D586" s="9" t="n">
        <x:v>1184.97</x:v>
      </x:c>
      <x:c r="E586" s="9" t="n">
        <x:v>392.6</x:v>
      </x:c>
      <x:c r="F586" s="8" t="n">
        <x:f>C586*D586</x:f>
        <x:v>125606.82</x:v>
      </x:c>
      <x:c r="G586" s="8" t="n">
        <x:f>C586*E586</x:f>
        <x:v>41615.600000000006</x:v>
      </x:c>
      <x:c r="H586" s="8" t="n">
        <x:f>F586-G586</x:f>
        <x:v>83991.22</x:v>
      </x:c>
      <x:c r="I586" s="10" t="n">
        <x:f>H586/F586</x:f>
        <x:v>0.6686835953652834</x:v>
      </x:c>
    </x:row>
    <x:row r="587" ht="22" customHeight="1">
      <x:c r="A587" s="11" t="str">
        <x:v>1520</x:v>
      </x:c>
      <x:c r="B587" s="8" t="str">
        <x:v>The Phone Company PDA Wifi 3.5-inch M200 Black</x:v>
      </x:c>
      <x:c r="C587" s="8" t="n">
        <x:v>123</x:v>
      </x:c>
      <x:c r="D587" s="9" t="n">
        <x:v>280</x:v>
      </x:c>
      <x:c r="E587" s="9" t="n">
        <x:v>128.76</x:v>
      </x:c>
      <x:c r="F587" s="8" t="n">
        <x:f>C587*D587</x:f>
        <x:v>34440</x:v>
      </x:c>
      <x:c r="G587" s="8" t="n">
        <x:f>C587*E587</x:f>
        <x:v>15837.48</x:v>
      </x:c>
      <x:c r="H587" s="8" t="n">
        <x:f>F587-G587</x:f>
        <x:v>18602.52</x:v>
      </x:c>
      <x:c r="I587" s="10" t="n">
        <x:f>H587/F587</x:f>
        <x:v>0.5401428571428571</x:v>
      </x:c>
    </x:row>
    <x:row r="588" ht="22" customHeight="1">
      <x:c r="A588" s="11" t="str">
        <x:v>1521</x:v>
      </x:c>
      <x:c r="B588" s="8" t="str">
        <x:v>The Phone Company PDA Wifi 3.7-inch M250 Black</x:v>
      </x:c>
      <x:c r="C588" s="8" t="n">
        <x:v>109</x:v>
      </x:c>
      <x:c r="D588" s="9" t="n">
        <x:v>310</x:v>
      </x:c>
      <x:c r="E588" s="9" t="n">
        <x:v>142.56</x:v>
      </x:c>
      <x:c r="F588" s="8" t="n">
        <x:f>C588*D588</x:f>
        <x:v>33790</x:v>
      </x:c>
      <x:c r="G588" s="8" t="n">
        <x:f>C588*E588</x:f>
        <x:v>15539.04</x:v>
      </x:c>
      <x:c r="H588" s="8" t="n">
        <x:f>F588-G588</x:f>
        <x:v>18250.96</x:v>
      </x:c>
      <x:c r="I588" s="10" t="n">
        <x:f>H588/F588</x:f>
        <x:v>0.5401290322580645</x:v>
      </x:c>
    </x:row>
    <x:row r="589" ht="22" customHeight="1">
      <x:c r="A589" s="11" t="str">
        <x:v>1522</x:v>
      </x:c>
      <x:c r="B589" s="8" t="str">
        <x:v>The Phone Company PDA Wifi 4.7-inch L290 Black</x:v>
      </x:c>
      <x:c r="C589" s="8" t="n">
        <x:v>85</x:v>
      </x:c>
      <x:c r="D589" s="9" t="n">
        <x:v>380</x:v>
      </x:c>
      <x:c r="E589" s="9" t="n">
        <x:v>125.9</x:v>
      </x:c>
      <x:c r="F589" s="8" t="n">
        <x:f>C589*D589</x:f>
        <x:v>32300</x:v>
      </x:c>
      <x:c r="G589" s="8" t="n">
        <x:f>C589*E589</x:f>
        <x:v>10701.5</x:v>
      </x:c>
      <x:c r="H589" s="8" t="n">
        <x:f>F589-G589</x:f>
        <x:v>21598.5</x:v>
      </x:c>
      <x:c r="I589" s="10" t="n">
        <x:f>H589/F589</x:f>
        <x:v>0.6686842105263158</x:v>
      </x:c>
    </x:row>
    <x:row r="590" ht="22" customHeight="1">
      <x:c r="A590" s="11" t="str">
        <x:v>1523</x:v>
      </x:c>
      <x:c r="B590" s="8" t="str">
        <x:v>The Phone Company PDA Phone 3.5 inches M320 Black</x:v>
      </x:c>
      <x:c r="C590" s="8" t="n">
        <x:v>91</x:v>
      </x:c>
      <x:c r="D590" s="9" t="n">
        <x:v>299</x:v>
      </x:c>
      <x:c r="E590" s="9" t="n">
        <x:v>137.5</x:v>
      </x:c>
      <x:c r="F590" s="8" t="n">
        <x:f>C590*D590</x:f>
        <x:v>27209</x:v>
      </x:c>
      <x:c r="G590" s="8" t="n">
        <x:f>C590*E590</x:f>
        <x:v>12512.5</x:v>
      </x:c>
      <x:c r="H590" s="8" t="n">
        <x:f>F590-G590</x:f>
        <x:v>14696.5</x:v>
      </x:c>
      <x:c r="I590" s="10" t="n">
        <x:f>H590/F590</x:f>
        <x:v>0.540133779264214</x:v>
      </x:c>
    </x:row>
    <x:row r="591" ht="22" customHeight="1">
      <x:c r="A591" s="11" t="str">
        <x:v>1524</x:v>
      </x:c>
      <x:c r="B591" s="8" t="str">
        <x:v>The Phone Company PDA Phone 3.7 inches M340 Black</x:v>
      </x:c>
      <x:c r="C591" s="8" t="n">
        <x:v>129</x:v>
      </x:c>
      <x:c r="D591" s="9" t="n">
        <x:v>330</x:v>
      </x:c>
      <x:c r="E591" s="9" t="n">
        <x:v>151.76</x:v>
      </x:c>
      <x:c r="F591" s="8" t="n">
        <x:f>C591*D591</x:f>
        <x:v>42570</x:v>
      </x:c>
      <x:c r="G591" s="8" t="n">
        <x:f>C591*E591</x:f>
        <x:v>19577.039999999997</x:v>
      </x:c>
      <x:c r="H591" s="8" t="n">
        <x:f>F591-G591</x:f>
        <x:v>22992.960000000003</x:v>
      </x:c>
      <x:c r="I591" s="10" t="n">
        <x:f>H591/F591</x:f>
        <x:v>0.5401212121212122</x:v>
      </x:c>
    </x:row>
    <x:row r="592" ht="22" customHeight="1">
      <x:c r="A592" s="11" t="str">
        <x:v>1525</x:v>
      </x:c>
      <x:c r="B592" s="8" t="str">
        <x:v>The Phone Company PDA Phone 4.7 inches L360 Black</x:v>
      </x:c>
      <x:c r="C592" s="8" t="n">
        <x:v>102</x:v>
      </x:c>
      <x:c r="D592" s="9" t="n">
        <x:v>402</x:v>
      </x:c>
      <x:c r="E592" s="9" t="n">
        <x:v>133.19</x:v>
      </x:c>
      <x:c r="F592" s="8" t="n">
        <x:f>C592*D592</x:f>
        <x:v>41004</x:v>
      </x:c>
      <x:c r="G592" s="8" t="n">
        <x:f>C592*E592</x:f>
        <x:v>13585.38</x:v>
      </x:c>
      <x:c r="H592" s="8" t="n">
        <x:f>F592-G592</x:f>
        <x:v>27418.620000000003</x:v>
      </x:c>
      <x:c r="I592" s="10" t="n">
        <x:f>H592/F592</x:f>
        <x:v>0.668681592039801</x:v>
      </x:c>
    </x:row>
    <x:row r="593" ht="22" customHeight="1">
      <x:c r="A593" s="11" t="str">
        <x:v>1526</x:v>
      </x:c>
      <x:c r="B593" s="8" t="str">
        <x:v>The Phone Company PDA Phone Unlocked 3.7 inches M510 Black</x:v>
      </x:c>
      <x:c r="C593" s="8" t="n">
        <x:v>102</x:v>
      </x:c>
      <x:c r="D593" s="9" t="n">
        <x:v>238</x:v>
      </x:c>
      <x:c r="E593" s="9" t="n">
        <x:v>109.45</x:v>
      </x:c>
      <x:c r="F593" s="8" t="n">
        <x:f>C593*D593</x:f>
        <x:v>24276</x:v>
      </x:c>
      <x:c r="G593" s="8" t="n">
        <x:f>C593*E593</x:f>
        <x:v>11163.9</x:v>
      </x:c>
      <x:c r="H593" s="8" t="n">
        <x:f>F593-G593</x:f>
        <x:v>13112.1</x:v>
      </x:c>
      <x:c r="I593" s="10" t="n">
        <x:f>H593/F593</x:f>
        <x:v>0.540126050420168</x:v>
      </x:c>
    </x:row>
    <x:row r="594" ht="22" customHeight="1">
      <x:c r="A594" s="11" t="str">
        <x:v>1527</x:v>
      </x:c>
      <x:c r="B594" s="8" t="str">
        <x:v>The Phone Company PDA Phone Unlocked 3.5 inches M530 Black</x:v>
      </x:c>
      <x:c r="C594" s="8" t="n">
        <x:v>130</x:v>
      </x:c>
      <x:c r="D594" s="9" t="n">
        <x:v>268</x:v>
      </x:c>
      <x:c r="E594" s="9" t="n">
        <x:v>123.24</x:v>
      </x:c>
      <x:c r="F594" s="8" t="n">
        <x:f>C594*D594</x:f>
        <x:v>34840</x:v>
      </x:c>
      <x:c r="G594" s="8" t="n">
        <x:f>C594*E594</x:f>
        <x:v>16021.199999999999</x:v>
      </x:c>
      <x:c r="H594" s="8" t="n">
        <x:f>F594-G594</x:f>
        <x:v>18818.800000000003</x:v>
      </x:c>
      <x:c r="I594" s="10" t="n">
        <x:f>H594/F594</x:f>
        <x:v>0.5401492537313434</x:v>
      </x:c>
    </x:row>
    <x:row r="595" ht="22" customHeight="1">
      <x:c r="A595" s="11" t="str">
        <x:v>1528</x:v>
      </x:c>
      <x:c r="B595" s="8" t="str">
        <x:v>The Phone Company PDA Phone Unlocked 4.7 inches L550 Black</x:v>
      </x:c>
      <x:c r="C595" s="8" t="n">
        <x:v>103</x:v>
      </x:c>
      <x:c r="D595" s="9" t="n">
        <x:v>302</x:v>
      </x:c>
      <x:c r="E595" s="9" t="n">
        <x:v>100.06</x:v>
      </x:c>
      <x:c r="F595" s="8" t="n">
        <x:f>C595*D595</x:f>
        <x:v>31106</x:v>
      </x:c>
      <x:c r="G595" s="8" t="n">
        <x:f>C595*E595</x:f>
        <x:v>10306.18</x:v>
      </x:c>
      <x:c r="H595" s="8" t="n">
        <x:f>F595-G595</x:f>
        <x:v>20799.82</x:v>
      </x:c>
      <x:c r="I595" s="10" t="n">
        <x:f>H595/F595</x:f>
        <x:v>0.6686754966887417</x:v>
      </x:c>
    </x:row>
    <x:row r="596" ht="22" customHeight="1">
      <x:c r="A596" s="11" t="str">
        <x:v>1529</x:v>
      </x:c>
      <x:c r="B596" s="8" t="str">
        <x:v>The Phone Company PDA Handheld 3.5 inch M610 Black</x:v>
      </x:c>
      <x:c r="C596" s="8" t="n">
        <x:v>97</x:v>
      </x:c>
      <x:c r="D596" s="9" t="n">
        <x:v>255</x:v>
      </x:c>
      <x:c r="E596" s="9" t="n">
        <x:v>117.27</x:v>
      </x:c>
      <x:c r="F596" s="8" t="n">
        <x:f>C596*D596</x:f>
        <x:v>24735</x:v>
      </x:c>
      <x:c r="G596" s="8" t="n">
        <x:f>C596*E596</x:f>
        <x:v>11375.19</x:v>
      </x:c>
      <x:c r="H596" s="8" t="n">
        <x:f>F596-G596</x:f>
        <x:v>13359.81</x:v>
      </x:c>
      <x:c r="I596" s="10" t="n">
        <x:f>H596/F596</x:f>
        <x:v>0.5401176470588235</x:v>
      </x:c>
    </x:row>
    <x:row r="597" ht="22" customHeight="1">
      <x:c r="A597" s="11" t="str">
        <x:v>153</x:v>
      </x:c>
      <x:c r="B597" s="8" t="str">
        <x:v>Adventure Works 26" 720p LCD HDTV M140 Silver</x:v>
      </x:c>
      <x:c r="C597" s="8" t="n">
        <x:v>98</x:v>
      </x:c>
      <x:c r="D597" s="9" t="n">
        <x:v>469.97</x:v>
      </x:c>
      <x:c r="E597" s="9" t="n">
        <x:v>216.12</x:v>
      </x:c>
      <x:c r="F597" s="8" t="n">
        <x:f>C597*D597</x:f>
        <x:v>46057.060000000005</x:v>
      </x:c>
      <x:c r="G597" s="8" t="n">
        <x:f>C597*E597</x:f>
        <x:v>21179.760000000002</x:v>
      </x:c>
      <x:c r="H597" s="8" t="n">
        <x:f>F597-G597</x:f>
        <x:v>24877.300000000003</x:v>
      </x:c>
      <x:c r="I597" s="10" t="n">
        <x:f>H597/F597</x:f>
        <x:v>0.5401408600548971</x:v>
      </x:c>
    </x:row>
    <x:row r="598" ht="22" customHeight="1">
      <x:c r="A598" s="11" t="str">
        <x:v>1530</x:v>
      </x:c>
      <x:c r="B598" s="8" t="str">
        <x:v>The Phone Company PDA Handheld 3.7 inch M630 Black</x:v>
      </x:c>
      <x:c r="C598" s="8" t="n">
        <x:v>104</x:v>
      </x:c>
      <x:c r="D598" s="9" t="n">
        <x:v>266</x:v>
      </x:c>
      <x:c r="E598" s="9" t="n">
        <x:v>122.32</x:v>
      </x:c>
      <x:c r="F598" s="8" t="n">
        <x:f>C598*D598</x:f>
        <x:v>27664</x:v>
      </x:c>
      <x:c r="G598" s="8" t="n">
        <x:f>C598*E598</x:f>
        <x:v>12721.279999999999</x:v>
      </x:c>
      <x:c r="H598" s="8" t="n">
        <x:f>F598-G598</x:f>
        <x:v>14942.720000000001</x:v>
      </x:c>
      <x:c r="I598" s="10" t="n">
        <x:f>H598/F598</x:f>
        <x:v>0.5401503759398497</x:v>
      </x:c>
    </x:row>
    <x:row r="599" ht="22" customHeight="1">
      <x:c r="A599" s="11" t="str">
        <x:v>1531</x:v>
      </x:c>
      <x:c r="B599" s="8" t="str">
        <x:v>The Phone Company PDA Handheld 4.7 inch L650 Black</x:v>
      </x:c>
      <x:c r="C599" s="8" t="n">
        <x:v>88</x:v>
      </x:c>
      <x:c r="D599" s="9" t="n">
        <x:v>389</x:v>
      </x:c>
      <x:c r="E599" s="9" t="n">
        <x:v>128.88</x:v>
      </x:c>
      <x:c r="F599" s="8" t="n">
        <x:f>C599*D599</x:f>
        <x:v>34232</x:v>
      </x:c>
      <x:c r="G599" s="8" t="n">
        <x:f>C599*E599</x:f>
        <x:v>11341.439999999999</x:v>
      </x:c>
      <x:c r="H599" s="8" t="n">
        <x:f>F599-G599</x:f>
        <x:v>22890.56</x:v>
      </x:c>
      <x:c r="I599" s="10" t="n">
        <x:f>H599/F599</x:f>
        <x:v>0.6686889460154242</x:v>
      </x:c>
    </x:row>
    <x:row r="600" ht="22" customHeight="1">
      <x:c r="A600" s="11" t="str">
        <x:v>1532</x:v>
      </x:c>
      <x:c r="B600" s="8" t="str">
        <x:v>The Phone Company PDA Palm 3.5 inch M810 Black</x:v>
      </x:c>
      <x:c r="C600" s="8" t="n">
        <x:v>99</x:v>
      </x:c>
      <x:c r="D600" s="9" t="n">
        <x:v>280</x:v>
      </x:c>
      <x:c r="E600" s="9" t="n">
        <x:v>128.76</x:v>
      </x:c>
      <x:c r="F600" s="8" t="n">
        <x:f>C600*D600</x:f>
        <x:v>27720</x:v>
      </x:c>
      <x:c r="G600" s="8" t="n">
        <x:f>C600*E600</x:f>
        <x:v>12747.24</x:v>
      </x:c>
      <x:c r="H600" s="8" t="n">
        <x:f>F600-G600</x:f>
        <x:v>14972.76</x:v>
      </x:c>
      <x:c r="I600" s="10" t="n">
        <x:f>H600/F600</x:f>
        <x:v>0.5401428571428571</x:v>
      </x:c>
    </x:row>
    <x:row r="601" ht="22" customHeight="1">
      <x:c r="A601" s="11" t="str">
        <x:v>1533</x:v>
      </x:c>
      <x:c r="B601" s="8" t="str">
        <x:v>The Phone Company PDA Palm 3.7 inch M830 Black</x:v>
      </x:c>
      <x:c r="C601" s="8" t="n">
        <x:v>96</x:v>
      </x:c>
      <x:c r="D601" s="9" t="n">
        <x:v>299</x:v>
      </x:c>
      <x:c r="E601" s="9" t="n">
        <x:v>137.5</x:v>
      </x:c>
      <x:c r="F601" s="8" t="n">
        <x:f>C601*D601</x:f>
        <x:v>28704</x:v>
      </x:c>
      <x:c r="G601" s="8" t="n">
        <x:f>C601*E601</x:f>
        <x:v>13200</x:v>
      </x:c>
      <x:c r="H601" s="8" t="n">
        <x:f>F601-G601</x:f>
        <x:v>15504</x:v>
      </x:c>
      <x:c r="I601" s="10" t="n">
        <x:f>H601/F601</x:f>
        <x:v>0.540133779264214</x:v>
      </x:c>
    </x:row>
    <x:row r="602" ht="22" customHeight="1">
      <x:c r="A602" s="11" t="str">
        <x:v>1534</x:v>
      </x:c>
      <x:c r="B602" s="8" t="str">
        <x:v>The Phone Company PDA Palm 4.7 inch L850 Black</x:v>
      </x:c>
      <x:c r="C602" s="8" t="n">
        <x:v>66</x:v>
      </x:c>
      <x:c r="D602" s="9" t="n">
        <x:v>398</x:v>
      </x:c>
      <x:c r="E602" s="9" t="n">
        <x:v>131.87</x:v>
      </x:c>
      <x:c r="F602" s="8" t="n">
        <x:f>C602*D602</x:f>
        <x:v>26268</x:v>
      </x:c>
      <x:c r="G602" s="8" t="n">
        <x:f>C602*E602</x:f>
        <x:v>8703.42</x:v>
      </x:c>
      <x:c r="H602" s="8" t="n">
        <x:f>F602-G602</x:f>
        <x:v>17564.58</x:v>
      </x:c>
      <x:c r="I602" s="10" t="n">
        <x:f>H602/F602</x:f>
        <x:v>0.6686683417085428</x:v>
      </x:c>
    </x:row>
    <x:row r="603" ht="22" customHeight="1">
      <x:c r="A603" s="11" t="str">
        <x:v>1535</x:v>
      </x:c>
      <x:c r="B603" s="8" t="str">
        <x:v>The Phone Company PDA GPS Phone 3.5 inch M910 Black</x:v>
      </x:c>
      <x:c r="C603" s="8" t="n">
        <x:v>106</x:v>
      </x:c>
      <x:c r="D603" s="9" t="n">
        <x:v>268</x:v>
      </x:c>
      <x:c r="E603" s="9" t="n">
        <x:v>123.24</x:v>
      </x:c>
      <x:c r="F603" s="8" t="n">
        <x:f>C603*D603</x:f>
        <x:v>28408</x:v>
      </x:c>
      <x:c r="G603" s="8" t="n">
        <x:f>C603*E603</x:f>
        <x:v>13063.439999999999</x:v>
      </x:c>
      <x:c r="H603" s="8" t="n">
        <x:f>F603-G603</x:f>
        <x:v>15344.560000000001</x:v>
      </x:c>
      <x:c r="I603" s="10" t="n">
        <x:f>H603/F603</x:f>
        <x:v>0.5401492537313434</x:v>
      </x:c>
    </x:row>
    <x:row r="604" ht="22" customHeight="1">
      <x:c r="A604" s="11" t="str">
        <x:v>1536</x:v>
      </x:c>
      <x:c r="B604" s="8" t="str">
        <x:v>The Phone Company PDA GPS Phone 3.7 inch M930 Black</x:v>
      </x:c>
      <x:c r="C604" s="8" t="n">
        <x:v>126</x:v>
      </x:c>
      <x:c r="D604" s="9" t="n">
        <x:v>298</x:v>
      </x:c>
      <x:c r="E604" s="9" t="n">
        <x:v>137.04</x:v>
      </x:c>
      <x:c r="F604" s="8" t="n">
        <x:f>C604*D604</x:f>
        <x:v>37548</x:v>
      </x:c>
      <x:c r="G604" s="8" t="n">
        <x:f>C604*E604</x:f>
        <x:v>17267.039999999997</x:v>
      </x:c>
      <x:c r="H604" s="8" t="n">
        <x:f>F604-G604</x:f>
        <x:v>20280.960000000003</x:v>
      </x:c>
      <x:c r="I604" s="10" t="n">
        <x:f>H604/F604</x:f>
        <x:v>0.5401342281879196</x:v>
      </x:c>
    </x:row>
    <x:row r="605" ht="22" customHeight="1">
      <x:c r="A605" s="11" t="str">
        <x:v>1537</x:v>
      </x:c>
      <x:c r="B605" s="8" t="str">
        <x:v>The Phone Company PDA GPS Phone 4.7 inch L950 Black</x:v>
      </x:c>
      <x:c r="C605" s="8" t="n">
        <x:v>114</x:v>
      </x:c>
      <x:c r="D605" s="9" t="n">
        <x:v>368</x:v>
      </x:c>
      <x:c r="E605" s="9" t="n">
        <x:v>121.93</x:v>
      </x:c>
      <x:c r="F605" s="8" t="n">
        <x:f>C605*D605</x:f>
        <x:v>41952</x:v>
      </x:c>
      <x:c r="G605" s="8" t="n">
        <x:f>C605*E605</x:f>
        <x:v>13900.02</x:v>
      </x:c>
      <x:c r="H605" s="8" t="n">
        <x:f>F605-G605</x:f>
        <x:v>28051.98</x:v>
      </x:c>
      <x:c r="I605" s="10" t="n">
        <x:f>H605/F605</x:f>
        <x:v>0.6686684782608695</x:v>
      </x:c>
    </x:row>
    <x:row r="606" ht="22" customHeight="1">
      <x:c r="A606" s="11" t="str">
        <x:v>1538</x:v>
      </x:c>
      <x:c r="B606" s="8" t="str">
        <x:v>The Phone Company PDA Wifi 3.5-inch M200 Silver</x:v>
      </x:c>
      <x:c r="C606" s="8" t="n">
        <x:v>106</x:v>
      </x:c>
      <x:c r="D606" s="9" t="n">
        <x:v>280</x:v>
      </x:c>
      <x:c r="E606" s="9" t="n">
        <x:v>128.76</x:v>
      </x:c>
      <x:c r="F606" s="8" t="n">
        <x:f>C606*D606</x:f>
        <x:v>29680</x:v>
      </x:c>
      <x:c r="G606" s="8" t="n">
        <x:f>C606*E606</x:f>
        <x:v>13648.56</x:v>
      </x:c>
      <x:c r="H606" s="8" t="n">
        <x:f>F606-G606</x:f>
        <x:v>16031.44</x:v>
      </x:c>
      <x:c r="I606" s="10" t="n">
        <x:f>H606/F606</x:f>
        <x:v>0.5401428571428571</x:v>
      </x:c>
    </x:row>
    <x:row r="607" ht="22" customHeight="1">
      <x:c r="A607" s="11" t="str">
        <x:v>1539</x:v>
      </x:c>
      <x:c r="B607" s="8" t="str">
        <x:v>The Phone Company PDA Wifi 3.7-inch M250 Silver</x:v>
      </x:c>
      <x:c r="C607" s="8" t="n">
        <x:v>97</x:v>
      </x:c>
      <x:c r="D607" s="9" t="n">
        <x:v>310</x:v>
      </x:c>
      <x:c r="E607" s="9" t="n">
        <x:v>142.56</x:v>
      </x:c>
      <x:c r="F607" s="8" t="n">
        <x:f>C607*D607</x:f>
        <x:v>30070</x:v>
      </x:c>
      <x:c r="G607" s="8" t="n">
        <x:f>C607*E607</x:f>
        <x:v>13828.32</x:v>
      </x:c>
      <x:c r="H607" s="8" t="n">
        <x:f>F607-G607</x:f>
        <x:v>16241.68</x:v>
      </x:c>
      <x:c r="I607" s="10" t="n">
        <x:f>H607/F607</x:f>
        <x:v>0.5401290322580645</x:v>
      </x:c>
    </x:row>
    <x:row r="608" ht="22" customHeight="1">
      <x:c r="A608" s="11" t="str">
        <x:v>154</x:v>
      </x:c>
      <x:c r="B608" s="8" t="str">
        <x:v>Adventure Works 26" 720p LCD HDTV M140 Black</x:v>
      </x:c>
      <x:c r="C608" s="8" t="n">
        <x:v>134</x:v>
      </x:c>
      <x:c r="D608" s="9" t="n">
        <x:v>469.97</x:v>
      </x:c>
      <x:c r="E608" s="9" t="n">
        <x:v>216.12</x:v>
      </x:c>
      <x:c r="F608" s="8" t="n">
        <x:f>C608*D608</x:f>
        <x:v>62975.98</x:v>
      </x:c>
      <x:c r="G608" s="8" t="n">
        <x:f>C608*E608</x:f>
        <x:v>28960.08</x:v>
      </x:c>
      <x:c r="H608" s="8" t="n">
        <x:f>F608-G608</x:f>
        <x:v>34015.9</x:v>
      </x:c>
      <x:c r="I608" s="10" t="n">
        <x:f>H608/F608</x:f>
        <x:v>0.5401408600548971</x:v>
      </x:c>
    </x:row>
    <x:row r="609" ht="22" customHeight="1">
      <x:c r="A609" s="11" t="str">
        <x:v>1540</x:v>
      </x:c>
      <x:c r="B609" s="8" t="str">
        <x:v>The Phone Company PDA Wifi 4.7-inch L290 Silver</x:v>
      </x:c>
      <x:c r="C609" s="8" t="n">
        <x:v>98</x:v>
      </x:c>
      <x:c r="D609" s="9" t="n">
        <x:v>380</x:v>
      </x:c>
      <x:c r="E609" s="9" t="n">
        <x:v>125.9</x:v>
      </x:c>
      <x:c r="F609" s="8" t="n">
        <x:f>C609*D609</x:f>
        <x:v>37240</x:v>
      </x:c>
      <x:c r="G609" s="8" t="n">
        <x:f>C609*E609</x:f>
        <x:v>12338.2</x:v>
      </x:c>
      <x:c r="H609" s="8" t="n">
        <x:f>F609-G609</x:f>
        <x:v>24901.8</x:v>
      </x:c>
      <x:c r="I609" s="10" t="n">
        <x:f>H609/F609</x:f>
        <x:v>0.6686842105263158</x:v>
      </x:c>
    </x:row>
    <x:row r="610" ht="22" customHeight="1">
      <x:c r="A610" s="11" t="str">
        <x:v>1541</x:v>
      </x:c>
      <x:c r="B610" s="8" t="str">
        <x:v>The Phone Company PDA Phone 3.5 inches M320 Silver</x:v>
      </x:c>
      <x:c r="C610" s="8" t="n">
        <x:v>81</x:v>
      </x:c>
      <x:c r="D610" s="9" t="n">
        <x:v>299</x:v>
      </x:c>
      <x:c r="E610" s="9" t="n">
        <x:v>137.5</x:v>
      </x:c>
      <x:c r="F610" s="8" t="n">
        <x:f>C610*D610</x:f>
        <x:v>24219</x:v>
      </x:c>
      <x:c r="G610" s="8" t="n">
        <x:f>C610*E610</x:f>
        <x:v>11137.5</x:v>
      </x:c>
      <x:c r="H610" s="8" t="n">
        <x:f>F610-G610</x:f>
        <x:v>13081.5</x:v>
      </x:c>
      <x:c r="I610" s="10" t="n">
        <x:f>H610/F610</x:f>
        <x:v>0.540133779264214</x:v>
      </x:c>
    </x:row>
    <x:row r="611" ht="22" customHeight="1">
      <x:c r="A611" s="11" t="str">
        <x:v>1542</x:v>
      </x:c>
      <x:c r="B611" s="8" t="str">
        <x:v>The Phone Company PDA Phone 3.7 inches M340 Silver</x:v>
      </x:c>
      <x:c r="C611" s="8" t="n">
        <x:v>67</x:v>
      </x:c>
      <x:c r="D611" s="9" t="n">
        <x:v>330</x:v>
      </x:c>
      <x:c r="E611" s="9" t="n">
        <x:v>151.76</x:v>
      </x:c>
      <x:c r="F611" s="8" t="n">
        <x:f>C611*D611</x:f>
        <x:v>22110</x:v>
      </x:c>
      <x:c r="G611" s="8" t="n">
        <x:f>C611*E611</x:f>
        <x:v>10167.92</x:v>
      </x:c>
      <x:c r="H611" s="8" t="n">
        <x:f>F611-G611</x:f>
        <x:v>11942.08</x:v>
      </x:c>
      <x:c r="I611" s="10" t="n">
        <x:f>H611/F611</x:f>
        <x:v>0.5401212121212121</x:v>
      </x:c>
    </x:row>
    <x:row r="612" ht="22" customHeight="1">
      <x:c r="A612" s="11" t="str">
        <x:v>1543</x:v>
      </x:c>
      <x:c r="B612" s="8" t="str">
        <x:v>The Phone Company PDA Phone 4.7 inches L360 Silver</x:v>
      </x:c>
      <x:c r="C612" s="8" t="n">
        <x:v>101</x:v>
      </x:c>
      <x:c r="D612" s="9" t="n">
        <x:v>402</x:v>
      </x:c>
      <x:c r="E612" s="9" t="n">
        <x:v>133.19</x:v>
      </x:c>
      <x:c r="F612" s="8" t="n">
        <x:f>C612*D612</x:f>
        <x:v>40602</x:v>
      </x:c>
      <x:c r="G612" s="8" t="n">
        <x:f>C612*E612</x:f>
        <x:v>13452.19</x:v>
      </x:c>
      <x:c r="H612" s="8" t="n">
        <x:f>F612-G612</x:f>
        <x:v>27149.809999999998</x:v>
      </x:c>
      <x:c r="I612" s="10" t="n">
        <x:f>H612/F612</x:f>
        <x:v>0.6686815920398009</x:v>
      </x:c>
    </x:row>
    <x:row r="613" ht="22" customHeight="1">
      <x:c r="A613" s="11" t="str">
        <x:v>1544</x:v>
      </x:c>
      <x:c r="B613" s="8" t="str">
        <x:v>The Phone Company PDA Phone Unlocked 3.7 inches M510 Silver</x:v>
      </x:c>
      <x:c r="C613" s="8" t="n">
        <x:v>113</x:v>
      </x:c>
      <x:c r="D613" s="9" t="n">
        <x:v>238</x:v>
      </x:c>
      <x:c r="E613" s="9" t="n">
        <x:v>109.45</x:v>
      </x:c>
      <x:c r="F613" s="8" t="n">
        <x:f>C613*D613</x:f>
        <x:v>26894</x:v>
      </x:c>
      <x:c r="G613" s="8" t="n">
        <x:f>C613*E613</x:f>
        <x:v>12367.85</x:v>
      </x:c>
      <x:c r="H613" s="8" t="n">
        <x:f>F613-G613</x:f>
        <x:v>14526.15</x:v>
      </x:c>
      <x:c r="I613" s="10" t="n">
        <x:f>H613/F613</x:f>
        <x:v>0.540126050420168</x:v>
      </x:c>
    </x:row>
    <x:row r="614" ht="22" customHeight="1">
      <x:c r="A614" s="11" t="str">
        <x:v>1545</x:v>
      </x:c>
      <x:c r="B614" s="8" t="str">
        <x:v>The Phone Company PDA Phone Unlocked 3.5 inches M530 Silver</x:v>
      </x:c>
      <x:c r="C614" s="8" t="n">
        <x:v>105</x:v>
      </x:c>
      <x:c r="D614" s="9" t="n">
        <x:v>268</x:v>
      </x:c>
      <x:c r="E614" s="9" t="n">
        <x:v>123.24</x:v>
      </x:c>
      <x:c r="F614" s="8" t="n">
        <x:f>C614*D614</x:f>
        <x:v>28140</x:v>
      </x:c>
      <x:c r="G614" s="8" t="n">
        <x:f>C614*E614</x:f>
        <x:v>12940.199999999999</x:v>
      </x:c>
      <x:c r="H614" s="8" t="n">
        <x:f>F614-G614</x:f>
        <x:v>15199.800000000001</x:v>
      </x:c>
      <x:c r="I614" s="10" t="n">
        <x:f>H614/F614</x:f>
        <x:v>0.5401492537313434</x:v>
      </x:c>
    </x:row>
    <x:row r="615" ht="22" customHeight="1">
      <x:c r="A615" s="11" t="str">
        <x:v>1546</x:v>
      </x:c>
      <x:c r="B615" s="8" t="str">
        <x:v>The Phone Company PDA Phone Unlocked 4.7 inches L550 Silver</x:v>
      </x:c>
      <x:c r="C615" s="8" t="n">
        <x:v>97</x:v>
      </x:c>
      <x:c r="D615" s="9" t="n">
        <x:v>302</x:v>
      </x:c>
      <x:c r="E615" s="9" t="n">
        <x:v>100.06</x:v>
      </x:c>
      <x:c r="F615" s="8" t="n">
        <x:f>C615*D615</x:f>
        <x:v>29294</x:v>
      </x:c>
      <x:c r="G615" s="8" t="n">
        <x:f>C615*E615</x:f>
        <x:v>9705.82</x:v>
      </x:c>
      <x:c r="H615" s="8" t="n">
        <x:f>F615-G615</x:f>
        <x:v>19588.18</x:v>
      </x:c>
      <x:c r="I615" s="10" t="n">
        <x:f>H615/F615</x:f>
        <x:v>0.6686754966887417</x:v>
      </x:c>
    </x:row>
    <x:row r="616" ht="22" customHeight="1">
      <x:c r="A616" s="11" t="str">
        <x:v>1547</x:v>
      </x:c>
      <x:c r="B616" s="8" t="str">
        <x:v>The Phone Company PDA Handheld 3.5 inch M610 Silver</x:v>
      </x:c>
      <x:c r="C616" s="8" t="n">
        <x:v>105</x:v>
      </x:c>
      <x:c r="D616" s="9" t="n">
        <x:v>255</x:v>
      </x:c>
      <x:c r="E616" s="9" t="n">
        <x:v>117.27</x:v>
      </x:c>
      <x:c r="F616" s="8" t="n">
        <x:f>C616*D616</x:f>
        <x:v>26775</x:v>
      </x:c>
      <x:c r="G616" s="8" t="n">
        <x:f>C616*E616</x:f>
        <x:v>12313.35</x:v>
      </x:c>
      <x:c r="H616" s="8" t="n">
        <x:f>F616-G616</x:f>
        <x:v>14461.65</x:v>
      </x:c>
      <x:c r="I616" s="10" t="n">
        <x:f>H616/F616</x:f>
        <x:v>0.5401176470588235</x:v>
      </x:c>
    </x:row>
    <x:row r="617" ht="22" customHeight="1">
      <x:c r="A617" s="11" t="str">
        <x:v>1548</x:v>
      </x:c>
      <x:c r="B617" s="8" t="str">
        <x:v>The Phone Company PDA Handheld 3.7 inch M630 Silver</x:v>
      </x:c>
      <x:c r="C617" s="8" t="n">
        <x:v>109</x:v>
      </x:c>
      <x:c r="D617" s="9" t="n">
        <x:v>266</x:v>
      </x:c>
      <x:c r="E617" s="9" t="n">
        <x:v>122.32</x:v>
      </x:c>
      <x:c r="F617" s="8" t="n">
        <x:f>C617*D617</x:f>
        <x:v>28994</x:v>
      </x:c>
      <x:c r="G617" s="8" t="n">
        <x:f>C617*E617</x:f>
        <x:v>13332.88</x:v>
      </x:c>
      <x:c r="H617" s="8" t="n">
        <x:f>F617-G617</x:f>
        <x:v>15661.12</x:v>
      </x:c>
      <x:c r="I617" s="10" t="n">
        <x:f>H617/F617</x:f>
        <x:v>0.5401503759398496</x:v>
      </x:c>
    </x:row>
    <x:row r="618" ht="22" customHeight="1">
      <x:c r="A618" s="11" t="str">
        <x:v>1549</x:v>
      </x:c>
      <x:c r="B618" s="8" t="str">
        <x:v>The Phone Company PDA Handheld 4.7 inch L650 Silver</x:v>
      </x:c>
      <x:c r="C618" s="8" t="n">
        <x:v>85</x:v>
      </x:c>
      <x:c r="D618" s="9" t="n">
        <x:v>389</x:v>
      </x:c>
      <x:c r="E618" s="9" t="n">
        <x:v>128.88</x:v>
      </x:c>
      <x:c r="F618" s="8" t="n">
        <x:f>C618*D618</x:f>
        <x:v>33065</x:v>
      </x:c>
      <x:c r="G618" s="8" t="n">
        <x:f>C618*E618</x:f>
        <x:v>10954.8</x:v>
      </x:c>
      <x:c r="H618" s="8" t="n">
        <x:f>F618-G618</x:f>
        <x:v>22110.2</x:v>
      </x:c>
      <x:c r="I618" s="10" t="n">
        <x:f>H618/F618</x:f>
        <x:v>0.6686889460154242</x:v>
      </x:c>
    </x:row>
    <x:row r="619" ht="22" customHeight="1">
      <x:c r="A619" s="11" t="str">
        <x:v>155</x:v>
      </x:c>
      <x:c r="B619" s="8" t="str">
        <x:v>Adventure Works 26" 720p LCD HDTV M140 White</x:v>
      </x:c>
      <x:c r="C619" s="8" t="n">
        <x:v>84</x:v>
      </x:c>
      <x:c r="D619" s="9" t="n">
        <x:v>469.97</x:v>
      </x:c>
      <x:c r="E619" s="9" t="n">
        <x:v>216.12</x:v>
      </x:c>
      <x:c r="F619" s="8" t="n">
        <x:f>C619*D619</x:f>
        <x:v>39477.48</x:v>
      </x:c>
      <x:c r="G619" s="8" t="n">
        <x:f>C619*E619</x:f>
        <x:v>18154.08</x:v>
      </x:c>
      <x:c r="H619" s="8" t="n">
        <x:f>F619-G619</x:f>
        <x:v>21323.4</x:v>
      </x:c>
      <x:c r="I619" s="10" t="n">
        <x:f>H619/F619</x:f>
        <x:v>0.5401408600548971</x:v>
      </x:c>
    </x:row>
    <x:row r="620" ht="22" customHeight="1">
      <x:c r="A620" s="11" t="str">
        <x:v>1550</x:v>
      </x:c>
      <x:c r="B620" s="8" t="str">
        <x:v>The Phone Company PDA Palm 3.5 inch M810 Silver</x:v>
      </x:c>
      <x:c r="C620" s="8" t="n">
        <x:v>110</x:v>
      </x:c>
      <x:c r="D620" s="9" t="n">
        <x:v>280</x:v>
      </x:c>
      <x:c r="E620" s="9" t="n">
        <x:v>128.76</x:v>
      </x:c>
      <x:c r="F620" s="8" t="n">
        <x:f>C620*D620</x:f>
        <x:v>30800</x:v>
      </x:c>
      <x:c r="G620" s="8" t="n">
        <x:f>C620*E620</x:f>
        <x:v>14163.599999999999</x:v>
      </x:c>
      <x:c r="H620" s="8" t="n">
        <x:f>F620-G620</x:f>
        <x:v>16636.4</x:v>
      </x:c>
      <x:c r="I620" s="10" t="n">
        <x:f>H620/F620</x:f>
        <x:v>0.5401428571428571</x:v>
      </x:c>
    </x:row>
    <x:row r="621" ht="22" customHeight="1">
      <x:c r="A621" s="11" t="str">
        <x:v>1551</x:v>
      </x:c>
      <x:c r="B621" s="8" t="str">
        <x:v>The Phone Company PDA Palm 3.7 inch M830 Silver</x:v>
      </x:c>
      <x:c r="C621" s="8" t="n">
        <x:v>76</x:v>
      </x:c>
      <x:c r="D621" s="9" t="n">
        <x:v>299</x:v>
      </x:c>
      <x:c r="E621" s="9" t="n">
        <x:v>137.5</x:v>
      </x:c>
      <x:c r="F621" s="8" t="n">
        <x:f>C621*D621</x:f>
        <x:v>22724</x:v>
      </x:c>
      <x:c r="G621" s="8" t="n">
        <x:f>C621*E621</x:f>
        <x:v>10450</x:v>
      </x:c>
      <x:c r="H621" s="8" t="n">
        <x:f>F621-G621</x:f>
        <x:v>12274</x:v>
      </x:c>
      <x:c r="I621" s="10" t="n">
        <x:f>H621/F621</x:f>
        <x:v>0.540133779264214</x:v>
      </x:c>
    </x:row>
    <x:row r="622" ht="22" customHeight="1">
      <x:c r="A622" s="11" t="str">
        <x:v>1552</x:v>
      </x:c>
      <x:c r="B622" s="8" t="str">
        <x:v>The Phone Company PDA Palm 4.7 inch L850 Silver</x:v>
      </x:c>
      <x:c r="C622" s="8" t="n">
        <x:v>105</x:v>
      </x:c>
      <x:c r="D622" s="9" t="n">
        <x:v>398</x:v>
      </x:c>
      <x:c r="E622" s="9" t="n">
        <x:v>131.87</x:v>
      </x:c>
      <x:c r="F622" s="8" t="n">
        <x:f>C622*D622</x:f>
        <x:v>41790</x:v>
      </x:c>
      <x:c r="G622" s="8" t="n">
        <x:f>C622*E622</x:f>
        <x:v>13846.35</x:v>
      </x:c>
      <x:c r="H622" s="8" t="n">
        <x:f>F622-G622</x:f>
        <x:v>27943.65</x:v>
      </x:c>
      <x:c r="I622" s="10" t="n">
        <x:f>H622/F622</x:f>
        <x:v>0.6686683417085427</x:v>
      </x:c>
    </x:row>
    <x:row r="623" ht="22" customHeight="1">
      <x:c r="A623" s="11" t="str">
        <x:v>1553</x:v>
      </x:c>
      <x:c r="B623" s="8" t="str">
        <x:v>The Phone Company PDA GPS Phone 3.5 inch M910 Silver</x:v>
      </x:c>
      <x:c r="C623" s="8" t="n">
        <x:v>63</x:v>
      </x:c>
      <x:c r="D623" s="9" t="n">
        <x:v>268</x:v>
      </x:c>
      <x:c r="E623" s="9" t="n">
        <x:v>123.24</x:v>
      </x:c>
      <x:c r="F623" s="8" t="n">
        <x:f>C623*D623</x:f>
        <x:v>16884</x:v>
      </x:c>
      <x:c r="G623" s="8" t="n">
        <x:f>C623*E623</x:f>
        <x:v>7764.12</x:v>
      </x:c>
      <x:c r="H623" s="8" t="n">
        <x:f>F623-G623</x:f>
        <x:v>9119.880000000001</x:v>
      </x:c>
      <x:c r="I623" s="10" t="n">
        <x:f>H623/F623</x:f>
        <x:v>0.5401492537313434</x:v>
      </x:c>
    </x:row>
    <x:row r="624" ht="22" customHeight="1">
      <x:c r="A624" s="11" t="str">
        <x:v>1554</x:v>
      </x:c>
      <x:c r="B624" s="8" t="str">
        <x:v>The Phone Company PDA GPS Phone 3.7 inch M930 Silver</x:v>
      </x:c>
      <x:c r="C624" s="8" t="n">
        <x:v>110</x:v>
      </x:c>
      <x:c r="D624" s="9" t="n">
        <x:v>298</x:v>
      </x:c>
      <x:c r="E624" s="9" t="n">
        <x:v>137.04</x:v>
      </x:c>
      <x:c r="F624" s="8" t="n">
        <x:f>C624*D624</x:f>
        <x:v>32780</x:v>
      </x:c>
      <x:c r="G624" s="8" t="n">
        <x:f>C624*E624</x:f>
        <x:v>15074.4</x:v>
      </x:c>
      <x:c r="H624" s="8" t="n">
        <x:f>F624-G624</x:f>
        <x:v>17705.6</x:v>
      </x:c>
      <x:c r="I624" s="10" t="n">
        <x:f>H624/F624</x:f>
        <x:v>0.5401342281879195</x:v>
      </x:c>
    </x:row>
    <x:row r="625" ht="22" customHeight="1">
      <x:c r="A625" s="11" t="str">
        <x:v>1555</x:v>
      </x:c>
      <x:c r="B625" s="8" t="str">
        <x:v>The Phone Company PDA GPS Phone 4.7 inch L950 Silver</x:v>
      </x:c>
      <x:c r="C625" s="8" t="n">
        <x:v>110</x:v>
      </x:c>
      <x:c r="D625" s="9" t="n">
        <x:v>368</x:v>
      </x:c>
      <x:c r="E625" s="9" t="n">
        <x:v>121.93</x:v>
      </x:c>
      <x:c r="F625" s="8" t="n">
        <x:f>C625*D625</x:f>
        <x:v>40480</x:v>
      </x:c>
      <x:c r="G625" s="8" t="n">
        <x:f>C625*E625</x:f>
        <x:v>13412.300000000001</x:v>
      </x:c>
      <x:c r="H625" s="8" t="n">
        <x:f>F625-G625</x:f>
        <x:v>27067.699999999997</x:v>
      </x:c>
      <x:c r="I625" s="10" t="n">
        <x:f>H625/F625</x:f>
        <x:v>0.6686684782608695</x:v>
      </x:c>
    </x:row>
    <x:row r="626" ht="22" customHeight="1">
      <x:c r="A626" s="11" t="str">
        <x:v>1556</x:v>
      </x:c>
      <x:c r="B626" s="8" t="str">
        <x:v>The Phone Company PDA Wifi 3.5-inch M200 White</x:v>
      </x:c>
      <x:c r="C626" s="8" t="n">
        <x:v>135</x:v>
      </x:c>
      <x:c r="D626" s="9" t="n">
        <x:v>280</x:v>
      </x:c>
      <x:c r="E626" s="9" t="n">
        <x:v>128.76</x:v>
      </x:c>
      <x:c r="F626" s="8" t="n">
        <x:f>C626*D626</x:f>
        <x:v>37800</x:v>
      </x:c>
      <x:c r="G626" s="8" t="n">
        <x:f>C626*E626</x:f>
        <x:v>17382.6</x:v>
      </x:c>
      <x:c r="H626" s="8" t="n">
        <x:f>F626-G626</x:f>
        <x:v>20417.4</x:v>
      </x:c>
      <x:c r="I626" s="10" t="n">
        <x:f>H626/F626</x:f>
        <x:v>0.5401428571428571</x:v>
      </x:c>
    </x:row>
    <x:row r="627" ht="22" customHeight="1">
      <x:c r="A627" s="11" t="str">
        <x:v>1557</x:v>
      </x:c>
      <x:c r="B627" s="8" t="str">
        <x:v>The Phone Company PDA Wifi 3.7-inch M250 White</x:v>
      </x:c>
      <x:c r="C627" s="8" t="n">
        <x:v>108</x:v>
      </x:c>
      <x:c r="D627" s="9" t="n">
        <x:v>310</x:v>
      </x:c>
      <x:c r="E627" s="9" t="n">
        <x:v>142.56</x:v>
      </x:c>
      <x:c r="F627" s="8" t="n">
        <x:f>C627*D627</x:f>
        <x:v>33480</x:v>
      </x:c>
      <x:c r="G627" s="8" t="n">
        <x:f>C627*E627</x:f>
        <x:v>15396.48</x:v>
      </x:c>
      <x:c r="H627" s="8" t="n">
        <x:f>F627-G627</x:f>
        <x:v>18083.52</x:v>
      </x:c>
      <x:c r="I627" s="10" t="n">
        <x:f>H627/F627</x:f>
        <x:v>0.5401290322580645</x:v>
      </x:c>
    </x:row>
    <x:row r="628" ht="22" customHeight="1">
      <x:c r="A628" s="11" t="str">
        <x:v>1558</x:v>
      </x:c>
      <x:c r="B628" s="8" t="str">
        <x:v>The Phone Company PDA Wifi 4.7-inch L290 White</x:v>
      </x:c>
      <x:c r="C628" s="8" t="n">
        <x:v>117</x:v>
      </x:c>
      <x:c r="D628" s="9" t="n">
        <x:v>380</x:v>
      </x:c>
      <x:c r="E628" s="9" t="n">
        <x:v>125.9</x:v>
      </x:c>
      <x:c r="F628" s="8" t="n">
        <x:f>C628*D628</x:f>
        <x:v>44460</x:v>
      </x:c>
      <x:c r="G628" s="8" t="n">
        <x:f>C628*E628</x:f>
        <x:v>14730.300000000001</x:v>
      </x:c>
      <x:c r="H628" s="8" t="n">
        <x:f>F628-G628</x:f>
        <x:v>29729.699999999997</x:v>
      </x:c>
      <x:c r="I628" s="10" t="n">
        <x:f>H628/F628</x:f>
        <x:v>0.6686842105263158</x:v>
      </x:c>
    </x:row>
    <x:row r="629" ht="22" customHeight="1">
      <x:c r="A629" s="11" t="str">
        <x:v>1559</x:v>
      </x:c>
      <x:c r="B629" s="8" t="str">
        <x:v>The Phone Company PDA Phone 3.5 inches M320 White</x:v>
      </x:c>
      <x:c r="C629" s="8" t="n">
        <x:v>86</x:v>
      </x:c>
      <x:c r="D629" s="9" t="n">
        <x:v>299</x:v>
      </x:c>
      <x:c r="E629" s="9" t="n">
        <x:v>137.5</x:v>
      </x:c>
      <x:c r="F629" s="8" t="n">
        <x:f>C629*D629</x:f>
        <x:v>25714</x:v>
      </x:c>
      <x:c r="G629" s="8" t="n">
        <x:f>C629*E629</x:f>
        <x:v>11825</x:v>
      </x:c>
      <x:c r="H629" s="8" t="n">
        <x:f>F629-G629</x:f>
        <x:v>13889</x:v>
      </x:c>
      <x:c r="I629" s="10" t="n">
        <x:f>H629/F629</x:f>
        <x:v>0.540133779264214</x:v>
      </x:c>
    </x:row>
    <x:row r="630" ht="22" customHeight="1">
      <x:c r="A630" s="11" t="str">
        <x:v>156</x:v>
      </x:c>
      <x:c r="B630" s="8" t="str">
        <x:v>Adventure Works 26" 720p LCD HDTV M140 Brown</x:v>
      </x:c>
      <x:c r="C630" s="8" t="n">
        <x:v>114</x:v>
      </x:c>
      <x:c r="D630" s="9" t="n">
        <x:v>469.97</x:v>
      </x:c>
      <x:c r="E630" s="9" t="n">
        <x:v>216.12</x:v>
      </x:c>
      <x:c r="F630" s="8" t="n">
        <x:f>C630*D630</x:f>
        <x:v>53576.58</x:v>
      </x:c>
      <x:c r="G630" s="8" t="n">
        <x:f>C630*E630</x:f>
        <x:v>24637.68</x:v>
      </x:c>
      <x:c r="H630" s="8" t="n">
        <x:f>F630-G630</x:f>
        <x:v>28938.9</x:v>
      </x:c>
      <x:c r="I630" s="10" t="n">
        <x:f>H630/F630</x:f>
        <x:v>0.5401408600548971</x:v>
      </x:c>
    </x:row>
    <x:row r="631" ht="22" customHeight="1">
      <x:c r="A631" s="11" t="str">
        <x:v>1560</x:v>
      </x:c>
      <x:c r="B631" s="8" t="str">
        <x:v>The Phone Company PDA Phone 3.7 inches M340 White</x:v>
      </x:c>
      <x:c r="C631" s="8" t="n">
        <x:v>74</x:v>
      </x:c>
      <x:c r="D631" s="9" t="n">
        <x:v>330</x:v>
      </x:c>
      <x:c r="E631" s="9" t="n">
        <x:v>151.76</x:v>
      </x:c>
      <x:c r="F631" s="8" t="n">
        <x:f>C631*D631</x:f>
        <x:v>24420</x:v>
      </x:c>
      <x:c r="G631" s="8" t="n">
        <x:f>C631*E631</x:f>
        <x:v>11230.24</x:v>
      </x:c>
      <x:c r="H631" s="8" t="n">
        <x:f>F631-G631</x:f>
        <x:v>13189.76</x:v>
      </x:c>
      <x:c r="I631" s="10" t="n">
        <x:f>H631/F631</x:f>
        <x:v>0.5401212121212121</x:v>
      </x:c>
    </x:row>
    <x:row r="632" ht="22" customHeight="1">
      <x:c r="A632" s="11" t="str">
        <x:v>1561</x:v>
      </x:c>
      <x:c r="B632" s="8" t="str">
        <x:v>The Phone Company PDA Phone 4.7 inches L360 White</x:v>
      </x:c>
      <x:c r="C632" s="8" t="n">
        <x:v>98</x:v>
      </x:c>
      <x:c r="D632" s="9" t="n">
        <x:v>402</x:v>
      </x:c>
      <x:c r="E632" s="9" t="n">
        <x:v>133.19</x:v>
      </x:c>
      <x:c r="F632" s="8" t="n">
        <x:f>C632*D632</x:f>
        <x:v>39396</x:v>
      </x:c>
      <x:c r="G632" s="8" t="n">
        <x:f>C632*E632</x:f>
        <x:v>13052.619999999999</x:v>
      </x:c>
      <x:c r="H632" s="8" t="n">
        <x:f>F632-G632</x:f>
        <x:v>26343.38</x:v>
      </x:c>
      <x:c r="I632" s="10" t="n">
        <x:f>H632/F632</x:f>
        <x:v>0.668681592039801</x:v>
      </x:c>
    </x:row>
    <x:row r="633" ht="22" customHeight="1">
      <x:c r="A633" s="11" t="str">
        <x:v>1562</x:v>
      </x:c>
      <x:c r="B633" s="8" t="str">
        <x:v>The Phone Company PDA Phone Unlocked 3.7 inches M510 White</x:v>
      </x:c>
      <x:c r="C633" s="8" t="n">
        <x:v>82</x:v>
      </x:c>
      <x:c r="D633" s="9" t="n">
        <x:v>238</x:v>
      </x:c>
      <x:c r="E633" s="9" t="n">
        <x:v>109.45</x:v>
      </x:c>
      <x:c r="F633" s="8" t="n">
        <x:f>C633*D633</x:f>
        <x:v>19516</x:v>
      </x:c>
      <x:c r="G633" s="8" t="n">
        <x:f>C633*E633</x:f>
        <x:v>8974.9</x:v>
      </x:c>
      <x:c r="H633" s="8" t="n">
        <x:f>F633-G633</x:f>
        <x:v>10541.1</x:v>
      </x:c>
      <x:c r="I633" s="10" t="n">
        <x:f>H633/F633</x:f>
        <x:v>0.540126050420168</x:v>
      </x:c>
    </x:row>
    <x:row r="634" ht="22" customHeight="1">
      <x:c r="A634" s="11" t="str">
        <x:v>1563</x:v>
      </x:c>
      <x:c r="B634" s="8" t="str">
        <x:v>The Phone Company PDA Phone Unlocked 3.5 inches M530 White</x:v>
      </x:c>
      <x:c r="C634" s="8" t="n">
        <x:v>125</x:v>
      </x:c>
      <x:c r="D634" s="9" t="n">
        <x:v>268</x:v>
      </x:c>
      <x:c r="E634" s="9" t="n">
        <x:v>123.24</x:v>
      </x:c>
      <x:c r="F634" s="8" t="n">
        <x:f>C634*D634</x:f>
        <x:v>33500</x:v>
      </x:c>
      <x:c r="G634" s="8" t="n">
        <x:f>C634*E634</x:f>
        <x:v>15405</x:v>
      </x:c>
      <x:c r="H634" s="8" t="n">
        <x:f>F634-G634</x:f>
        <x:v>18095</x:v>
      </x:c>
      <x:c r="I634" s="10" t="n">
        <x:f>H634/F634</x:f>
        <x:v>0.5401492537313433</x:v>
      </x:c>
    </x:row>
    <x:row r="635" ht="22" customHeight="1">
      <x:c r="A635" s="11" t="str">
        <x:v>1564</x:v>
      </x:c>
      <x:c r="B635" s="8" t="str">
        <x:v>The Phone Company PDA Phone Unlocked 4.7 inches L550 White</x:v>
      </x:c>
      <x:c r="C635" s="8" t="n">
        <x:v>89</x:v>
      </x:c>
      <x:c r="D635" s="9" t="n">
        <x:v>302</x:v>
      </x:c>
      <x:c r="E635" s="9" t="n">
        <x:v>100.06</x:v>
      </x:c>
      <x:c r="F635" s="8" t="n">
        <x:f>C635*D635</x:f>
        <x:v>26878</x:v>
      </x:c>
      <x:c r="G635" s="8" t="n">
        <x:f>C635*E635</x:f>
        <x:v>8905.34</x:v>
      </x:c>
      <x:c r="H635" s="8" t="n">
        <x:f>F635-G635</x:f>
        <x:v>17972.66</x:v>
      </x:c>
      <x:c r="I635" s="10" t="n">
        <x:f>H635/F635</x:f>
        <x:v>0.6686754966887417</x:v>
      </x:c>
    </x:row>
    <x:row r="636" ht="22" customHeight="1">
      <x:c r="A636" s="11" t="str">
        <x:v>1565</x:v>
      </x:c>
      <x:c r="B636" s="8" t="str">
        <x:v>The Phone Company PDA Handheld 3.5 inch M610 White</x:v>
      </x:c>
      <x:c r="C636" s="8" t="n">
        <x:v>102</x:v>
      </x:c>
      <x:c r="D636" s="9" t="n">
        <x:v>255</x:v>
      </x:c>
      <x:c r="E636" s="9" t="n">
        <x:v>117.27</x:v>
      </x:c>
      <x:c r="F636" s="8" t="n">
        <x:f>C636*D636</x:f>
        <x:v>26010</x:v>
      </x:c>
      <x:c r="G636" s="8" t="n">
        <x:f>C636*E636</x:f>
        <x:v>11961.539999999999</x:v>
      </x:c>
      <x:c r="H636" s="8" t="n">
        <x:f>F636-G636</x:f>
        <x:v>14048.460000000001</x:v>
      </x:c>
      <x:c r="I636" s="10" t="n">
        <x:f>H636/F636</x:f>
        <x:v>0.5401176470588236</x:v>
      </x:c>
    </x:row>
    <x:row r="637" ht="22" customHeight="1">
      <x:c r="A637" s="11" t="str">
        <x:v>1566</x:v>
      </x:c>
      <x:c r="B637" s="8" t="str">
        <x:v>The Phone Company PDA Handheld 3.7 inch M630 White</x:v>
      </x:c>
      <x:c r="C637" s="8" t="n">
        <x:v>97</x:v>
      </x:c>
      <x:c r="D637" s="9" t="n">
        <x:v>266</x:v>
      </x:c>
      <x:c r="E637" s="9" t="n">
        <x:v>122.32</x:v>
      </x:c>
      <x:c r="F637" s="8" t="n">
        <x:f>C637*D637</x:f>
        <x:v>25802</x:v>
      </x:c>
      <x:c r="G637" s="8" t="n">
        <x:f>C637*E637</x:f>
        <x:v>11865.039999999999</x:v>
      </x:c>
      <x:c r="H637" s="8" t="n">
        <x:f>F637-G637</x:f>
        <x:v>13936.960000000001</x:v>
      </x:c>
      <x:c r="I637" s="10" t="n">
        <x:f>H637/F637</x:f>
        <x:v>0.5401503759398497</x:v>
      </x:c>
    </x:row>
    <x:row r="638" ht="22" customHeight="1">
      <x:c r="A638" s="11" t="str">
        <x:v>1567</x:v>
      </x:c>
      <x:c r="B638" s="8" t="str">
        <x:v>The Phone Company PDA Handheld 4.7 inch L650 White</x:v>
      </x:c>
      <x:c r="C638" s="8" t="n">
        <x:v>102</x:v>
      </x:c>
      <x:c r="D638" s="9" t="n">
        <x:v>389</x:v>
      </x:c>
      <x:c r="E638" s="9" t="n">
        <x:v>128.88</x:v>
      </x:c>
      <x:c r="F638" s="8" t="n">
        <x:f>C638*D638</x:f>
        <x:v>39678</x:v>
      </x:c>
      <x:c r="G638" s="8" t="n">
        <x:f>C638*E638</x:f>
        <x:v>13145.76</x:v>
      </x:c>
      <x:c r="H638" s="8" t="n">
        <x:f>F638-G638</x:f>
        <x:v>26532.239999999998</x:v>
      </x:c>
      <x:c r="I638" s="10" t="n">
        <x:f>H638/F638</x:f>
        <x:v>0.6686889460154242</x:v>
      </x:c>
    </x:row>
    <x:row r="639" ht="22" customHeight="1">
      <x:c r="A639" s="11" t="str">
        <x:v>1568</x:v>
      </x:c>
      <x:c r="B639" s="8" t="str">
        <x:v>The Phone Company PDA Palm 3.5 inch M810 White</x:v>
      </x:c>
      <x:c r="C639" s="8" t="n">
        <x:v>64</x:v>
      </x:c>
      <x:c r="D639" s="9" t="n">
        <x:v>280</x:v>
      </x:c>
      <x:c r="E639" s="9" t="n">
        <x:v>128.76</x:v>
      </x:c>
      <x:c r="F639" s="8" t="n">
        <x:f>C639*D639</x:f>
        <x:v>17920</x:v>
      </x:c>
      <x:c r="G639" s="8" t="n">
        <x:f>C639*E639</x:f>
        <x:v>8240.64</x:v>
      </x:c>
      <x:c r="H639" s="8" t="n">
        <x:f>F639-G639</x:f>
        <x:v>9679.36</x:v>
      </x:c>
      <x:c r="I639" s="10" t="n">
        <x:f>H639/F639</x:f>
        <x:v>0.5401428571428571</x:v>
      </x:c>
    </x:row>
    <x:row r="640" ht="22" customHeight="1">
      <x:c r="A640" s="11" t="str">
        <x:v>1569</x:v>
      </x:c>
      <x:c r="B640" s="8" t="str">
        <x:v>The Phone Company PDA Palm 3.7 inch M830 White</x:v>
      </x:c>
      <x:c r="C640" s="8" t="n">
        <x:v>117</x:v>
      </x:c>
      <x:c r="D640" s="9" t="n">
        <x:v>299</x:v>
      </x:c>
      <x:c r="E640" s="9" t="n">
        <x:v>137.5</x:v>
      </x:c>
      <x:c r="F640" s="8" t="n">
        <x:f>C640*D640</x:f>
        <x:v>34983</x:v>
      </x:c>
      <x:c r="G640" s="8" t="n">
        <x:f>C640*E640</x:f>
        <x:v>16087.5</x:v>
      </x:c>
      <x:c r="H640" s="8" t="n">
        <x:f>F640-G640</x:f>
        <x:v>18895.5</x:v>
      </x:c>
      <x:c r="I640" s="10" t="n">
        <x:f>H640/F640</x:f>
        <x:v>0.540133779264214</x:v>
      </x:c>
    </x:row>
    <x:row r="641" ht="22" customHeight="1">
      <x:c r="A641" s="11" t="str">
        <x:v>157</x:v>
      </x:c>
      <x:c r="B641" s="8" t="str">
        <x:v>Adventure Works 37" 1080p LCD HDTV M150W Silver</x:v>
      </x:c>
      <x:c r="C641" s="8" t="n">
        <x:v>147</x:v>
      </x:c>
      <x:c r="D641" s="9" t="n">
        <x:v>1099.99</x:v>
      </x:c>
      <x:c r="E641" s="9" t="n">
        <x:v>505.85</x:v>
      </x:c>
      <x:c r="F641" s="8" t="n">
        <x:f>C641*D641</x:f>
        <x:v>161698.53</x:v>
      </x:c>
      <x:c r="G641" s="8" t="n">
        <x:f>C641*E641</x:f>
        <x:v>74359.95</x:v>
      </x:c>
      <x:c r="H641" s="8" t="n">
        <x:f>F641-G641</x:f>
        <x:v>87338.58</x:v>
      </x:c>
      <x:c r="I641" s="10" t="n">
        <x:f>H641/F641</x:f>
        <x:v>0.5401321830198457</x:v>
      </x:c>
    </x:row>
    <x:row r="642" ht="22" customHeight="1">
      <x:c r="A642" s="11" t="str">
        <x:v>1570</x:v>
      </x:c>
      <x:c r="B642" s="8" t="str">
        <x:v>The Phone Company PDA Palm 4.7 inch L850 White</x:v>
      </x:c>
      <x:c r="C642" s="8" t="n">
        <x:v>81</x:v>
      </x:c>
      <x:c r="D642" s="9" t="n">
        <x:v>398</x:v>
      </x:c>
      <x:c r="E642" s="9" t="n">
        <x:v>131.87</x:v>
      </x:c>
      <x:c r="F642" s="8" t="n">
        <x:f>C642*D642</x:f>
        <x:v>32238</x:v>
      </x:c>
      <x:c r="G642" s="8" t="n">
        <x:f>C642*E642</x:f>
        <x:v>10681.470000000001</x:v>
      </x:c>
      <x:c r="H642" s="8" t="n">
        <x:f>F642-G642</x:f>
        <x:v>21556.53</x:v>
      </x:c>
      <x:c r="I642" s="10" t="n">
        <x:f>H642/F642</x:f>
        <x:v>0.6686683417085427</x:v>
      </x:c>
    </x:row>
    <x:row r="643" ht="22" customHeight="1">
      <x:c r="A643" s="11" t="str">
        <x:v>1571</x:v>
      </x:c>
      <x:c r="B643" s="8" t="str">
        <x:v>SV DVD Player M100 Black</x:v>
      </x:c>
      <x:c r="C643" s="8" t="n">
        <x:v>334</x:v>
      </x:c>
      <x:c r="D643" s="9" t="n">
        <x:v>56.99</x:v>
      </x:c>
      <x:c r="E643" s="9" t="n">
        <x:v>26.21</x:v>
      </x:c>
      <x:c r="F643" s="8" t="n">
        <x:f>C643*D643</x:f>
        <x:v>19034.66</x:v>
      </x:c>
      <x:c r="G643" s="8" t="n">
        <x:f>C643*E643</x:f>
        <x:v>8754.14</x:v>
      </x:c>
      <x:c r="H643" s="8" t="n">
        <x:f>F643-G643</x:f>
        <x:v>10280.52</x:v>
      </x:c>
      <x:c r="I643" s="10" t="n">
        <x:f>H643/F643</x:f>
        <x:v>0.5400947534655203</x:v>
      </x:c>
    </x:row>
    <x:row r="644" ht="22" customHeight="1">
      <x:c r="A644" s="11" t="str">
        <x:v>1572</x:v>
      </x:c>
      <x:c r="B644" s="8" t="str">
        <x:v>SV DVD Player M110 Silver</x:v>
      </x:c>
      <x:c r="C644" s="8" t="n">
        <x:v>306</x:v>
      </x:c>
      <x:c r="D644" s="9" t="n">
        <x:v>57.99</x:v>
      </x:c>
      <x:c r="E644" s="9" t="n">
        <x:v>26.67</x:v>
      </x:c>
      <x:c r="F644" s="8" t="n">
        <x:f>C644*D644</x:f>
        <x:v>17744.940000000002</x:v>
      </x:c>
      <x:c r="G644" s="8" t="n">
        <x:f>C644*E644</x:f>
        <x:v>8161.02</x:v>
      </x:c>
      <x:c r="H644" s="8" t="n">
        <x:f>F644-G644</x:f>
        <x:v>9583.920000000002</x:v>
      </x:c>
      <x:c r="I644" s="10" t="n">
        <x:f>H644/F644</x:f>
        <x:v>0.5400931195033627</x:v>
      </x:c>
    </x:row>
    <x:row r="645" ht="22" customHeight="1">
      <x:c r="A645" s="11" t="str">
        <x:v>1573</x:v>
      </x:c>
      <x:c r="B645" s="8" t="str">
        <x:v>SV DVD Player M120 White</x:v>
      </x:c>
      <x:c r="C645" s="8" t="n">
        <x:v>404</x:v>
      </x:c>
      <x:c r="D645" s="9" t="n">
        <x:v>58.99</x:v>
      </x:c>
      <x:c r="E645" s="9" t="n">
        <x:v>27.13</x:v>
      </x:c>
      <x:c r="F645" s="8" t="n">
        <x:f>C645*D645</x:f>
        <x:v>23831.96</x:v>
      </x:c>
      <x:c r="G645" s="8" t="n">
        <x:f>C645*E645</x:f>
        <x:v>10960.52</x:v>
      </x:c>
      <x:c r="H645" s="8" t="n">
        <x:f>F645-G645</x:f>
        <x:v>12871.439999999999</x:v>
      </x:c>
      <x:c r="I645" s="10" t="n">
        <x:f>H645/F645</x:f>
        <x:v>0.5400915409391422</x:v>
      </x:c>
    </x:row>
    <x:row r="646" ht="22" customHeight="1">
      <x:c r="A646" s="11" t="str">
        <x:v>1574</x:v>
      </x:c>
      <x:c r="B646" s="8" t="str">
        <x:v>SV DVD Player M130 Grey</x:v>
      </x:c>
      <x:c r="C646" s="8" t="n">
        <x:v>259</x:v>
      </x:c>
      <x:c r="D646" s="9" t="n">
        <x:v>59.99</x:v>
      </x:c>
      <x:c r="E646" s="9" t="n">
        <x:v>27.59</x:v>
      </x:c>
      <x:c r="F646" s="8" t="n">
        <x:f>C646*D646</x:f>
        <x:v>15537.41</x:v>
      </x:c>
      <x:c r="G646" s="8" t="n">
        <x:f>C646*E646</x:f>
        <x:v>7145.81</x:v>
      </x:c>
      <x:c r="H646" s="8" t="n">
        <x:f>F646-G646</x:f>
        <x:v>8391.599999999999</x:v>
      </x:c>
      <x:c r="I646" s="10" t="n">
        <x:f>H646/F646</x:f>
        <x:v>0.5400900150025003</x:v>
      </x:c>
    </x:row>
    <x:row r="647" ht="22" customHeight="1">
      <x:c r="A647" s="11" t="str">
        <x:v>1575</x:v>
      </x:c>
      <x:c r="B647" s="8" t="str">
        <x:v>SV DVD Player M140 Gold</x:v>
      </x:c>
      <x:c r="C647" s="8" t="n">
        <x:v>275</x:v>
      </x:c>
      <x:c r="D647" s="9" t="n">
        <x:v>60.99</x:v>
      </x:c>
      <x:c r="E647" s="9" t="n">
        <x:v>28.05</x:v>
      </x:c>
      <x:c r="F647" s="8" t="n">
        <x:f>C647*D647</x:f>
        <x:v>16772.25</x:v>
      </x:c>
      <x:c r="G647" s="8" t="n">
        <x:f>C647*E647</x:f>
        <x:v>7713.75</x:v>
      </x:c>
      <x:c r="H647" s="8" t="n">
        <x:f>F647-G647</x:f>
        <x:v>9058.5</x:v>
      </x:c>
      <x:c r="I647" s="10" t="n">
        <x:f>H647/F647</x:f>
        <x:v>0.5400885391047713</x:v>
      </x:c>
    </x:row>
    <x:row r="648" ht="22" customHeight="1">
      <x:c r="A648" s="11" t="str">
        <x:v>1576</x:v>
      </x:c>
      <x:c r="B648" s="8" t="str">
        <x:v>SV DVD Movies E100 Yellow</x:v>
      </x:c>
      <x:c r="C648" s="8" t="n">
        <x:v>292</x:v>
      </x:c>
      <x:c r="D648" s="9" t="n">
        <x:v>12.99</x:v>
      </x:c>
      <x:c r="E648" s="9" t="n">
        <x:v>6.62</x:v>
      </x:c>
      <x:c r="F648" s="8" t="n">
        <x:f>C648*D648</x:f>
        <x:v>3793.08</x:v>
      </x:c>
      <x:c r="G648" s="8" t="n">
        <x:f>C648*E648</x:f>
        <x:v>1933.04</x:v>
      </x:c>
      <x:c r="H648" s="8" t="n">
        <x:f>F648-G648</x:f>
        <x:v>1860.04</x:v>
      </x:c>
      <x:c r="I648" s="10" t="n">
        <x:f>H648/F648</x:f>
        <x:v>0.49037721324095457</x:v>
      </x:c>
    </x:row>
    <x:row r="649" ht="22" customHeight="1">
      <x:c r="A649" s="11" t="str">
        <x:v>1577</x:v>
      </x:c>
      <x:c r="B649" s="8" t="str">
        <x:v>SV DVD Recorder L200 Black</x:v>
      </x:c>
      <x:c r="C649" s="8" t="n">
        <x:v>290</x:v>
      </x:c>
      <x:c r="D649" s="9" t="n">
        <x:v>219</x:v>
      </x:c>
      <x:c r="E649" s="9" t="n">
        <x:v>72.56</x:v>
      </x:c>
      <x:c r="F649" s="8" t="n">
        <x:f>C649*D649</x:f>
        <x:v>63510</x:v>
      </x:c>
      <x:c r="G649" s="8" t="n">
        <x:f>C649*E649</x:f>
        <x:v>21042.4</x:v>
      </x:c>
      <x:c r="H649" s="8" t="n">
        <x:f>F649-G649</x:f>
        <x:v>42467.6</x:v>
      </x:c>
      <x:c r="I649" s="10" t="n">
        <x:f>H649/F649</x:f>
        <x:v>0.668675799086758</x:v>
      </x:c>
    </x:row>
    <x:row r="650" ht="22" customHeight="1">
      <x:c r="A650" s="11" t="str">
        <x:v>1578</x:v>
      </x:c>
      <x:c r="B650" s="8" t="str">
        <x:v>SV DVD Recorder L210 Silver</x:v>
      </x:c>
      <x:c r="C650" s="8" t="n">
        <x:v>372</x:v>
      </x:c>
      <x:c r="D650" s="9" t="n">
        <x:v>219</x:v>
      </x:c>
      <x:c r="E650" s="9" t="n">
        <x:v>72.56</x:v>
      </x:c>
      <x:c r="F650" s="8" t="n">
        <x:f>C650*D650</x:f>
        <x:v>81468</x:v>
      </x:c>
      <x:c r="G650" s="8" t="n">
        <x:f>C650*E650</x:f>
        <x:v>26992.32</x:v>
      </x:c>
      <x:c r="H650" s="8" t="n">
        <x:f>F650-G650</x:f>
        <x:v>54475.68</x:v>
      </x:c>
      <x:c r="I650" s="10" t="n">
        <x:f>H650/F650</x:f>
        <x:v>0.668675799086758</x:v>
      </x:c>
    </x:row>
    <x:row r="651" ht="22" customHeight="1">
      <x:c r="A651" s="11" t="str">
        <x:v>1579</x:v>
      </x:c>
      <x:c r="B651" s="8" t="str">
        <x:v>SV DVD Recorder L220 White</x:v>
      </x:c>
      <x:c r="C651" s="8" t="n">
        <x:v>296</x:v>
      </x:c>
      <x:c r="D651" s="9" t="n">
        <x:v>219</x:v>
      </x:c>
      <x:c r="E651" s="9" t="n">
        <x:v>72.56</x:v>
      </x:c>
      <x:c r="F651" s="8" t="n">
        <x:f>C651*D651</x:f>
        <x:v>64824</x:v>
      </x:c>
      <x:c r="G651" s="8" t="n">
        <x:f>C651*E651</x:f>
        <x:v>21477.760000000002</x:v>
      </x:c>
      <x:c r="H651" s="8" t="n">
        <x:f>F651-G651</x:f>
        <x:v>43346.24</x:v>
      </x:c>
      <x:c r="I651" s="10" t="n">
        <x:f>H651/F651</x:f>
        <x:v>0.668675799086758</x:v>
      </x:c>
    </x:row>
    <x:row r="652" ht="22" customHeight="1">
      <x:c r="A652" s="11" t="str">
        <x:v>158</x:v>
      </x:c>
      <x:c r="B652" s="8" t="str">
        <x:v>Adventure Works 37" 1080p LCD HDTV M150W Black</x:v>
      </x:c>
      <x:c r="C652" s="8" t="n">
        <x:v>118</x:v>
      </x:c>
      <x:c r="D652" s="9" t="n">
        <x:v>1099.99</x:v>
      </x:c>
      <x:c r="E652" s="9" t="n">
        <x:v>505.85</x:v>
      </x:c>
      <x:c r="F652" s="8" t="n">
        <x:f>C652*D652</x:f>
        <x:v>129798.82</x:v>
      </x:c>
      <x:c r="G652" s="8" t="n">
        <x:f>C652*E652</x:f>
        <x:v>59690.3</x:v>
      </x:c>
      <x:c r="H652" s="8" t="n">
        <x:f>F652-G652</x:f>
        <x:v>70108.52</x:v>
      </x:c>
      <x:c r="I652" s="10" t="n">
        <x:f>H652/F652</x:f>
        <x:v>0.5401321830198457</x:v>
      </x:c>
    </x:row>
    <x:row r="653" ht="22" customHeight="1">
      <x:c r="A653" s="11" t="str">
        <x:v>1580</x:v>
      </x:c>
      <x:c r="B653" s="8" t="str">
        <x:v>SV DVD Recorder L230 Grey</x:v>
      </x:c>
      <x:c r="C653" s="8" t="n">
        <x:v>295</x:v>
      </x:c>
      <x:c r="D653" s="9" t="n">
        <x:v>219</x:v>
      </x:c>
      <x:c r="E653" s="9" t="n">
        <x:v>72.56</x:v>
      </x:c>
      <x:c r="F653" s="8" t="n">
        <x:f>C653*D653</x:f>
        <x:v>64605</x:v>
      </x:c>
      <x:c r="G653" s="8" t="n">
        <x:f>C653*E653</x:f>
        <x:v>21405.2</x:v>
      </x:c>
      <x:c r="H653" s="8" t="n">
        <x:f>F653-G653</x:f>
        <x:v>43199.8</x:v>
      </x:c>
      <x:c r="I653" s="10" t="n">
        <x:f>H653/F653</x:f>
        <x:v>0.668675799086758</x:v>
      </x:c>
    </x:row>
    <x:row r="654" ht="22" customHeight="1">
      <x:c r="A654" s="11" t="str">
        <x:v>1581</x:v>
      </x:c>
      <x:c r="B654" s="8" t="str">
        <x:v>SV DVD Recorder L240 Gold</x:v>
      </x:c>
      <x:c r="C654" s="8" t="n">
        <x:v>355</x:v>
      </x:c>
      <x:c r="D654" s="9" t="n">
        <x:v>219</x:v>
      </x:c>
      <x:c r="E654" s="9" t="n">
        <x:v>72.56</x:v>
      </x:c>
      <x:c r="F654" s="8" t="n">
        <x:f>C654*D654</x:f>
        <x:v>77745</x:v>
      </x:c>
      <x:c r="G654" s="8" t="n">
        <x:f>C654*E654</x:f>
        <x:v>25758.8</x:v>
      </x:c>
      <x:c r="H654" s="8" t="n">
        <x:f>F654-G654</x:f>
        <x:v>51986.2</x:v>
      </x:c>
      <x:c r="I654" s="10" t="n">
        <x:f>H654/F654</x:f>
        <x:v>0.668675799086758</x:v>
      </x:c>
    </x:row>
    <x:row r="655" ht="22" customHeight="1">
      <x:c r="A655" s="11" t="str">
        <x:v>1582</x:v>
      </x:c>
      <x:c r="B655" s="8" t="str">
        <x:v>SV DVD 48 DVD Storage Binder M50 Black</x:v>
      </x:c>
      <x:c r="C655" s="8" t="n">
        <x:v>276</x:v>
      </x:c>
      <x:c r="D655" s="9" t="n">
        <x:v>17.99</x:v>
      </x:c>
      <x:c r="E655" s="9" t="n">
        <x:v>8.27</x:v>
      </x:c>
      <x:c r="F655" s="8" t="n">
        <x:f>C655*D655</x:f>
        <x:v>4965.24</x:v>
      </x:c>
      <x:c r="G655" s="8" t="n">
        <x:f>C655*E655</x:f>
        <x:v>2282.52</x:v>
      </x:c>
      <x:c r="H655" s="8" t="n">
        <x:f>F655-G655</x:f>
        <x:v>2682.72</x:v>
      </x:c>
      <x:c r="I655" s="10" t="n">
        <x:f>H655/F655</x:f>
        <x:v>0.5403001667593107</x:v>
      </x:c>
    </x:row>
    <x:row r="656" ht="22" customHeight="1">
      <x:c r="A656" s="11" t="str">
        <x:v>1583</x:v>
      </x:c>
      <x:c r="B656" s="8" t="str">
        <x:v>SV DVD 58 DVD Storage Binder M55 Black</x:v>
      </x:c>
      <x:c r="C656" s="8" t="n">
        <x:v>325</x:v>
      </x:c>
      <x:c r="D656" s="9" t="n">
        <x:v>13.89</x:v>
      </x:c>
      <x:c r="E656" s="9" t="n">
        <x:v>6.39</x:v>
      </x:c>
      <x:c r="F656" s="8" t="n">
        <x:f>C656*D656</x:f>
        <x:v>4514.25</x:v>
      </x:c>
      <x:c r="G656" s="8" t="n">
        <x:f>C656*E656</x:f>
        <x:v>2076.75</x:v>
      </x:c>
      <x:c r="H656" s="8" t="n">
        <x:f>F656-G656</x:f>
        <x:v>2437.5</x:v>
      </x:c>
      <x:c r="I656" s="10" t="n">
        <x:f>H656/F656</x:f>
        <x:v>0.5399568034557235</x:v>
      </x:c>
    </x:row>
    <x:row r="657" ht="22" customHeight="1">
      <x:c r="A657" s="11" t="str">
        <x:v>1584</x:v>
      </x:c>
      <x:c r="B657" s="8" t="str">
        <x:v>SV DVD 38 DVD Storage Binder E25 Black</x:v>
      </x:c>
      <x:c r="C657" s="8" t="n">
        <x:v>291</x:v>
      </x:c>
      <x:c r="D657" s="9" t="n">
        <x:v>9.99</x:v>
      </x:c>
      <x:c r="E657" s="9" t="n">
        <x:v>5.09</x:v>
      </x:c>
      <x:c r="F657" s="8" t="n">
        <x:f>C657*D657</x:f>
        <x:v>2907.09</x:v>
      </x:c>
      <x:c r="G657" s="8" t="n">
        <x:f>C657*E657</x:f>
        <x:v>1481.19</x:v>
      </x:c>
      <x:c r="H657" s="8" t="n">
        <x:f>F657-G657</x:f>
        <x:v>1425.9</x:v>
      </x:c>
      <x:c r="I657" s="10" t="n">
        <x:f>H657/F657</x:f>
        <x:v>0.4904904904904905</x:v>
      </x:c>
    </x:row>
    <x:row r="658" ht="22" customHeight="1">
      <x:c r="A658" s="11" t="str">
        <x:v>1585</x:v>
      </x:c>
      <x:c r="B658" s="8" t="str">
        <x:v>SV DVD 60 DVD Storage Binder L20 Black</x:v>
      </x:c>
      <x:c r="C658" s="8" t="n">
        <x:v>305</x:v>
      </x:c>
      <x:c r="D658" s="9" t="n">
        <x:v>22.89</x:v>
      </x:c>
      <x:c r="E658" s="9" t="n">
        <x:v>7.58</x:v>
      </x:c>
      <x:c r="F658" s="8" t="n">
        <x:f>C658*D658</x:f>
        <x:v>6981.45</x:v>
      </x:c>
      <x:c r="G658" s="8" t="n">
        <x:f>C658*E658</x:f>
        <x:v>2311.9</x:v>
      </x:c>
      <x:c r="H658" s="8" t="n">
        <x:f>F658-G658</x:f>
        <x:v>4669.549999999999</x:v>
      </x:c>
      <x:c r="I658" s="10" t="n">
        <x:f>H658/F658</x:f>
        <x:v>0.6688510266491917</x:v>
      </x:c>
    </x:row>
    <x:row r="659" ht="22" customHeight="1">
      <x:c r="A659" s="11" t="str">
        <x:v>1586</x:v>
      </x:c>
      <x:c r="B659" s="8" t="str">
        <x:v>SV DVD 55DVD Storage Binder M56 Black</x:v>
      </x:c>
      <x:c r="C659" s="8" t="n">
        <x:v>370</x:v>
      </x:c>
      <x:c r="D659" s="9" t="n">
        <x:v>12.66</x:v>
      </x:c>
      <x:c r="E659" s="9" t="n">
        <x:v>5.82</x:v>
      </x:c>
      <x:c r="F659" s="8" t="n">
        <x:f>C659*D659</x:f>
        <x:v>4684.2</x:v>
      </x:c>
      <x:c r="G659" s="8" t="n">
        <x:f>C659*E659</x:f>
        <x:v>2153.4</x:v>
      </x:c>
      <x:c r="H659" s="8" t="n">
        <x:f>F659-G659</x:f>
        <x:v>2530.7999999999997</x:v>
      </x:c>
      <x:c r="I659" s="10" t="n">
        <x:f>H659/F659</x:f>
        <x:v>0.5402843601895734</x:v>
      </x:c>
    </x:row>
    <x:row r="660" ht="22" customHeight="1">
      <x:c r="A660" s="11" t="str">
        <x:v>1587</x:v>
      </x:c>
      <x:c r="B660" s="8" t="str">
        <x:v>SV DVD 48 DVD Storage Binder M50 Silver</x:v>
      </x:c>
      <x:c r="C660" s="8" t="n">
        <x:v>279</x:v>
      </x:c>
      <x:c r="D660" s="9" t="n">
        <x:v>17.99</x:v>
      </x:c>
      <x:c r="E660" s="9" t="n">
        <x:v>8.27</x:v>
      </x:c>
      <x:c r="F660" s="8" t="n">
        <x:f>C660*D660</x:f>
        <x:v>5019.209999999999</x:v>
      </x:c>
      <x:c r="G660" s="8" t="n">
        <x:f>C660*E660</x:f>
        <x:v>2307.33</x:v>
      </x:c>
      <x:c r="H660" s="8" t="n">
        <x:f>F660-G660</x:f>
        <x:v>2711.879999999999</x:v>
      </x:c>
      <x:c r="I660" s="10" t="n">
        <x:f>H660/F660</x:f>
        <x:v>0.5403001667593107</x:v>
      </x:c>
    </x:row>
    <x:row r="661" ht="22" customHeight="1">
      <x:c r="A661" s="11" t="str">
        <x:v>1588</x:v>
      </x:c>
      <x:c r="B661" s="8" t="str">
        <x:v>SV DVD 58 DVD Storage Binder M55 Silver</x:v>
      </x:c>
      <x:c r="C661" s="8" t="n">
        <x:v>301</x:v>
      </x:c>
      <x:c r="D661" s="9" t="n">
        <x:v>13.89</x:v>
      </x:c>
      <x:c r="E661" s="9" t="n">
        <x:v>6.39</x:v>
      </x:c>
      <x:c r="F661" s="8" t="n">
        <x:f>C661*D661</x:f>
        <x:v>4180.89</x:v>
      </x:c>
      <x:c r="G661" s="8" t="n">
        <x:f>C661*E661</x:f>
        <x:v>1923.3899999999999</x:v>
      </x:c>
      <x:c r="H661" s="8" t="n">
        <x:f>F661-G661</x:f>
        <x:v>2257.5000000000005</x:v>
      </x:c>
      <x:c r="I661" s="10" t="n">
        <x:f>H661/F661</x:f>
        <x:v>0.5399568034557236</x:v>
      </x:c>
    </x:row>
    <x:row r="662" ht="22" customHeight="1">
      <x:c r="A662" s="11" t="str">
        <x:v>1589</x:v>
      </x:c>
      <x:c r="B662" s="8" t="str">
        <x:v>SV DVD 38 DVD Storage Binder E25 Silver</x:v>
      </x:c>
      <x:c r="C662" s="8" t="n">
        <x:v>322</x:v>
      </x:c>
      <x:c r="D662" s="9" t="n">
        <x:v>9.99</x:v>
      </x:c>
      <x:c r="E662" s="9" t="n">
        <x:v>5.09</x:v>
      </x:c>
      <x:c r="F662" s="8" t="n">
        <x:f>C662*D662</x:f>
        <x:v>3216.78</x:v>
      </x:c>
      <x:c r="G662" s="8" t="n">
        <x:f>C662*E662</x:f>
        <x:v>1638.98</x:v>
      </x:c>
      <x:c r="H662" s="8" t="n">
        <x:f>F662-G662</x:f>
        <x:v>1577.8000000000002</x:v>
      </x:c>
      <x:c r="I662" s="10" t="n">
        <x:f>H662/F662</x:f>
        <x:v>0.49049049049049054</x:v>
      </x:c>
    </x:row>
    <x:row r="663" ht="22" customHeight="1">
      <x:c r="A663" s="11" t="str">
        <x:v>159</x:v>
      </x:c>
      <x:c r="B663" s="8" t="str">
        <x:v>Adventure Works 37" 1080p LCD HDTV M150W White</x:v>
      </x:c>
      <x:c r="C663" s="8" t="n">
        <x:v>152</x:v>
      </x:c>
      <x:c r="D663" s="9" t="n">
        <x:v>1099.99</x:v>
      </x:c>
      <x:c r="E663" s="9" t="n">
        <x:v>505.85</x:v>
      </x:c>
      <x:c r="F663" s="8" t="n">
        <x:f>C663*D663</x:f>
        <x:v>167198.48</x:v>
      </x:c>
      <x:c r="G663" s="8" t="n">
        <x:f>C663*E663</x:f>
        <x:v>76889.2</x:v>
      </x:c>
      <x:c r="H663" s="8" t="n">
        <x:f>F663-G663</x:f>
        <x:v>90309.28000000001</x:v>
      </x:c>
      <x:c r="I663" s="10" t="n">
        <x:f>H663/F663</x:f>
        <x:v>0.5401321830198457</x:v>
      </x:c>
    </x:row>
    <x:row r="664" ht="22" customHeight="1">
      <x:c r="A664" s="11" t="str">
        <x:v>1590</x:v>
      </x:c>
      <x:c r="B664" s="8" t="str">
        <x:v>SV DVD 60 DVD Storage Binder L20 Silver</x:v>
      </x:c>
      <x:c r="C664" s="8" t="n">
        <x:v>310</x:v>
      </x:c>
      <x:c r="D664" s="9" t="n">
        <x:v>22.89</x:v>
      </x:c>
      <x:c r="E664" s="9" t="n">
        <x:v>7.58</x:v>
      </x:c>
      <x:c r="F664" s="8" t="n">
        <x:f>C664*D664</x:f>
        <x:v>7095.900000000001</x:v>
      </x:c>
      <x:c r="G664" s="8" t="n">
        <x:f>C664*E664</x:f>
        <x:v>2349.8</x:v>
      </x:c>
      <x:c r="H664" s="8" t="n">
        <x:f>F664-G664</x:f>
        <x:v>4746.1</x:v>
      </x:c>
      <x:c r="I664" s="10" t="n">
        <x:f>H664/F664</x:f>
        <x:v>0.6688510266491918</x:v>
      </x:c>
    </x:row>
    <x:row r="665" ht="22" customHeight="1">
      <x:c r="A665" s="11" t="str">
        <x:v>1591</x:v>
      </x:c>
      <x:c r="B665" s="8" t="str">
        <x:v>SV DVD 55DVD Storage Binder M56 Silver</x:v>
      </x:c>
      <x:c r="C665" s="8" t="n">
        <x:v>326</x:v>
      </x:c>
      <x:c r="D665" s="9" t="n">
        <x:v>12.66</x:v>
      </x:c>
      <x:c r="E665" s="9" t="n">
        <x:v>5.82</x:v>
      </x:c>
      <x:c r="F665" s="8" t="n">
        <x:f>C665*D665</x:f>
        <x:v>4127.16</x:v>
      </x:c>
      <x:c r="G665" s="8" t="n">
        <x:f>C665*E665</x:f>
        <x:v>1897.3200000000002</x:v>
      </x:c>
      <x:c r="H665" s="8" t="n">
        <x:f>F665-G665</x:f>
        <x:v>2229.8399999999997</x:v>
      </x:c>
      <x:c r="I665" s="10" t="n">
        <x:f>H665/F665</x:f>
        <x:v>0.5402843601895734</x:v>
      </x:c>
    </x:row>
    <x:row r="666" ht="22" customHeight="1">
      <x:c r="A666" s="11" t="str">
        <x:v>1592</x:v>
      </x:c>
      <x:c r="B666" s="8" t="str">
        <x:v>SV DVD 48 DVD Storage Binder M50 Red</x:v>
      </x:c>
      <x:c r="C666" s="8" t="n">
        <x:v>276</x:v>
      </x:c>
      <x:c r="D666" s="9" t="n">
        <x:v>17.99</x:v>
      </x:c>
      <x:c r="E666" s="9" t="n">
        <x:v>8.27</x:v>
      </x:c>
      <x:c r="F666" s="8" t="n">
        <x:f>C666*D666</x:f>
        <x:v>4965.24</x:v>
      </x:c>
      <x:c r="G666" s="8" t="n">
        <x:f>C666*E666</x:f>
        <x:v>2282.52</x:v>
      </x:c>
      <x:c r="H666" s="8" t="n">
        <x:f>F666-G666</x:f>
        <x:v>2682.72</x:v>
      </x:c>
      <x:c r="I666" s="10" t="n">
        <x:f>H666/F666</x:f>
        <x:v>0.5403001667593107</x:v>
      </x:c>
    </x:row>
    <x:row r="667" ht="22" customHeight="1">
      <x:c r="A667" s="11" t="str">
        <x:v>1593</x:v>
      </x:c>
      <x:c r="B667" s="8" t="str">
        <x:v>SV DVD 58 DVD Storage Binder M55 Red</x:v>
      </x:c>
      <x:c r="C667" s="8" t="n">
        <x:v>328</x:v>
      </x:c>
      <x:c r="D667" s="9" t="n">
        <x:v>13.89</x:v>
      </x:c>
      <x:c r="E667" s="9" t="n">
        <x:v>6.39</x:v>
      </x:c>
      <x:c r="F667" s="8" t="n">
        <x:f>C667*D667</x:f>
        <x:v>4555.92</x:v>
      </x:c>
      <x:c r="G667" s="8" t="n">
        <x:f>C667*E667</x:f>
        <x:v>2095.92</x:v>
      </x:c>
      <x:c r="H667" s="8" t="n">
        <x:f>F667-G667</x:f>
        <x:v>2460</x:v>
      </x:c>
      <x:c r="I667" s="10" t="n">
        <x:f>H667/F667</x:f>
        <x:v>0.5399568034557235</x:v>
      </x:c>
    </x:row>
    <x:row r="668" ht="22" customHeight="1">
      <x:c r="A668" s="11" t="str">
        <x:v>1594</x:v>
      </x:c>
      <x:c r="B668" s="8" t="str">
        <x:v>SV DVD 38 DVD Storage Binder E25 Red</x:v>
      </x:c>
      <x:c r="C668" s="8" t="n">
        <x:v>348</x:v>
      </x:c>
      <x:c r="D668" s="9" t="n">
        <x:v>9.99</x:v>
      </x:c>
      <x:c r="E668" s="9" t="n">
        <x:v>5.09</x:v>
      </x:c>
      <x:c r="F668" s="8" t="n">
        <x:f>C668*D668</x:f>
        <x:v>3476.52</x:v>
      </x:c>
      <x:c r="G668" s="8" t="n">
        <x:f>C668*E668</x:f>
        <x:v>1771.32</x:v>
      </x:c>
      <x:c r="H668" s="8" t="n">
        <x:f>F668-G668</x:f>
        <x:v>1705.2</x:v>
      </x:c>
      <x:c r="I668" s="10" t="n">
        <x:f>H668/F668</x:f>
        <x:v>0.4904904904904905</x:v>
      </x:c>
    </x:row>
    <x:row r="669" ht="22" customHeight="1">
      <x:c r="A669" s="11" t="str">
        <x:v>1595</x:v>
      </x:c>
      <x:c r="B669" s="8" t="str">
        <x:v>SV DVD 60 DVD Storage Binder L20 Red</x:v>
      </x:c>
      <x:c r="C669" s="8" t="n">
        <x:v>277</x:v>
      </x:c>
      <x:c r="D669" s="9" t="n">
        <x:v>22.89</x:v>
      </x:c>
      <x:c r="E669" s="9" t="n">
        <x:v>7.58</x:v>
      </x:c>
      <x:c r="F669" s="8" t="n">
        <x:f>C669*D669</x:f>
        <x:v>6340.53</x:v>
      </x:c>
      <x:c r="G669" s="8" t="n">
        <x:f>C669*E669</x:f>
        <x:v>2099.66</x:v>
      </x:c>
      <x:c r="H669" s="8" t="n">
        <x:f>F669-G669</x:f>
        <x:v>4240.87</x:v>
      </x:c>
      <x:c r="I669" s="10" t="n">
        <x:f>H669/F669</x:f>
        <x:v>0.6688510266491918</x:v>
      </x:c>
    </x:row>
    <x:row r="670" ht="22" customHeight="1">
      <x:c r="A670" s="11" t="str">
        <x:v>1596</x:v>
      </x:c>
      <x:c r="B670" s="8" t="str">
        <x:v>SV DVD 55DVD Storage Binder M56 Red</x:v>
      </x:c>
      <x:c r="C670" s="8" t="n">
        <x:v>368</x:v>
      </x:c>
      <x:c r="D670" s="9" t="n">
        <x:v>12.66</x:v>
      </x:c>
      <x:c r="E670" s="9" t="n">
        <x:v>5.82</x:v>
      </x:c>
      <x:c r="F670" s="8" t="n">
        <x:f>C670*D670</x:f>
        <x:v>4658.88</x:v>
      </x:c>
      <x:c r="G670" s="8" t="n">
        <x:f>C670*E670</x:f>
        <x:v>2141.76</x:v>
      </x:c>
      <x:c r="H670" s="8" t="n">
        <x:f>F670-G670</x:f>
        <x:v>2517.12</x:v>
      </x:c>
      <x:c r="I670" s="10" t="n">
        <x:f>H670/F670</x:f>
        <x:v>0.5402843601895734</x:v>
      </x:c>
    </x:row>
    <x:row r="671" ht="22" customHeight="1">
      <x:c r="A671" s="11" t="str">
        <x:v>1597</x:v>
      </x:c>
      <x:c r="B671" s="8" t="str">
        <x:v>SV DVD External DVD Burner M200 Black</x:v>
      </x:c>
      <x:c r="C671" s="8" t="n">
        <x:v>384</x:v>
      </x:c>
      <x:c r="D671" s="9" t="n">
        <x:v>57.88</x:v>
      </x:c>
      <x:c r="E671" s="9" t="n">
        <x:v>26.62</x:v>
      </x:c>
      <x:c r="F671" s="8" t="n">
        <x:f>C671*D671</x:f>
        <x:v>22225.920000000002</x:v>
      </x:c>
      <x:c r="G671" s="8" t="n">
        <x:f>C671*E671</x:f>
        <x:v>10222.08</x:v>
      </x:c>
      <x:c r="H671" s="8" t="n">
        <x:f>F671-G671</x:f>
        <x:v>12003.840000000002</x:v>
      </x:c>
      <x:c r="I671" s="10" t="n">
        <x:f>H671/F671</x:f>
        <x:v>0.5400829302004146</x:v>
      </x:c>
    </x:row>
    <x:row r="672" ht="22" customHeight="1">
      <x:c r="A672" s="11" t="str">
        <x:v>1598</x:v>
      </x:c>
      <x:c r="B672" s="8" t="str">
        <x:v>SV DVD External DVD Burner M200 Grey</x:v>
      </x:c>
      <x:c r="C672" s="8" t="n">
        <x:v>277</x:v>
      </x:c>
      <x:c r="D672" s="9" t="n">
        <x:v>57.88</x:v>
      </x:c>
      <x:c r="E672" s="9" t="n">
        <x:v>26.62</x:v>
      </x:c>
      <x:c r="F672" s="8" t="n">
        <x:f>C672*D672</x:f>
        <x:v>16032.76</x:v>
      </x:c>
      <x:c r="G672" s="8" t="n">
        <x:f>C672*E672</x:f>
        <x:v>7373.740000000001</x:v>
      </x:c>
      <x:c r="H672" s="8" t="n">
        <x:f>F672-G672</x:f>
        <x:v>8659.02</x:v>
      </x:c>
      <x:c r="I672" s="10" t="n">
        <x:f>H672/F672</x:f>
        <x:v>0.5400829302004146</x:v>
      </x:c>
    </x:row>
    <x:row r="673" ht="22" customHeight="1">
      <x:c r="A673" s="11" t="str">
        <x:v>1599</x:v>
      </x:c>
      <x:c r="B673" s="8" t="str">
        <x:v>SV DVD External DVD Burner M200 Blue</x:v>
      </x:c>
      <x:c r="C673" s="8" t="n">
        <x:v>297</x:v>
      </x:c>
      <x:c r="D673" s="9" t="n">
        <x:v>57.88</x:v>
      </x:c>
      <x:c r="E673" s="9" t="n">
        <x:v>26.62</x:v>
      </x:c>
      <x:c r="F673" s="8" t="n">
        <x:f>C673*D673</x:f>
        <x:v>17190.36</x:v>
      </x:c>
      <x:c r="G673" s="8" t="n">
        <x:f>C673*E673</x:f>
        <x:v>7906.14</x:v>
      </x:c>
      <x:c r="H673" s="8" t="n">
        <x:f>F673-G673</x:f>
        <x:v>9284.220000000001</x:v>
      </x:c>
      <x:c r="I673" s="10" t="n">
        <x:f>H673/F673</x:f>
        <x:v>0.5400829302004146</x:v>
      </x:c>
    </x:row>
    <x:row r="674" ht="22" customHeight="1">
      <x:c r="A674" s="11" t="str">
        <x:v>16</x:v>
      </x:c>
      <x:c r="B674" s="8" t="str">
        <x:v>Contoso 8GB Super-Slim MP3/Video Player M800 White</x:v>
      </x:c>
      <x:c r="C674" s="8" t="n">
        <x:v>43</x:v>
      </x:c>
      <x:c r="D674" s="9" t="n">
        <x:v>109.95</x:v>
      </x:c>
      <x:c r="E674" s="9" t="n">
        <x:v>50.56</x:v>
      </x:c>
      <x:c r="F674" s="8" t="n">
        <x:f>C674*D674</x:f>
        <x:v>4727.85</x:v>
      </x:c>
      <x:c r="G674" s="8" t="n">
        <x:f>C674*E674</x:f>
        <x:v>2174.08</x:v>
      </x:c>
      <x:c r="H674" s="8" t="n">
        <x:f>F674-G674</x:f>
        <x:v>2553.7700000000004</x:v>
      </x:c>
      <x:c r="I674" s="10" t="n">
        <x:f>H674/F674</x:f>
        <x:v>0.5401546157344248</x:v>
      </x:c>
    </x:row>
    <x:row r="675" ht="22" customHeight="1">
      <x:c r="A675" s="11" t="str">
        <x:v>160</x:v>
      </x:c>
      <x:c r="B675" s="8" t="str">
        <x:v>Adventure Works 37" 1080p LCD HDTV M150W Brown</x:v>
      </x:c>
      <x:c r="C675" s="8" t="n">
        <x:v>106</x:v>
      </x:c>
      <x:c r="D675" s="9" t="n">
        <x:v>1099.99</x:v>
      </x:c>
      <x:c r="E675" s="9" t="n">
        <x:v>505.85</x:v>
      </x:c>
      <x:c r="F675" s="8" t="n">
        <x:f>C675*D675</x:f>
        <x:v>116598.94</x:v>
      </x:c>
      <x:c r="G675" s="8" t="n">
        <x:f>C675*E675</x:f>
        <x:v>53620.100000000006</x:v>
      </x:c>
      <x:c r="H675" s="8" t="n">
        <x:f>F675-G675</x:f>
        <x:v>62978.84</x:v>
      </x:c>
      <x:c r="I675" s="10" t="n">
        <x:f>H675/F675</x:f>
        <x:v>0.5401321830198456</x:v>
      </x:c>
    </x:row>
    <x:row r="676" ht="22" customHeight="1">
      <x:c r="A676" s="11" t="str">
        <x:v>1600</x:v>
      </x:c>
      <x:c r="B676" s="8" t="str">
        <x:v>SV DVD External DVD Burner M200 Silver</x:v>
      </x:c>
      <x:c r="C676" s="8" t="n">
        <x:v>284</x:v>
      </x:c>
      <x:c r="D676" s="9" t="n">
        <x:v>57.88</x:v>
      </x:c>
      <x:c r="E676" s="9" t="n">
        <x:v>26.62</x:v>
      </x:c>
      <x:c r="F676" s="8" t="n">
        <x:f>C676*D676</x:f>
        <x:v>16437.920000000002</x:v>
      </x:c>
      <x:c r="G676" s="8" t="n">
        <x:f>C676*E676</x:f>
        <x:v>7560.08</x:v>
      </x:c>
      <x:c r="H676" s="8" t="n">
        <x:f>F676-G676</x:f>
        <x:v>8877.840000000002</x:v>
      </x:c>
      <x:c r="I676" s="10" t="n">
        <x:f>H676/F676</x:f>
        <x:v>0.5400829302004148</x:v>
      </x:c>
    </x:row>
    <x:row r="677" ht="22" customHeight="1">
      <x:c r="A677" s="11" t="str">
        <x:v>1601</x:v>
      </x:c>
      <x:c r="B677" s="8" t="str">
        <x:v>SV DVD 9-Inch Player Portable M300 Black</x:v>
      </x:c>
      <x:c r="C677" s="8" t="n">
        <x:v>317</x:v>
      </x:c>
      <x:c r="D677" s="9" t="n">
        <x:v>159.99</x:v>
      </x:c>
      <x:c r="E677" s="9" t="n">
        <x:v>73.57</x:v>
      </x:c>
      <x:c r="F677" s="8" t="n">
        <x:f>C677*D677</x:f>
        <x:v>50716.83</x:v>
      </x:c>
      <x:c r="G677" s="8" t="n">
        <x:f>C677*E677</x:f>
        <x:v>23321.69</x:v>
      </x:c>
      <x:c r="H677" s="8" t="n">
        <x:f>F677-G677</x:f>
        <x:v>27395.140000000003</x:v>
      </x:c>
      <x:c r="I677" s="10" t="n">
        <x:f>H677/F677</x:f>
        <x:v>0.5401587599224952</x:v>
      </x:c>
    </x:row>
    <x:row r="678" ht="22" customHeight="1">
      <x:c r="A678" s="11" t="str">
        <x:v>1602</x:v>
      </x:c>
      <x:c r="B678" s="8" t="str">
        <x:v>SV DVD 12-Inch Player Portable M400 Black</x:v>
      </x:c>
      <x:c r="C678" s="8" t="n">
        <x:v>336</x:v>
      </x:c>
      <x:c r="D678" s="9" t="n">
        <x:v>179.99</x:v>
      </x:c>
      <x:c r="E678" s="9" t="n">
        <x:v>82.77</x:v>
      </x:c>
      <x:c r="F678" s="8" t="n">
        <x:f>C678*D678</x:f>
        <x:v>60476.64</x:v>
      </x:c>
      <x:c r="G678" s="8" t="n">
        <x:f>C678*E678</x:f>
        <x:v>27810.719999999998</x:v>
      </x:c>
      <x:c r="H678" s="8" t="n">
        <x:f>F678-G678</x:f>
        <x:v>32665.920000000002</x:v>
      </x:c>
      <x:c r="I678" s="10" t="n">
        <x:f>H678/F678</x:f>
        <x:v>0.5401411189510529</x:v>
      </x:c>
    </x:row>
    <x:row r="679" ht="22" customHeight="1">
      <x:c r="A679" s="11" t="str">
        <x:v>1603</x:v>
      </x:c>
      <x:c r="B679" s="8" t="str">
        <x:v>SV DVD 7-Inch Player Portable E200 Black</x:v>
      </x:c>
      <x:c r="C679" s="8" t="n">
        <x:v>292</x:v>
      </x:c>
      <x:c r="D679" s="9" t="n">
        <x:v>109.99</x:v>
      </x:c>
      <x:c r="E679" s="9" t="n">
        <x:v>56.08</x:v>
      </x:c>
      <x:c r="F679" s="8" t="n">
        <x:f>C679*D679</x:f>
        <x:v>32117.079999999998</x:v>
      </x:c>
      <x:c r="G679" s="8" t="n">
        <x:f>C679*E679</x:f>
        <x:v>16375.359999999999</x:v>
      </x:c>
      <x:c r="H679" s="8" t="n">
        <x:f>F679-G679</x:f>
        <x:v>15741.72</x:v>
      </x:c>
      <x:c r="I679" s="10" t="n">
        <x:f>H679/F679</x:f>
        <x:v>0.4901354668606237</x:v>
      </x:c>
    </x:row>
    <x:row r="680" ht="22" customHeight="1">
      <x:c r="A680" s="11" t="str">
        <x:v>1604</x:v>
      </x:c>
      <x:c r="B680" s="8" t="str">
        <x:v>SV DVD 14-Inch Player Portable L100 Black</x:v>
      </x:c>
      <x:c r="C680" s="8" t="n">
        <x:v>306</x:v>
      </x:c>
      <x:c r="D680" s="9" t="n">
        <x:v>259.99</x:v>
      </x:c>
      <x:c r="E680" s="9" t="n">
        <x:v>86.14</x:v>
      </x:c>
      <x:c r="F680" s="8" t="n">
        <x:f>C680*D680</x:f>
        <x:v>79556.94</x:v>
      </x:c>
      <x:c r="G680" s="8" t="n">
        <x:f>C680*E680</x:f>
        <x:v>26358.84</x:v>
      </x:c>
      <x:c r="H680" s="8" t="n">
        <x:f>F680-G680</x:f>
        <x:v>53198.100000000006</x:v>
      </x:c>
      <x:c r="I680" s="10" t="n">
        <x:f>H680/F680</x:f>
        <x:v>0.6686795645986384</x:v>
      </x:c>
    </x:row>
    <x:row r="681" ht="22" customHeight="1">
      <x:c r="A681" s="11" t="str">
        <x:v>1605</x:v>
      </x:c>
      <x:c r="B681" s="8" t="str">
        <x:v>SV DVD 15-Inch Player Portable L200 Black</x:v>
      </x:c>
      <x:c r="C681" s="8" t="n">
        <x:v>340</x:v>
      </x:c>
      <x:c r="D681" s="9" t="n">
        <x:v>289.99</x:v>
      </x:c>
      <x:c r="E681" s="9" t="n">
        <x:v>96.08</x:v>
      </x:c>
      <x:c r="F681" s="8" t="n">
        <x:f>C681*D681</x:f>
        <x:v>98596.6</x:v>
      </x:c>
      <x:c r="G681" s="8" t="n">
        <x:f>C681*E681</x:f>
        <x:v>32667.2</x:v>
      </x:c>
      <x:c r="H681" s="8" t="n">
        <x:f>F681-G681</x:f>
        <x:v>65929.40000000001</x:v>
      </x:c>
      <x:c r="I681" s="10" t="n">
        <x:f>H681/F681</x:f>
        <x:v>0.6686782302838029</x:v>
      </x:c>
    </x:row>
    <x:row r="682" ht="22" customHeight="1">
      <x:c r="A682" s="11" t="str">
        <x:v>1606</x:v>
      </x:c>
      <x:c r="B682" s="8" t="str">
        <x:v>SV DVD 9-Inch Player Portable M300 Silver</x:v>
      </x:c>
      <x:c r="C682" s="8" t="n">
        <x:v>264</x:v>
      </x:c>
      <x:c r="D682" s="9" t="n">
        <x:v>159.99</x:v>
      </x:c>
      <x:c r="E682" s="9" t="n">
        <x:v>73.57</x:v>
      </x:c>
      <x:c r="F682" s="8" t="n">
        <x:f>C682*D682</x:f>
        <x:v>42237.36</x:v>
      </x:c>
      <x:c r="G682" s="8" t="n">
        <x:f>C682*E682</x:f>
        <x:v>19422.48</x:v>
      </x:c>
      <x:c r="H682" s="8" t="n">
        <x:f>F682-G682</x:f>
        <x:v>22814.88</x:v>
      </x:c>
      <x:c r="I682" s="10" t="n">
        <x:f>H682/F682</x:f>
        <x:v>0.5401587599224952</x:v>
      </x:c>
    </x:row>
    <x:row r="683" ht="22" customHeight="1">
      <x:c r="A683" s="11" t="str">
        <x:v>1607</x:v>
      </x:c>
      <x:c r="B683" s="8" t="str">
        <x:v>SV DVD 12-Inch Player Portable M400 Silver</x:v>
      </x:c>
      <x:c r="C683" s="8" t="n">
        <x:v>307</x:v>
      </x:c>
      <x:c r="D683" s="9" t="n">
        <x:v>179.99</x:v>
      </x:c>
      <x:c r="E683" s="9" t="n">
        <x:v>82.77</x:v>
      </x:c>
      <x:c r="F683" s="8" t="n">
        <x:f>C683*D683</x:f>
        <x:v>55256.93</x:v>
      </x:c>
      <x:c r="G683" s="8" t="n">
        <x:f>C683*E683</x:f>
        <x:v>25410.39</x:v>
      </x:c>
      <x:c r="H683" s="8" t="n">
        <x:f>F683-G683</x:f>
        <x:v>29846.54</x:v>
      </x:c>
      <x:c r="I683" s="10" t="n">
        <x:f>H683/F683</x:f>
        <x:v>0.5401411189510529</x:v>
      </x:c>
    </x:row>
    <x:row r="684" ht="22" customHeight="1">
      <x:c r="A684" s="11" t="str">
        <x:v>1608</x:v>
      </x:c>
      <x:c r="B684" s="8" t="str">
        <x:v>SV DVD 7-Inch Player Portable E200 Silver</x:v>
      </x:c>
      <x:c r="C684" s="8" t="n">
        <x:v>329</x:v>
      </x:c>
      <x:c r="D684" s="9" t="n">
        <x:v>109.99</x:v>
      </x:c>
      <x:c r="E684" s="9" t="n">
        <x:v>56.08</x:v>
      </x:c>
      <x:c r="F684" s="8" t="n">
        <x:f>C684*D684</x:f>
        <x:v>36186.71</x:v>
      </x:c>
      <x:c r="G684" s="8" t="n">
        <x:f>C684*E684</x:f>
        <x:v>18450.32</x:v>
      </x:c>
      <x:c r="H684" s="8" t="n">
        <x:f>F684-G684</x:f>
        <x:v>17736.39</x:v>
      </x:c>
      <x:c r="I684" s="10" t="n">
        <x:f>H684/F684</x:f>
        <x:v>0.4901354668606237</x:v>
      </x:c>
    </x:row>
    <x:row r="685" ht="22" customHeight="1">
      <x:c r="A685" s="11" t="str">
        <x:v>1609</x:v>
      </x:c>
      <x:c r="B685" s="8" t="str">
        <x:v>SV DVD 14-Inch Player Portable L100 Silver</x:v>
      </x:c>
      <x:c r="C685" s="8" t="n">
        <x:v>391</x:v>
      </x:c>
      <x:c r="D685" s="9" t="n">
        <x:v>259.99</x:v>
      </x:c>
      <x:c r="E685" s="9" t="n">
        <x:v>86.14</x:v>
      </x:c>
      <x:c r="F685" s="8" t="n">
        <x:f>C685*D685</x:f>
        <x:v>101656.09</x:v>
      </x:c>
      <x:c r="G685" s="8" t="n">
        <x:f>C685*E685</x:f>
        <x:v>33680.74</x:v>
      </x:c>
      <x:c r="H685" s="8" t="n">
        <x:f>F685-G685</x:f>
        <x:v>67975.35</x:v>
      </x:c>
      <x:c r="I685" s="10" t="n">
        <x:f>H685/F685</x:f>
        <x:v>0.6686795645986385</x:v>
      </x:c>
    </x:row>
    <x:row r="686" ht="22" customHeight="1">
      <x:c r="A686" s="11" t="str">
        <x:v>161</x:v>
      </x:c>
      <x:c r="B686" s="8" t="str">
        <x:v>Adventure Works 52" LCD HDTV X790W Silver</x:v>
      </x:c>
      <x:c r="C686" s="8" t="n">
        <x:v>102</x:v>
      </x:c>
      <x:c r="D686" s="9" t="n">
        <x:v>1592.2</x:v>
      </x:c>
      <x:c r="E686" s="9" t="n">
        <x:v>527.53</x:v>
      </x:c>
      <x:c r="F686" s="8" t="n">
        <x:f>C686*D686</x:f>
        <x:v>162404.4</x:v>
      </x:c>
      <x:c r="G686" s="8" t="n">
        <x:f>C686*E686</x:f>
        <x:v>53808.06</x:v>
      </x:c>
      <x:c r="H686" s="8" t="n">
        <x:f>F686-G686</x:f>
        <x:v>108596.34</x:v>
      </x:c>
      <x:c r="I686" s="10" t="n">
        <x:f>H686/F686</x:f>
        <x:v>0.6686785579701042</x:v>
      </x:c>
    </x:row>
    <x:row r="687" ht="22" customHeight="1">
      <x:c r="A687" s="11" t="str">
        <x:v>1610</x:v>
      </x:c>
      <x:c r="B687" s="8" t="str">
        <x:v>SV DVD 15-Inch Player Portable L200 Silver</x:v>
      </x:c>
      <x:c r="C687" s="8" t="n">
        <x:v>303</x:v>
      </x:c>
      <x:c r="D687" s="9" t="n">
        <x:v>289.99</x:v>
      </x:c>
      <x:c r="E687" s="9" t="n">
        <x:v>96.08</x:v>
      </x:c>
      <x:c r="F687" s="8" t="n">
        <x:f>C687*D687</x:f>
        <x:v>87866.97</x:v>
      </x:c>
      <x:c r="G687" s="8" t="n">
        <x:f>C687*E687</x:f>
        <x:v>29112.239999999998</x:v>
      </x:c>
      <x:c r="H687" s="8" t="n">
        <x:f>F687-G687</x:f>
        <x:v>58754.73</x:v>
      </x:c>
      <x:c r="I687" s="10" t="n">
        <x:f>H687/F687</x:f>
        <x:v>0.6686782302838029</x:v>
      </x:c>
    </x:row>
    <x:row r="688" ht="22" customHeight="1">
      <x:c r="A688" s="11" t="str">
        <x:v>1611</x:v>
      </x:c>
      <x:c r="B688" s="8" t="str">
        <x:v>SV DVD 9-Inch Player Portable M300 White</x:v>
      </x:c>
      <x:c r="C688" s="8" t="n">
        <x:v>287</x:v>
      </x:c>
      <x:c r="D688" s="9" t="n">
        <x:v>159.99</x:v>
      </x:c>
      <x:c r="E688" s="9" t="n">
        <x:v>73.57</x:v>
      </x:c>
      <x:c r="F688" s="8" t="n">
        <x:f>C688*D688</x:f>
        <x:v>45917.130000000005</x:v>
      </x:c>
      <x:c r="G688" s="8" t="n">
        <x:f>C688*E688</x:f>
        <x:v>21114.589999999997</x:v>
      </x:c>
      <x:c r="H688" s="8" t="n">
        <x:f>F688-G688</x:f>
        <x:v>24802.540000000008</x:v>
      </x:c>
      <x:c r="I688" s="10" t="n">
        <x:f>H688/F688</x:f>
        <x:v>0.5401587599224953</x:v>
      </x:c>
    </x:row>
    <x:row r="689" ht="22" customHeight="1">
      <x:c r="A689" s="11" t="str">
        <x:v>1612</x:v>
      </x:c>
      <x:c r="B689" s="8" t="str">
        <x:v>SV DVD 12-Inch Player Portable M400 White</x:v>
      </x:c>
      <x:c r="C689" s="8" t="n">
        <x:v>401</x:v>
      </x:c>
      <x:c r="D689" s="9" t="n">
        <x:v>179.99</x:v>
      </x:c>
      <x:c r="E689" s="9" t="n">
        <x:v>82.77</x:v>
      </x:c>
      <x:c r="F689" s="8" t="n">
        <x:f>C689*D689</x:f>
        <x:v>72175.99</x:v>
      </x:c>
      <x:c r="G689" s="8" t="n">
        <x:f>C689*E689</x:f>
        <x:v>33190.77</x:v>
      </x:c>
      <x:c r="H689" s="8" t="n">
        <x:f>F689-G689</x:f>
        <x:v>38985.22000000001</x:v>
      </x:c>
      <x:c r="I689" s="10" t="n">
        <x:f>H689/F689</x:f>
        <x:v>0.5401411189510529</x:v>
      </x:c>
    </x:row>
    <x:row r="690" ht="22" customHeight="1">
      <x:c r="A690" s="11" t="str">
        <x:v>1613</x:v>
      </x:c>
      <x:c r="B690" s="8" t="str">
        <x:v>SV DVD 7-Inch Player Portable E200 White</x:v>
      </x:c>
      <x:c r="C690" s="8" t="n">
        <x:v>365</x:v>
      </x:c>
      <x:c r="D690" s="9" t="n">
        <x:v>109.99</x:v>
      </x:c>
      <x:c r="E690" s="9" t="n">
        <x:v>56.08</x:v>
      </x:c>
      <x:c r="F690" s="8" t="n">
        <x:f>C690*D690</x:f>
        <x:v>40146.35</x:v>
      </x:c>
      <x:c r="G690" s="8" t="n">
        <x:f>C690*E690</x:f>
        <x:v>20469.2</x:v>
      </x:c>
      <x:c r="H690" s="8" t="n">
        <x:f>F690-G690</x:f>
        <x:v>19677.149999999998</x:v>
      </x:c>
      <x:c r="I690" s="10" t="n">
        <x:f>H690/F690</x:f>
        <x:v>0.49013546686062365</x:v>
      </x:c>
    </x:row>
    <x:row r="691" ht="22" customHeight="1">
      <x:c r="A691" s="11" t="str">
        <x:v>1614</x:v>
      </x:c>
      <x:c r="B691" s="8" t="str">
        <x:v>SV DVD 14-Inch Player Portable L100 White</x:v>
      </x:c>
      <x:c r="C691" s="8" t="n">
        <x:v>340</x:v>
      </x:c>
      <x:c r="D691" s="9" t="n">
        <x:v>259.99</x:v>
      </x:c>
      <x:c r="E691" s="9" t="n">
        <x:v>86.14</x:v>
      </x:c>
      <x:c r="F691" s="8" t="n">
        <x:f>C691*D691</x:f>
        <x:v>88396.6</x:v>
      </x:c>
      <x:c r="G691" s="8" t="n">
        <x:f>C691*E691</x:f>
        <x:v>29287.6</x:v>
      </x:c>
      <x:c r="H691" s="8" t="n">
        <x:f>F691-G691</x:f>
        <x:v>59109.00000000001</x:v>
      </x:c>
      <x:c r="I691" s="10" t="n">
        <x:f>H691/F691</x:f>
        <x:v>0.6686795645986384</x:v>
      </x:c>
    </x:row>
    <x:row r="692" ht="22" customHeight="1">
      <x:c r="A692" s="11" t="str">
        <x:v>1615</x:v>
      </x:c>
      <x:c r="B692" s="8" t="str">
        <x:v>SV DVD 15-Inch Player Portable L200 White</x:v>
      </x:c>
      <x:c r="C692" s="8" t="n">
        <x:v>257</x:v>
      </x:c>
      <x:c r="D692" s="9" t="n">
        <x:v>289.99</x:v>
      </x:c>
      <x:c r="E692" s="9" t="n">
        <x:v>96.08</x:v>
      </x:c>
      <x:c r="F692" s="8" t="n">
        <x:f>C692*D692</x:f>
        <x:v>74527.43000000001</x:v>
      </x:c>
      <x:c r="G692" s="8" t="n">
        <x:f>C692*E692</x:f>
        <x:v>24692.56</x:v>
      </x:c>
      <x:c r="H692" s="8" t="n">
        <x:f>F692-G692</x:f>
        <x:v>49834.87000000001</x:v>
      </x:c>
      <x:c r="I692" s="10" t="n">
        <x:f>H692/F692</x:f>
        <x:v>0.6686782302838029</x:v>
      </x:c>
    </x:row>
    <x:row r="693" ht="22" customHeight="1">
      <x:c r="A693" s="11" t="str">
        <x:v>1616</x:v>
      </x:c>
      <x:c r="B693" s="8" t="str">
        <x:v>Contoso DVD Player M100 Black</x:v>
      </x:c>
      <x:c r="C693" s="8" t="n">
        <x:v>376</x:v>
      </x:c>
      <x:c r="D693" s="9" t="n">
        <x:v>56.99</x:v>
      </x:c>
      <x:c r="E693" s="9" t="n">
        <x:v>26.21</x:v>
      </x:c>
      <x:c r="F693" s="8" t="n">
        <x:f>C693*D693</x:f>
        <x:v>21428.24</x:v>
      </x:c>
      <x:c r="G693" s="8" t="n">
        <x:f>C693*E693</x:f>
        <x:v>9854.960000000001</x:v>
      </x:c>
      <x:c r="H693" s="8" t="n">
        <x:f>F693-G693</x:f>
        <x:v>11573.28</x:v>
      </x:c>
      <x:c r="I693" s="10" t="n">
        <x:f>H693/F693</x:f>
        <x:v>0.5400947534655203</x:v>
      </x:c>
    </x:row>
    <x:row r="694" ht="22" customHeight="1">
      <x:c r="A694" s="11" t="str">
        <x:v>1617</x:v>
      </x:c>
      <x:c r="B694" s="8" t="str">
        <x:v>Contoso DVD Player M110 Silver</x:v>
      </x:c>
      <x:c r="C694" s="8" t="n">
        <x:v>360</x:v>
      </x:c>
      <x:c r="D694" s="9" t="n">
        <x:v>57.99</x:v>
      </x:c>
      <x:c r="E694" s="9" t="n">
        <x:v>26.67</x:v>
      </x:c>
      <x:c r="F694" s="8" t="n">
        <x:f>C694*D694</x:f>
        <x:v>20876.4</x:v>
      </x:c>
      <x:c r="G694" s="8" t="n">
        <x:f>C694*E694</x:f>
        <x:v>9601.2</x:v>
      </x:c>
      <x:c r="H694" s="8" t="n">
        <x:f>F694-G694</x:f>
        <x:v>11275.2</x:v>
      </x:c>
      <x:c r="I694" s="10" t="n">
        <x:f>H694/F694</x:f>
        <x:v>0.5400931195033627</x:v>
      </x:c>
    </x:row>
    <x:row r="695" ht="22" customHeight="1">
      <x:c r="A695" s="11" t="str">
        <x:v>1618</x:v>
      </x:c>
      <x:c r="B695" s="8" t="str">
        <x:v>Contoso DVD Player M120 White</x:v>
      </x:c>
      <x:c r="C695" s="8" t="n">
        <x:v>290</x:v>
      </x:c>
      <x:c r="D695" s="9" t="n">
        <x:v>58.99</x:v>
      </x:c>
      <x:c r="E695" s="9" t="n">
        <x:v>27.13</x:v>
      </x:c>
      <x:c r="F695" s="8" t="n">
        <x:f>C695*D695</x:f>
        <x:v>17107.100000000002</x:v>
      </x:c>
      <x:c r="G695" s="8" t="n">
        <x:f>C695*E695</x:f>
        <x:v>7867.7</x:v>
      </x:c>
      <x:c r="H695" s="8" t="n">
        <x:f>F695-G695</x:f>
        <x:v>9239.400000000001</x:v>
      </x:c>
      <x:c r="I695" s="10" t="n">
        <x:f>H695/F695</x:f>
        <x:v>0.5400915409391422</x:v>
      </x:c>
    </x:row>
    <x:row r="696" ht="22" customHeight="1">
      <x:c r="A696" s="11" t="str">
        <x:v>1619</x:v>
      </x:c>
      <x:c r="B696" s="8" t="str">
        <x:v>Contoso DVD Player M130 Grey</x:v>
      </x:c>
      <x:c r="C696" s="8" t="n">
        <x:v>346</x:v>
      </x:c>
      <x:c r="D696" s="9" t="n">
        <x:v>59.99</x:v>
      </x:c>
      <x:c r="E696" s="9" t="n">
        <x:v>27.59</x:v>
      </x:c>
      <x:c r="F696" s="8" t="n">
        <x:f>C696*D696</x:f>
        <x:v>20756.54</x:v>
      </x:c>
      <x:c r="G696" s="8" t="n">
        <x:f>C696*E696</x:f>
        <x:v>9546.14</x:v>
      </x:c>
      <x:c r="H696" s="8" t="n">
        <x:f>F696-G696</x:f>
        <x:v>11210.400000000001</x:v>
      </x:c>
      <x:c r="I696" s="10" t="n">
        <x:f>H696/F696</x:f>
        <x:v>0.5400900150025004</x:v>
      </x:c>
    </x:row>
    <x:row r="697" ht="22" customHeight="1">
      <x:c r="A697" s="11" t="str">
        <x:v>162</x:v>
      </x:c>
      <x:c r="B697" s="8" t="str">
        <x:v>Adventure Works 52" LCD HDTV X790W Black</x:v>
      </x:c>
      <x:c r="C697" s="8" t="n">
        <x:v>79</x:v>
      </x:c>
      <x:c r="D697" s="9" t="n">
        <x:v>1592.2</x:v>
      </x:c>
      <x:c r="E697" s="9" t="n">
        <x:v>527.53</x:v>
      </x:c>
      <x:c r="F697" s="8" t="n">
        <x:f>C697*D697</x:f>
        <x:v>125783.8</x:v>
      </x:c>
      <x:c r="G697" s="8" t="n">
        <x:f>C697*E697</x:f>
        <x:v>41674.869999999995</x:v>
      </x:c>
      <x:c r="H697" s="8" t="n">
        <x:f>F697-G697</x:f>
        <x:v>84108.93000000001</x:v>
      </x:c>
      <x:c r="I697" s="10" t="n">
        <x:f>H697/F697</x:f>
        <x:v>0.6686785579701043</x:v>
      </x:c>
    </x:row>
    <x:row r="698" ht="22" customHeight="1">
      <x:c r="A698" s="11" t="str">
        <x:v>1620</x:v>
      </x:c>
      <x:c r="B698" s="8" t="str">
        <x:v>Contoso DVD Player M140 Gold</x:v>
      </x:c>
      <x:c r="C698" s="8" t="n">
        <x:v>260</x:v>
      </x:c>
      <x:c r="D698" s="9" t="n">
        <x:v>60.99</x:v>
      </x:c>
      <x:c r="E698" s="9" t="n">
        <x:v>28.05</x:v>
      </x:c>
      <x:c r="F698" s="8" t="n">
        <x:f>C698*D698</x:f>
        <x:v>15857.4</x:v>
      </x:c>
      <x:c r="G698" s="8" t="n">
        <x:f>C698*E698</x:f>
        <x:v>7293</x:v>
      </x:c>
      <x:c r="H698" s="8" t="n">
        <x:f>F698-G698</x:f>
        <x:v>8564.4</x:v>
      </x:c>
      <x:c r="I698" s="10" t="n">
        <x:f>H698/F698</x:f>
        <x:v>0.5400885391047713</x:v>
      </x:c>
    </x:row>
    <x:row r="699" ht="22" customHeight="1">
      <x:c r="A699" s="11" t="str">
        <x:v>1621</x:v>
      </x:c>
      <x:c r="B699" s="8" t="str">
        <x:v>Contoso DVD Movies E100 Yellow</x:v>
      </x:c>
      <x:c r="C699" s="8" t="n">
        <x:v>345</x:v>
      </x:c>
      <x:c r="D699" s="9" t="n">
        <x:v>12.99</x:v>
      </x:c>
      <x:c r="E699" s="9" t="n">
        <x:v>6.62</x:v>
      </x:c>
      <x:c r="F699" s="8" t="n">
        <x:f>C699*D699</x:f>
        <x:v>4481.55</x:v>
      </x:c>
      <x:c r="G699" s="8" t="n">
        <x:f>C699*E699</x:f>
        <x:v>2283.9</x:v>
      </x:c>
      <x:c r="H699" s="8" t="n">
        <x:f>F699-G699</x:f>
        <x:v>2197.65</x:v>
      </x:c>
      <x:c r="I699" s="10" t="n">
        <x:f>H699/F699</x:f>
        <x:v>0.49037721324095457</x:v>
      </x:c>
    </x:row>
    <x:row r="700" ht="22" customHeight="1">
      <x:c r="A700" s="11" t="str">
        <x:v>1622</x:v>
      </x:c>
      <x:c r="B700" s="8" t="str">
        <x:v>Contoso DVD Recorder L200 Black</x:v>
      </x:c>
      <x:c r="C700" s="8" t="n">
        <x:v>313</x:v>
      </x:c>
      <x:c r="D700" s="9" t="n">
        <x:v>219</x:v>
      </x:c>
      <x:c r="E700" s="9" t="n">
        <x:v>72.56</x:v>
      </x:c>
      <x:c r="F700" s="8" t="n">
        <x:f>C700*D700</x:f>
        <x:v>68547</x:v>
      </x:c>
      <x:c r="G700" s="8" t="n">
        <x:f>C700*E700</x:f>
        <x:v>22711.280000000002</x:v>
      </x:c>
      <x:c r="H700" s="8" t="n">
        <x:f>F700-G700</x:f>
        <x:v>45835.72</x:v>
      </x:c>
      <x:c r="I700" s="10" t="n">
        <x:f>H700/F700</x:f>
        <x:v>0.668675799086758</x:v>
      </x:c>
    </x:row>
    <x:row r="701" ht="22" customHeight="1">
      <x:c r="A701" s="11" t="str">
        <x:v>1623</x:v>
      </x:c>
      <x:c r="B701" s="8" t="str">
        <x:v>Contoso DVD Recorder L210 Silver</x:v>
      </x:c>
      <x:c r="C701" s="8" t="n">
        <x:v>300</x:v>
      </x:c>
      <x:c r="D701" s="9" t="n">
        <x:v>219</x:v>
      </x:c>
      <x:c r="E701" s="9" t="n">
        <x:v>72.56</x:v>
      </x:c>
      <x:c r="F701" s="8" t="n">
        <x:f>C701*D701</x:f>
        <x:v>65700</x:v>
      </x:c>
      <x:c r="G701" s="8" t="n">
        <x:f>C701*E701</x:f>
        <x:v>21768</x:v>
      </x:c>
      <x:c r="H701" s="8" t="n">
        <x:f>F701-G701</x:f>
        <x:v>43932</x:v>
      </x:c>
      <x:c r="I701" s="10" t="n">
        <x:f>H701/F701</x:f>
        <x:v>0.668675799086758</x:v>
      </x:c>
    </x:row>
    <x:row r="702" ht="22" customHeight="1">
      <x:c r="A702" s="11" t="str">
        <x:v>1624</x:v>
      </x:c>
      <x:c r="B702" s="8" t="str">
        <x:v>Contoso DVD Recorder L220 White</x:v>
      </x:c>
      <x:c r="C702" s="8" t="n">
        <x:v>283</x:v>
      </x:c>
      <x:c r="D702" s="9" t="n">
        <x:v>219</x:v>
      </x:c>
      <x:c r="E702" s="9" t="n">
        <x:v>72.56</x:v>
      </x:c>
      <x:c r="F702" s="8" t="n">
        <x:f>C702*D702</x:f>
        <x:v>61977</x:v>
      </x:c>
      <x:c r="G702" s="8" t="n">
        <x:f>C702*E702</x:f>
        <x:v>20534.48</x:v>
      </x:c>
      <x:c r="H702" s="8" t="n">
        <x:f>F702-G702</x:f>
        <x:v>41442.520000000004</x:v>
      </x:c>
      <x:c r="I702" s="10" t="n">
        <x:f>H702/F702</x:f>
        <x:v>0.668675799086758</x:v>
      </x:c>
    </x:row>
    <x:row r="703" ht="22" customHeight="1">
      <x:c r="A703" s="11" t="str">
        <x:v>1625</x:v>
      </x:c>
      <x:c r="B703" s="8" t="str">
        <x:v>Contoso DVD Recorder L230 Grey</x:v>
      </x:c>
      <x:c r="C703" s="8" t="n">
        <x:v>371</x:v>
      </x:c>
      <x:c r="D703" s="9" t="n">
        <x:v>219</x:v>
      </x:c>
      <x:c r="E703" s="9" t="n">
        <x:v>72.56</x:v>
      </x:c>
      <x:c r="F703" s="8" t="n">
        <x:f>C703*D703</x:f>
        <x:v>81249</x:v>
      </x:c>
      <x:c r="G703" s="8" t="n">
        <x:f>C703*E703</x:f>
        <x:v>26919.760000000002</x:v>
      </x:c>
      <x:c r="H703" s="8" t="n">
        <x:f>F703-G703</x:f>
        <x:v>54329.24</x:v>
      </x:c>
      <x:c r="I703" s="10" t="n">
        <x:f>H703/F703</x:f>
        <x:v>0.668675799086758</x:v>
      </x:c>
    </x:row>
    <x:row r="704" ht="22" customHeight="1">
      <x:c r="A704" s="11" t="str">
        <x:v>1626</x:v>
      </x:c>
      <x:c r="B704" s="8" t="str">
        <x:v>Contoso DVD Recorder L240 Gold</x:v>
      </x:c>
      <x:c r="C704" s="8" t="n">
        <x:v>271</x:v>
      </x:c>
      <x:c r="D704" s="9" t="n">
        <x:v>219</x:v>
      </x:c>
      <x:c r="E704" s="9" t="n">
        <x:v>72.56</x:v>
      </x:c>
      <x:c r="F704" s="8" t="n">
        <x:f>C704*D704</x:f>
        <x:v>59349</x:v>
      </x:c>
      <x:c r="G704" s="8" t="n">
        <x:f>C704*E704</x:f>
        <x:v>19663.760000000002</x:v>
      </x:c>
      <x:c r="H704" s="8" t="n">
        <x:f>F704-G704</x:f>
        <x:v>39685.24</x:v>
      </x:c>
      <x:c r="I704" s="10" t="n">
        <x:f>H704/F704</x:f>
        <x:v>0.668675799086758</x:v>
      </x:c>
    </x:row>
    <x:row r="705" ht="22" customHeight="1">
      <x:c r="A705" s="11" t="str">
        <x:v>1627</x:v>
      </x:c>
      <x:c r="B705" s="8" t="str">
        <x:v>Contoso DVD 48 DVD Storage Binder M50 Black</x:v>
      </x:c>
      <x:c r="C705" s="8" t="n">
        <x:v>299</x:v>
      </x:c>
      <x:c r="D705" s="9" t="n">
        <x:v>17.99</x:v>
      </x:c>
      <x:c r="E705" s="9" t="n">
        <x:v>8.27</x:v>
      </x:c>
      <x:c r="F705" s="8" t="n">
        <x:f>C705*D705</x:f>
        <x:v>5379.009999999999</x:v>
      </x:c>
      <x:c r="G705" s="8" t="n">
        <x:f>C705*E705</x:f>
        <x:v>2472.73</x:v>
      </x:c>
      <x:c r="H705" s="8" t="n">
        <x:f>F705-G705</x:f>
        <x:v>2906.2799999999993</x:v>
      </x:c>
      <x:c r="I705" s="10" t="n">
        <x:f>H705/F705</x:f>
        <x:v>0.5403001667593107</x:v>
      </x:c>
    </x:row>
    <x:row r="706" ht="22" customHeight="1">
      <x:c r="A706" s="11" t="str">
        <x:v>1628</x:v>
      </x:c>
      <x:c r="B706" s="8" t="str">
        <x:v>Contoso DVD 58 DVD Storage Binder M55 Black</x:v>
      </x:c>
      <x:c r="C706" s="8" t="n">
        <x:v>318</x:v>
      </x:c>
      <x:c r="D706" s="9" t="n">
        <x:v>13.89</x:v>
      </x:c>
      <x:c r="E706" s="9" t="n">
        <x:v>6.39</x:v>
      </x:c>
      <x:c r="F706" s="8" t="n">
        <x:f>C706*D706</x:f>
        <x:v>4417.02</x:v>
      </x:c>
      <x:c r="G706" s="8" t="n">
        <x:f>C706*E706</x:f>
        <x:v>2032.02</x:v>
      </x:c>
      <x:c r="H706" s="8" t="n">
        <x:f>F706-G706</x:f>
        <x:v>2385.0000000000005</x:v>
      </x:c>
      <x:c r="I706" s="10" t="n">
        <x:f>H706/F706</x:f>
        <x:v>0.5399568034557236</x:v>
      </x:c>
    </x:row>
    <x:row r="707" ht="22" customHeight="1">
      <x:c r="A707" s="11" t="str">
        <x:v>1629</x:v>
      </x:c>
      <x:c r="B707" s="8" t="str">
        <x:v>Contoso DVD 38 DVD Storage Binder E25 Black</x:v>
      </x:c>
      <x:c r="C707" s="8" t="n">
        <x:v>356</x:v>
      </x:c>
      <x:c r="D707" s="9" t="n">
        <x:v>9.99</x:v>
      </x:c>
      <x:c r="E707" s="9" t="n">
        <x:v>5.09</x:v>
      </x:c>
      <x:c r="F707" s="8" t="n">
        <x:f>C707*D707</x:f>
        <x:v>3556.44</x:v>
      </x:c>
      <x:c r="G707" s="8" t="n">
        <x:f>C707*E707</x:f>
        <x:v>1812.04</x:v>
      </x:c>
      <x:c r="H707" s="8" t="n">
        <x:f>F707-G707</x:f>
        <x:v>1744.4</x:v>
      </x:c>
      <x:c r="I707" s="10" t="n">
        <x:f>H707/F707</x:f>
        <x:v>0.4904904904904905</x:v>
      </x:c>
    </x:row>
    <x:row r="708" ht="22" customHeight="1">
      <x:c r="A708" s="11" t="str">
        <x:v>163</x:v>
      </x:c>
      <x:c r="B708" s="8" t="str">
        <x:v>Adventure Works 52" LCD HDTV X790W White</x:v>
      </x:c>
      <x:c r="C708" s="8" t="n">
        <x:v>119</x:v>
      </x:c>
      <x:c r="D708" s="9" t="n">
        <x:v>1592.2</x:v>
      </x:c>
      <x:c r="E708" s="9" t="n">
        <x:v>527.53</x:v>
      </x:c>
      <x:c r="F708" s="8" t="n">
        <x:f>C708*D708</x:f>
        <x:v>189471.80000000002</x:v>
      </x:c>
      <x:c r="G708" s="8" t="n">
        <x:f>C708*E708</x:f>
        <x:v>62776.07</x:v>
      </x:c>
      <x:c r="H708" s="8" t="n">
        <x:f>F708-G708</x:f>
        <x:v>126695.73000000001</x:v>
      </x:c>
      <x:c r="I708" s="10" t="n">
        <x:f>H708/F708</x:f>
        <x:v>0.6686785579701042</x:v>
      </x:c>
    </x:row>
    <x:row r="709" ht="22" customHeight="1">
      <x:c r="A709" s="11" t="str">
        <x:v>1630</x:v>
      </x:c>
      <x:c r="B709" s="8" t="str">
        <x:v>Contoso DVD 60 DVD Storage Binder L20 Black</x:v>
      </x:c>
      <x:c r="C709" s="8" t="n">
        <x:v>254</x:v>
      </x:c>
      <x:c r="D709" s="9" t="n">
        <x:v>22.89</x:v>
      </x:c>
      <x:c r="E709" s="9" t="n">
        <x:v>7.58</x:v>
      </x:c>
      <x:c r="F709" s="8" t="n">
        <x:f>C709*D709</x:f>
        <x:v>5814.06</x:v>
      </x:c>
      <x:c r="G709" s="8" t="n">
        <x:f>C709*E709</x:f>
        <x:v>1925.32</x:v>
      </x:c>
      <x:c r="H709" s="8" t="n">
        <x:f>F709-G709</x:f>
        <x:v>3888.7400000000007</x:v>
      </x:c>
      <x:c r="I709" s="10" t="n">
        <x:f>H709/F709</x:f>
        <x:v>0.6688510266491918</x:v>
      </x:c>
    </x:row>
    <x:row r="710" ht="22" customHeight="1">
      <x:c r="A710" s="11" t="str">
        <x:v>1631</x:v>
      </x:c>
      <x:c r="B710" s="8" t="str">
        <x:v>Contoso DVD 55DVD Storage Binder M56 Black</x:v>
      </x:c>
      <x:c r="C710" s="8" t="n">
        <x:v>323</x:v>
      </x:c>
      <x:c r="D710" s="9" t="n">
        <x:v>12.66</x:v>
      </x:c>
      <x:c r="E710" s="9" t="n">
        <x:v>5.82</x:v>
      </x:c>
      <x:c r="F710" s="8" t="n">
        <x:f>C710*D710</x:f>
        <x:v>4089.18</x:v>
      </x:c>
      <x:c r="G710" s="8" t="n">
        <x:f>C710*E710</x:f>
        <x:v>1879.8600000000001</x:v>
      </x:c>
      <x:c r="H710" s="8" t="n">
        <x:f>F710-G710</x:f>
        <x:v>2209.3199999999997</x:v>
      </x:c>
      <x:c r="I710" s="10" t="n">
        <x:f>H710/F710</x:f>
        <x:v>0.5402843601895734</x:v>
      </x:c>
    </x:row>
    <x:row r="711" ht="22" customHeight="1">
      <x:c r="A711" s="11" t="str">
        <x:v>1632</x:v>
      </x:c>
      <x:c r="B711" s="8" t="str">
        <x:v>Contoso DVD 48 DVD Storage Binder M50 Silver</x:v>
      </x:c>
      <x:c r="C711" s="8" t="n">
        <x:v>348</x:v>
      </x:c>
      <x:c r="D711" s="9" t="n">
        <x:v>17.99</x:v>
      </x:c>
      <x:c r="E711" s="9" t="n">
        <x:v>8.27</x:v>
      </x:c>
      <x:c r="F711" s="8" t="n">
        <x:f>C711*D711</x:f>
        <x:v>6260.5199999999995</x:v>
      </x:c>
      <x:c r="G711" s="8" t="n">
        <x:f>C711*E711</x:f>
        <x:v>2877.96</x:v>
      </x:c>
      <x:c r="H711" s="8" t="n">
        <x:f>F711-G711</x:f>
        <x:v>3382.5599999999995</x:v>
      </x:c>
      <x:c r="I711" s="10" t="n">
        <x:f>H711/F711</x:f>
        <x:v>0.5403001667593107</x:v>
      </x:c>
    </x:row>
    <x:row r="712" ht="22" customHeight="1">
      <x:c r="A712" s="11" t="str">
        <x:v>1633</x:v>
      </x:c>
      <x:c r="B712" s="8" t="str">
        <x:v>Contoso DVD 58 DVD Storage Binder M55 Silver</x:v>
      </x:c>
      <x:c r="C712" s="8" t="n">
        <x:v>289</x:v>
      </x:c>
      <x:c r="D712" s="9" t="n">
        <x:v>13.89</x:v>
      </x:c>
      <x:c r="E712" s="9" t="n">
        <x:v>6.39</x:v>
      </x:c>
      <x:c r="F712" s="8" t="n">
        <x:f>C712*D712</x:f>
        <x:v>4014.21</x:v>
      </x:c>
      <x:c r="G712" s="8" t="n">
        <x:f>C712*E712</x:f>
        <x:v>1846.7099999999998</x:v>
      </x:c>
      <x:c r="H712" s="8" t="n">
        <x:f>F712-G712</x:f>
        <x:v>2167.5</x:v>
      </x:c>
      <x:c r="I712" s="10" t="n">
        <x:f>H712/F712</x:f>
        <x:v>0.5399568034557235</x:v>
      </x:c>
    </x:row>
    <x:row r="713" ht="22" customHeight="1">
      <x:c r="A713" s="11" t="str">
        <x:v>1634</x:v>
      </x:c>
      <x:c r="B713" s="8" t="str">
        <x:v>Contoso DVD 38 DVD Storage Binder E25 Silver</x:v>
      </x:c>
      <x:c r="C713" s="8" t="n">
        <x:v>283</x:v>
      </x:c>
      <x:c r="D713" s="9" t="n">
        <x:v>9.99</x:v>
      </x:c>
      <x:c r="E713" s="9" t="n">
        <x:v>5.09</x:v>
      </x:c>
      <x:c r="F713" s="8" t="n">
        <x:f>C713*D713</x:f>
        <x:v>2827.17</x:v>
      </x:c>
      <x:c r="G713" s="8" t="n">
        <x:f>C713*E713</x:f>
        <x:v>1440.47</x:v>
      </x:c>
      <x:c r="H713" s="8" t="n">
        <x:f>F713-G713</x:f>
        <x:v>1386.7</x:v>
      </x:c>
      <x:c r="I713" s="10" t="n">
        <x:f>H713/F713</x:f>
        <x:v>0.4904904904904905</x:v>
      </x:c>
    </x:row>
    <x:row r="714" ht="22" customHeight="1">
      <x:c r="A714" s="11" t="str">
        <x:v>1635</x:v>
      </x:c>
      <x:c r="B714" s="8" t="str">
        <x:v>Contoso DVD 60 DVD Storage Binder L20 Silver</x:v>
      </x:c>
      <x:c r="C714" s="8" t="n">
        <x:v>311</x:v>
      </x:c>
      <x:c r="D714" s="9" t="n">
        <x:v>22.89</x:v>
      </x:c>
      <x:c r="E714" s="9" t="n">
        <x:v>7.58</x:v>
      </x:c>
      <x:c r="F714" s="8" t="n">
        <x:f>C714*D714</x:f>
        <x:v>7118.79</x:v>
      </x:c>
      <x:c r="G714" s="8" t="n">
        <x:f>C714*E714</x:f>
        <x:v>2357.38</x:v>
      </x:c>
      <x:c r="H714" s="8" t="n">
        <x:f>F714-G714</x:f>
        <x:v>4761.41</x:v>
      </x:c>
      <x:c r="I714" s="10" t="n">
        <x:f>H714/F714</x:f>
        <x:v>0.6688510266491917</x:v>
      </x:c>
    </x:row>
    <x:row r="715" ht="22" customHeight="1">
      <x:c r="A715" s="11" t="str">
        <x:v>1636</x:v>
      </x:c>
      <x:c r="B715" s="8" t="str">
        <x:v>Contoso DVD 55DVD Storage Binder M56 Silver</x:v>
      </x:c>
      <x:c r="C715" s="8" t="n">
        <x:v>380</x:v>
      </x:c>
      <x:c r="D715" s="9" t="n">
        <x:v>12.66</x:v>
      </x:c>
      <x:c r="E715" s="9" t="n">
        <x:v>5.82</x:v>
      </x:c>
      <x:c r="F715" s="8" t="n">
        <x:f>C715*D715</x:f>
        <x:v>4810.8</x:v>
      </x:c>
      <x:c r="G715" s="8" t="n">
        <x:f>C715*E715</x:f>
        <x:v>2211.6</x:v>
      </x:c>
      <x:c r="H715" s="8" t="n">
        <x:f>F715-G715</x:f>
        <x:v>2599.2000000000003</x:v>
      </x:c>
      <x:c r="I715" s="10" t="n">
        <x:f>H715/F715</x:f>
        <x:v>0.5402843601895735</x:v>
      </x:c>
    </x:row>
    <x:row r="716" ht="22" customHeight="1">
      <x:c r="A716" s="11" t="str">
        <x:v>1637</x:v>
      </x:c>
      <x:c r="B716" s="8" t="str">
        <x:v>Contoso DVD 48 DVD Storage Binder M50 Red</x:v>
      </x:c>
      <x:c r="C716" s="8" t="n">
        <x:v>352</x:v>
      </x:c>
      <x:c r="D716" s="9" t="n">
        <x:v>17.99</x:v>
      </x:c>
      <x:c r="E716" s="9" t="n">
        <x:v>8.27</x:v>
      </x:c>
      <x:c r="F716" s="8" t="n">
        <x:f>C716*D716</x:f>
        <x:v>6332.48</x:v>
      </x:c>
      <x:c r="G716" s="8" t="n">
        <x:f>C716*E716</x:f>
        <x:v>2911.04</x:v>
      </x:c>
      <x:c r="H716" s="8" t="n">
        <x:f>F716-G716</x:f>
        <x:v>3421.4399999999996</x:v>
      </x:c>
      <x:c r="I716" s="10" t="n">
        <x:f>H716/F716</x:f>
        <x:v>0.5403001667593107</x:v>
      </x:c>
    </x:row>
    <x:row r="717" ht="22" customHeight="1">
      <x:c r="A717" s="11" t="str">
        <x:v>1638</x:v>
      </x:c>
      <x:c r="B717" s="8" t="str">
        <x:v>Contoso DVD 58 DVD Storage Binder M55 Red</x:v>
      </x:c>
      <x:c r="C717" s="8" t="n">
        <x:v>315</x:v>
      </x:c>
      <x:c r="D717" s="9" t="n">
        <x:v>13.89</x:v>
      </x:c>
      <x:c r="E717" s="9" t="n">
        <x:v>6.39</x:v>
      </x:c>
      <x:c r="F717" s="8" t="n">
        <x:f>C717*D717</x:f>
        <x:v>4375.35</x:v>
      </x:c>
      <x:c r="G717" s="8" t="n">
        <x:f>C717*E717</x:f>
        <x:v>2012.85</x:v>
      </x:c>
      <x:c r="H717" s="8" t="n">
        <x:f>F717-G717</x:f>
        <x:v>2362.5000000000005</x:v>
      </x:c>
      <x:c r="I717" s="10" t="n">
        <x:f>H717/F717</x:f>
        <x:v>0.5399568034557236</x:v>
      </x:c>
    </x:row>
    <x:row r="718" ht="22" customHeight="1">
      <x:c r="A718" s="11" t="str">
        <x:v>1639</x:v>
      </x:c>
      <x:c r="B718" s="8" t="str">
        <x:v>Contoso DVD 38 DVD Storage Binder E25 Red</x:v>
      </x:c>
      <x:c r="C718" s="8" t="n">
        <x:v>306</x:v>
      </x:c>
      <x:c r="D718" s="9" t="n">
        <x:v>9.99</x:v>
      </x:c>
      <x:c r="E718" s="9" t="n">
        <x:v>5.09</x:v>
      </x:c>
      <x:c r="F718" s="8" t="n">
        <x:f>C718*D718</x:f>
        <x:v>3056.94</x:v>
      </x:c>
      <x:c r="G718" s="8" t="n">
        <x:f>C718*E718</x:f>
        <x:v>1557.54</x:v>
      </x:c>
      <x:c r="H718" s="8" t="n">
        <x:f>F718-G718</x:f>
        <x:v>1499.4</x:v>
      </x:c>
      <x:c r="I718" s="10" t="n">
        <x:f>H718/F718</x:f>
        <x:v>0.49049049049049054</x:v>
      </x:c>
    </x:row>
    <x:row r="719" ht="22" customHeight="1">
      <x:c r="A719" s="11" t="str">
        <x:v>164</x:v>
      </x:c>
      <x:c r="B719" s="8" t="str">
        <x:v>Adventure Works 52" LCD HDTV X790W Brown</x:v>
      </x:c>
      <x:c r="C719" s="8" t="n">
        <x:v>125</x:v>
      </x:c>
      <x:c r="D719" s="9" t="n">
        <x:v>1592.2</x:v>
      </x:c>
      <x:c r="E719" s="9" t="n">
        <x:v>527.53</x:v>
      </x:c>
      <x:c r="F719" s="8" t="n">
        <x:f>C719*D719</x:f>
        <x:v>199025</x:v>
      </x:c>
      <x:c r="G719" s="8" t="n">
        <x:f>C719*E719</x:f>
        <x:v>65941.25</x:v>
      </x:c>
      <x:c r="H719" s="8" t="n">
        <x:f>F719-G719</x:f>
        <x:v>133083.75</x:v>
      </x:c>
      <x:c r="I719" s="10" t="n">
        <x:f>H719/F719</x:f>
        <x:v>0.6686785579701042</x:v>
      </x:c>
    </x:row>
    <x:row r="720" ht="22" customHeight="1">
      <x:c r="A720" s="11" t="str">
        <x:v>1640</x:v>
      </x:c>
      <x:c r="B720" s="8" t="str">
        <x:v>Contoso DVD 60 DVD Storage Binder L20 Red</x:v>
      </x:c>
      <x:c r="C720" s="8" t="n">
        <x:v>266</x:v>
      </x:c>
      <x:c r="D720" s="9" t="n">
        <x:v>22.89</x:v>
      </x:c>
      <x:c r="E720" s="9" t="n">
        <x:v>7.58</x:v>
      </x:c>
      <x:c r="F720" s="8" t="n">
        <x:f>C720*D720</x:f>
        <x:v>6088.74</x:v>
      </x:c>
      <x:c r="G720" s="8" t="n">
        <x:f>C720*E720</x:f>
        <x:v>2016.28</x:v>
      </x:c>
      <x:c r="H720" s="8" t="n">
        <x:f>F720-G720</x:f>
        <x:v>4072.46</x:v>
      </x:c>
      <x:c r="I720" s="10" t="n">
        <x:f>H720/F720</x:f>
        <x:v>0.6688510266491918</x:v>
      </x:c>
    </x:row>
    <x:row r="721" ht="22" customHeight="1">
      <x:c r="A721" s="11" t="str">
        <x:v>1641</x:v>
      </x:c>
      <x:c r="B721" s="8" t="str">
        <x:v>Contoso DVD 55DVD Storage Binder M56 Red</x:v>
      </x:c>
      <x:c r="C721" s="8" t="n">
        <x:v>357</x:v>
      </x:c>
      <x:c r="D721" s="9" t="n">
        <x:v>12.66</x:v>
      </x:c>
      <x:c r="E721" s="9" t="n">
        <x:v>5.82</x:v>
      </x:c>
      <x:c r="F721" s="8" t="n">
        <x:f>C721*D721</x:f>
        <x:v>4519.62</x:v>
      </x:c>
      <x:c r="G721" s="8" t="n">
        <x:f>C721*E721</x:f>
        <x:v>2077.7400000000002</x:v>
      </x:c>
      <x:c r="H721" s="8" t="n">
        <x:f>F721-G721</x:f>
        <x:v>2441.8799999999997</x:v>
      </x:c>
      <x:c r="I721" s="10" t="n">
        <x:f>H721/F721</x:f>
        <x:v>0.5402843601895734</x:v>
      </x:c>
    </x:row>
    <x:row r="722" ht="22" customHeight="1">
      <x:c r="A722" s="11" t="str">
        <x:v>1642</x:v>
      </x:c>
      <x:c r="B722" s="8" t="str">
        <x:v>Contoso DVD External DVD Burner M200 Black</x:v>
      </x:c>
      <x:c r="C722" s="8" t="n">
        <x:v>278</x:v>
      </x:c>
      <x:c r="D722" s="9" t="n">
        <x:v>57.88</x:v>
      </x:c>
      <x:c r="E722" s="9" t="n">
        <x:v>26.62</x:v>
      </x:c>
      <x:c r="F722" s="8" t="n">
        <x:f>C722*D722</x:f>
        <x:v>16090.640000000001</x:v>
      </x:c>
      <x:c r="G722" s="8" t="n">
        <x:f>C722*E722</x:f>
        <x:v>7400.360000000001</x:v>
      </x:c>
      <x:c r="H722" s="8" t="n">
        <x:f>F722-G722</x:f>
        <x:v>8690.28</x:v>
      </x:c>
      <x:c r="I722" s="10" t="n">
        <x:f>H722/F722</x:f>
        <x:v>0.5400829302004146</x:v>
      </x:c>
    </x:row>
    <x:row r="723" ht="22" customHeight="1">
      <x:c r="A723" s="11" t="str">
        <x:v>1643</x:v>
      </x:c>
      <x:c r="B723" s="8" t="str">
        <x:v>Contoso DVD External DVD Burner M200 Grey</x:v>
      </x:c>
      <x:c r="C723" s="8" t="n">
        <x:v>360</x:v>
      </x:c>
      <x:c r="D723" s="9" t="n">
        <x:v>57.88</x:v>
      </x:c>
      <x:c r="E723" s="9" t="n">
        <x:v>26.62</x:v>
      </x:c>
      <x:c r="F723" s="8" t="n">
        <x:f>C723*D723</x:f>
        <x:v>20836.8</x:v>
      </x:c>
      <x:c r="G723" s="8" t="n">
        <x:f>C723*E723</x:f>
        <x:v>9583.2</x:v>
      </x:c>
      <x:c r="H723" s="8" t="n">
        <x:f>F723-G723</x:f>
        <x:v>11253.599999999999</x:v>
      </x:c>
      <x:c r="I723" s="10" t="n">
        <x:f>H723/F723</x:f>
        <x:v>0.5400829302004146</x:v>
      </x:c>
    </x:row>
    <x:row r="724" ht="22" customHeight="1">
      <x:c r="A724" s="11" t="str">
        <x:v>1644</x:v>
      </x:c>
      <x:c r="B724" s="8" t="str">
        <x:v>Contoso DVD External DVD Burner M200 Blue</x:v>
      </x:c>
      <x:c r="C724" s="8" t="n">
        <x:v>316</x:v>
      </x:c>
      <x:c r="D724" s="9" t="n">
        <x:v>57.88</x:v>
      </x:c>
      <x:c r="E724" s="9" t="n">
        <x:v>26.62</x:v>
      </x:c>
      <x:c r="F724" s="8" t="n">
        <x:f>C724*D724</x:f>
        <x:v>18290.08</x:v>
      </x:c>
      <x:c r="G724" s="8" t="n">
        <x:f>C724*E724</x:f>
        <x:v>8411.92</x:v>
      </x:c>
      <x:c r="H724" s="8" t="n">
        <x:f>F724-G724</x:f>
        <x:v>9878.160000000002</x:v>
      </x:c>
      <x:c r="I724" s="10" t="n">
        <x:f>H724/F724</x:f>
        <x:v>0.5400829302004146</x:v>
      </x:c>
    </x:row>
    <x:row r="725" ht="22" customHeight="1">
      <x:c r="A725" s="11" t="str">
        <x:v>1645</x:v>
      </x:c>
      <x:c r="B725" s="8" t="str">
        <x:v>Contoso DVD External DVD Burner M200 Silver</x:v>
      </x:c>
      <x:c r="C725" s="8" t="n">
        <x:v>342</x:v>
      </x:c>
      <x:c r="D725" s="9" t="n">
        <x:v>57.88</x:v>
      </x:c>
      <x:c r="E725" s="9" t="n">
        <x:v>26.62</x:v>
      </x:c>
      <x:c r="F725" s="8" t="n">
        <x:f>C725*D725</x:f>
        <x:v>19794.96</x:v>
      </x:c>
      <x:c r="G725" s="8" t="n">
        <x:f>C725*E725</x:f>
        <x:v>9104.04</x:v>
      </x:c>
      <x:c r="H725" s="8" t="n">
        <x:f>F725-G725</x:f>
        <x:v>10690.919999999998</x:v>
      </x:c>
      <x:c r="I725" s="10" t="n">
        <x:f>H725/F725</x:f>
        <x:v>0.5400829302004145</x:v>
      </x:c>
    </x:row>
    <x:row r="726" ht="22" customHeight="1">
      <x:c r="A726" s="11" t="str">
        <x:v>1646</x:v>
      </x:c>
      <x:c r="B726" s="8" t="str">
        <x:v>Contoso DVD 9-Inch Player Portable M300 Black</x:v>
      </x:c>
      <x:c r="C726" s="8" t="n">
        <x:v>355</x:v>
      </x:c>
      <x:c r="D726" s="9" t="n">
        <x:v>159.99</x:v>
      </x:c>
      <x:c r="E726" s="9" t="n">
        <x:v>73.57</x:v>
      </x:c>
      <x:c r="F726" s="8" t="n">
        <x:f>C726*D726</x:f>
        <x:v>56796.450000000004</x:v>
      </x:c>
      <x:c r="G726" s="8" t="n">
        <x:f>C726*E726</x:f>
        <x:v>26117.35</x:v>
      </x:c>
      <x:c r="H726" s="8" t="n">
        <x:f>F726-G726</x:f>
        <x:v>30679.100000000006</x:v>
      </x:c>
      <x:c r="I726" s="10" t="n">
        <x:f>H726/F726</x:f>
        <x:v>0.5401587599224952</x:v>
      </x:c>
    </x:row>
    <x:row r="727" ht="22" customHeight="1">
      <x:c r="A727" s="11" t="str">
        <x:v>1647</x:v>
      </x:c>
      <x:c r="B727" s="8" t="str">
        <x:v>Contoso DVD 12-Inch Player Portable M400 Black</x:v>
      </x:c>
      <x:c r="C727" s="8" t="n">
        <x:v>329</x:v>
      </x:c>
      <x:c r="D727" s="9" t="n">
        <x:v>179.99</x:v>
      </x:c>
      <x:c r="E727" s="9" t="n">
        <x:v>82.77</x:v>
      </x:c>
      <x:c r="F727" s="8" t="n">
        <x:f>C727*D727</x:f>
        <x:v>59216.71000000001</x:v>
      </x:c>
      <x:c r="G727" s="8" t="n">
        <x:f>C727*E727</x:f>
        <x:v>27231.329999999998</x:v>
      </x:c>
      <x:c r="H727" s="8" t="n">
        <x:f>F727-G727</x:f>
        <x:v>31985.38000000001</x:v>
      </x:c>
      <x:c r="I727" s="10" t="n">
        <x:f>H727/F727</x:f>
        <x:v>0.5401411189510529</x:v>
      </x:c>
    </x:row>
    <x:row r="728" ht="22" customHeight="1">
      <x:c r="A728" s="11" t="str">
        <x:v>1648</x:v>
      </x:c>
      <x:c r="B728" s="8" t="str">
        <x:v>Contoso DVD 7-Inch Player Portable E200 Black</x:v>
      </x:c>
      <x:c r="C728" s="8" t="n">
        <x:v>376</x:v>
      </x:c>
      <x:c r="D728" s="9" t="n">
        <x:v>109.99</x:v>
      </x:c>
      <x:c r="E728" s="9" t="n">
        <x:v>56.08</x:v>
      </x:c>
      <x:c r="F728" s="8" t="n">
        <x:f>C728*D728</x:f>
        <x:v>41356.24</x:v>
      </x:c>
      <x:c r="G728" s="8" t="n">
        <x:f>C728*E728</x:f>
        <x:v>21086.079999999998</x:v>
      </x:c>
      <x:c r="H728" s="8" t="n">
        <x:f>F728-G728</x:f>
        <x:v>20270.16</x:v>
      </x:c>
      <x:c r="I728" s="10" t="n">
        <x:f>H728/F728</x:f>
        <x:v>0.4901354668606237</x:v>
      </x:c>
    </x:row>
    <x:row r="729" ht="22" customHeight="1">
      <x:c r="A729" s="11" t="str">
        <x:v>1649</x:v>
      </x:c>
      <x:c r="B729" s="8" t="str">
        <x:v>Contoso DVD 14-Inch Player Portable L100 Black</x:v>
      </x:c>
      <x:c r="C729" s="8" t="n">
        <x:v>349</x:v>
      </x:c>
      <x:c r="D729" s="9" t="n">
        <x:v>259.99</x:v>
      </x:c>
      <x:c r="E729" s="9" t="n">
        <x:v>86.14</x:v>
      </x:c>
      <x:c r="F729" s="8" t="n">
        <x:f>C729*D729</x:f>
        <x:v>90736.51000000001</x:v>
      </x:c>
      <x:c r="G729" s="8" t="n">
        <x:f>C729*E729</x:f>
        <x:v>30062.86</x:v>
      </x:c>
      <x:c r="H729" s="8" t="n">
        <x:f>F729-G729</x:f>
        <x:v>60673.65000000001</x:v>
      </x:c>
      <x:c r="I729" s="10" t="n">
        <x:f>H729/F729</x:f>
        <x:v>0.6686795645986384</x:v>
      </x:c>
    </x:row>
    <x:row r="730" ht="22" customHeight="1">
      <x:c r="A730" s="11" t="str">
        <x:v>165</x:v>
      </x:c>
      <x:c r="B730" s="8" t="str">
        <x:v>Adventure Works 42" LCD HDTV M55 Black</x:v>
      </x:c>
      <x:c r="C730" s="8" t="n">
        <x:v>134</x:v>
      </x:c>
      <x:c r="D730" s="9" t="n">
        <x:v>763.51</x:v>
      </x:c>
      <x:c r="E730" s="9" t="n">
        <x:v>389.26</x:v>
      </x:c>
      <x:c r="F730" s="8" t="n">
        <x:f>C730*D730</x:f>
        <x:v>102310.34</x:v>
      </x:c>
      <x:c r="G730" s="8" t="n">
        <x:f>C730*E730</x:f>
        <x:v>52160.84</x:v>
      </x:c>
      <x:c r="H730" s="8" t="n">
        <x:f>F730-G730</x:f>
        <x:v>50149.5</x:v>
      </x:c>
      <x:c r="I730" s="10" t="n">
        <x:f>H730/F730</x:f>
        <x:v>0.49017039724430594</x:v>
      </x:c>
    </x:row>
    <x:row r="731" ht="22" customHeight="1">
      <x:c r="A731" s="11" t="str">
        <x:v>1650</x:v>
      </x:c>
      <x:c r="B731" s="8" t="str">
        <x:v>Contoso DVD 15-Inch Player Portable L200 Black</x:v>
      </x:c>
      <x:c r="C731" s="8" t="n">
        <x:v>331</x:v>
      </x:c>
      <x:c r="D731" s="9" t="n">
        <x:v>289.99</x:v>
      </x:c>
      <x:c r="E731" s="9" t="n">
        <x:v>96.08</x:v>
      </x:c>
      <x:c r="F731" s="8" t="n">
        <x:f>C731*D731</x:f>
        <x:v>95986.69</x:v>
      </x:c>
      <x:c r="G731" s="8" t="n">
        <x:f>C731*E731</x:f>
        <x:v>31802.48</x:v>
      </x:c>
      <x:c r="H731" s="8" t="n">
        <x:f>F731-G731</x:f>
        <x:v>64184.21000000001</x:v>
      </x:c>
      <x:c r="I731" s="10" t="n">
        <x:f>H731/F731</x:f>
        <x:v>0.6686782302838029</x:v>
      </x:c>
    </x:row>
    <x:row r="732" ht="22" customHeight="1">
      <x:c r="A732" s="11" t="str">
        <x:v>1651</x:v>
      </x:c>
      <x:c r="B732" s="8" t="str">
        <x:v>Contoso DVD 9-Inch Player Portable M300 Silver</x:v>
      </x:c>
      <x:c r="C732" s="8" t="n">
        <x:v>336</x:v>
      </x:c>
      <x:c r="D732" s="9" t="n">
        <x:v>159.99</x:v>
      </x:c>
      <x:c r="E732" s="9" t="n">
        <x:v>73.57</x:v>
      </x:c>
      <x:c r="F732" s="8" t="n">
        <x:f>C732*D732</x:f>
        <x:v>53756.64</x:v>
      </x:c>
      <x:c r="G732" s="8" t="n">
        <x:f>C732*E732</x:f>
        <x:v>24719.519999999997</x:v>
      </x:c>
      <x:c r="H732" s="8" t="n">
        <x:f>F732-G732</x:f>
        <x:v>29037.120000000003</x:v>
      </x:c>
      <x:c r="I732" s="10" t="n">
        <x:f>H732/F732</x:f>
        <x:v>0.5401587599224952</x:v>
      </x:c>
    </x:row>
    <x:row r="733" ht="22" customHeight="1">
      <x:c r="A733" s="11" t="str">
        <x:v>1652</x:v>
      </x:c>
      <x:c r="B733" s="8" t="str">
        <x:v>Contoso DVD 12-Inch Player Portable M400 Silver</x:v>
      </x:c>
      <x:c r="C733" s="8" t="n">
        <x:v>370</x:v>
      </x:c>
      <x:c r="D733" s="9" t="n">
        <x:v>179.99</x:v>
      </x:c>
      <x:c r="E733" s="9" t="n">
        <x:v>82.77</x:v>
      </x:c>
      <x:c r="F733" s="8" t="n">
        <x:f>C733*D733</x:f>
        <x:v>66596.3</x:v>
      </x:c>
      <x:c r="G733" s="8" t="n">
        <x:f>C733*E733</x:f>
        <x:v>30624.899999999998</x:v>
      </x:c>
      <x:c r="H733" s="8" t="n">
        <x:f>F733-G733</x:f>
        <x:v>35971.40000000001</x:v>
      </x:c>
      <x:c r="I733" s="10" t="n">
        <x:f>H733/F733</x:f>
        <x:v>0.540141118951053</x:v>
      </x:c>
    </x:row>
    <x:row r="734" ht="22" customHeight="1">
      <x:c r="A734" s="11" t="str">
        <x:v>1653</x:v>
      </x:c>
      <x:c r="B734" s="8" t="str">
        <x:v>Contoso DVD 7-Inch Player Portable E200 Silver</x:v>
      </x:c>
      <x:c r="C734" s="8" t="n">
        <x:v>372</x:v>
      </x:c>
      <x:c r="D734" s="9" t="n">
        <x:v>109.99</x:v>
      </x:c>
      <x:c r="E734" s="9" t="n">
        <x:v>56.08</x:v>
      </x:c>
      <x:c r="F734" s="8" t="n">
        <x:f>C734*D734</x:f>
        <x:v>40916.28</x:v>
      </x:c>
      <x:c r="G734" s="8" t="n">
        <x:f>C734*E734</x:f>
        <x:v>20861.76</x:v>
      </x:c>
      <x:c r="H734" s="8" t="n">
        <x:f>F734-G734</x:f>
        <x:v>20054.52</x:v>
      </x:c>
      <x:c r="I734" s="10" t="n">
        <x:f>H734/F734</x:f>
        <x:v>0.4901354668606237</x:v>
      </x:c>
    </x:row>
    <x:row r="735" ht="22" customHeight="1">
      <x:c r="A735" s="11" t="str">
        <x:v>1654</x:v>
      </x:c>
      <x:c r="B735" s="8" t="str">
        <x:v>Contoso DVD 14-Inch Player Portable L100 Silver</x:v>
      </x:c>
      <x:c r="C735" s="8" t="n">
        <x:v>304</x:v>
      </x:c>
      <x:c r="D735" s="9" t="n">
        <x:v>259.99</x:v>
      </x:c>
      <x:c r="E735" s="9" t="n">
        <x:v>86.14</x:v>
      </x:c>
      <x:c r="F735" s="8" t="n">
        <x:f>C735*D735</x:f>
        <x:v>79036.96</x:v>
      </x:c>
      <x:c r="G735" s="8" t="n">
        <x:f>C735*E735</x:f>
        <x:v>26186.56</x:v>
      </x:c>
      <x:c r="H735" s="8" t="n">
        <x:f>F735-G735</x:f>
        <x:v>52850.40000000001</x:v>
      </x:c>
      <x:c r="I735" s="10" t="n">
        <x:f>H735/F735</x:f>
        <x:v>0.6686795645986384</x:v>
      </x:c>
    </x:row>
    <x:row r="736" ht="22" customHeight="1">
      <x:c r="A736" s="11" t="str">
        <x:v>1655</x:v>
      </x:c>
      <x:c r="B736" s="8" t="str">
        <x:v>Contoso DVD 15-Inch Player Portable L200 Silver</x:v>
      </x:c>
      <x:c r="C736" s="8" t="n">
        <x:v>325</x:v>
      </x:c>
      <x:c r="D736" s="9" t="n">
        <x:v>289.99</x:v>
      </x:c>
      <x:c r="E736" s="9" t="n">
        <x:v>96.08</x:v>
      </x:c>
      <x:c r="F736" s="8" t="n">
        <x:f>C736*D736</x:f>
        <x:v>94246.75</x:v>
      </x:c>
      <x:c r="G736" s="8" t="n">
        <x:f>C736*E736</x:f>
        <x:v>31226</x:v>
      </x:c>
      <x:c r="H736" s="8" t="n">
        <x:f>F736-G736</x:f>
        <x:v>63020.75</x:v>
      </x:c>
      <x:c r="I736" s="10" t="n">
        <x:f>H736/F736</x:f>
        <x:v>0.6686782302838029</x:v>
      </x:c>
    </x:row>
    <x:row r="737" ht="22" customHeight="1">
      <x:c r="A737" s="11" t="str">
        <x:v>1656</x:v>
      </x:c>
      <x:c r="B737" s="8" t="str">
        <x:v>Contoso DVD 9-Inch Player Portable M300 White</x:v>
      </x:c>
      <x:c r="C737" s="8" t="n">
        <x:v>333</x:v>
      </x:c>
      <x:c r="D737" s="9" t="n">
        <x:v>159.99</x:v>
      </x:c>
      <x:c r="E737" s="9" t="n">
        <x:v>73.57</x:v>
      </x:c>
      <x:c r="F737" s="8" t="n">
        <x:f>C737*D737</x:f>
        <x:v>53276.670000000006</x:v>
      </x:c>
      <x:c r="G737" s="8" t="n">
        <x:f>C737*E737</x:f>
        <x:v>24498.809999999998</x:v>
      </x:c>
      <x:c r="H737" s="8" t="n">
        <x:f>F737-G737</x:f>
        <x:v>28777.860000000008</x:v>
      </x:c>
      <x:c r="I737" s="10" t="n">
        <x:f>H737/F737</x:f>
        <x:v>0.5401587599224953</x:v>
      </x:c>
    </x:row>
    <x:row r="738" ht="22" customHeight="1">
      <x:c r="A738" s="11" t="str">
        <x:v>1657</x:v>
      </x:c>
      <x:c r="B738" s="8" t="str">
        <x:v>Contoso DVD 12-Inch Player Portable M400 White</x:v>
      </x:c>
      <x:c r="C738" s="8" t="n">
        <x:v>274</x:v>
      </x:c>
      <x:c r="D738" s="9" t="n">
        <x:v>179.99</x:v>
      </x:c>
      <x:c r="E738" s="9" t="n">
        <x:v>82.77</x:v>
      </x:c>
      <x:c r="F738" s="8" t="n">
        <x:f>C738*D738</x:f>
        <x:v>49317.26</x:v>
      </x:c>
      <x:c r="G738" s="8" t="n">
        <x:f>C738*E738</x:f>
        <x:v>22678.98</x:v>
      </x:c>
      <x:c r="H738" s="8" t="n">
        <x:f>F738-G738</x:f>
        <x:v>26638.280000000002</x:v>
      </x:c>
      <x:c r="I738" s="10" t="n">
        <x:f>H738/F738</x:f>
        <x:v>0.5401411189510529</x:v>
      </x:c>
    </x:row>
    <x:row r="739" ht="22" customHeight="1">
      <x:c r="A739" s="11" t="str">
        <x:v>1658</x:v>
      </x:c>
      <x:c r="B739" s="8" t="str">
        <x:v>Contoso DVD 7-Inch Player Portable E200 White</x:v>
      </x:c>
      <x:c r="C739" s="8" t="n">
        <x:v>289</x:v>
      </x:c>
      <x:c r="D739" s="9" t="n">
        <x:v>109.99</x:v>
      </x:c>
      <x:c r="E739" s="9" t="n">
        <x:v>56.08</x:v>
      </x:c>
      <x:c r="F739" s="8" t="n">
        <x:f>C739*D739</x:f>
        <x:v>31787.109999999997</x:v>
      </x:c>
      <x:c r="G739" s="8" t="n">
        <x:f>C739*E739</x:f>
        <x:v>16207.119999999999</x:v>
      </x:c>
      <x:c r="H739" s="8" t="n">
        <x:f>F739-G739</x:f>
        <x:v>15579.989999999998</x:v>
      </x:c>
      <x:c r="I739" s="10" t="n">
        <x:f>H739/F739</x:f>
        <x:v>0.4901354668606237</x:v>
      </x:c>
    </x:row>
    <x:row r="740" ht="22" customHeight="1">
      <x:c r="A740" s="11" t="str">
        <x:v>1659</x:v>
      </x:c>
      <x:c r="B740" s="8" t="str">
        <x:v>Contoso DVD 14-Inch Player Portable L100 White</x:v>
      </x:c>
      <x:c r="C740" s="8" t="n">
        <x:v>305</x:v>
      </x:c>
      <x:c r="D740" s="9" t="n">
        <x:v>259.99</x:v>
      </x:c>
      <x:c r="E740" s="9" t="n">
        <x:v>86.14</x:v>
      </x:c>
      <x:c r="F740" s="8" t="n">
        <x:f>C740*D740</x:f>
        <x:v>79296.95</x:v>
      </x:c>
      <x:c r="G740" s="8" t="n">
        <x:f>C740*E740</x:f>
        <x:v>26272.7</x:v>
      </x:c>
      <x:c r="H740" s="8" t="n">
        <x:f>F740-G740</x:f>
        <x:v>53024.25</x:v>
      </x:c>
      <x:c r="I740" s="10" t="n">
        <x:f>H740/F740</x:f>
        <x:v>0.6686795645986384</x:v>
      </x:c>
    </x:row>
    <x:row r="741" ht="22" customHeight="1">
      <x:c r="A741" s="11" t="str">
        <x:v>166</x:v>
      </x:c>
      <x:c r="B741" s="8" t="str">
        <x:v>SV 16xDVD M300 Black</x:v>
      </x:c>
      <x:c r="C741" s="8" t="n">
        <x:v>120</x:v>
      </x:c>
      <x:c r="D741" s="9" t="n">
        <x:v>119</x:v>
      </x:c>
      <x:c r="E741" s="9" t="n">
        <x:v>54.72</x:v>
      </x:c>
      <x:c r="F741" s="8" t="n">
        <x:f>C741*D741</x:f>
        <x:v>14280</x:v>
      </x:c>
      <x:c r="G741" s="8" t="n">
        <x:f>C741*E741</x:f>
        <x:v>6566.4</x:v>
      </x:c>
      <x:c r="H741" s="8" t="n">
        <x:f>F741-G741</x:f>
        <x:v>7713.6</x:v>
      </x:c>
      <x:c r="I741" s="10" t="n">
        <x:f>H741/F741</x:f>
        <x:v>0.5401680672268908</x:v>
      </x:c>
    </x:row>
    <x:row r="742" ht="22" customHeight="1">
      <x:c r="A742" s="11" t="str">
        <x:v>1660</x:v>
      </x:c>
      <x:c r="B742" s="8" t="str">
        <x:v>Contoso DVD 15-Inch Player Portable L200 White</x:v>
      </x:c>
      <x:c r="C742" s="8" t="n">
        <x:v>329</x:v>
      </x:c>
      <x:c r="D742" s="9" t="n">
        <x:v>289.99</x:v>
      </x:c>
      <x:c r="E742" s="9" t="n">
        <x:v>96.08</x:v>
      </x:c>
      <x:c r="F742" s="8" t="n">
        <x:f>C742*D742</x:f>
        <x:v>95406.71</x:v>
      </x:c>
      <x:c r="G742" s="8" t="n">
        <x:f>C742*E742</x:f>
        <x:v>31610.32</x:v>
      </x:c>
      <x:c r="H742" s="8" t="n">
        <x:f>F742-G742</x:f>
        <x:v>63796.39000000001</x:v>
      </x:c>
      <x:c r="I742" s="10" t="n">
        <x:f>H742/F742</x:f>
        <x:v>0.6686782302838029</x:v>
      </x:c>
    </x:row>
    <x:row r="743" ht="22" customHeight="1">
      <x:c r="A743" s="11" t="str">
        <x:v>1661</x:v>
      </x:c>
      <x:c r="B743" s="8" t="str">
        <x:v>MGS Hand Games for kids E300 Yellow</x:v>
      </x:c>
      <x:c r="C743" s="8" t="n">
        <x:v>259</x:v>
      </x:c>
      <x:c r="D743" s="9" t="n">
        <x:v>5.5</x:v>
      </x:c>
      <x:c r="E743" s="9" t="n">
        <x:v>2.8</x:v>
      </x:c>
      <x:c r="F743" s="8" t="n">
        <x:f>C743*D743</x:f>
        <x:v>1424.5</x:v>
      </x:c>
      <x:c r="G743" s="8" t="n">
        <x:f>C743*E743</x:f>
        <x:v>725.1999999999999</x:v>
      </x:c>
      <x:c r="H743" s="8" t="n">
        <x:f>F743-G743</x:f>
        <x:v>699.3000000000001</x:v>
      </x:c>
      <x:c r="I743" s="10" t="n">
        <x:f>H743/F743</x:f>
        <x:v>0.49090909090909096</x:v>
      </x:c>
    </x:row>
    <x:row r="744" ht="22" customHeight="1">
      <x:c r="A744" s="11" t="str">
        <x:v>1662</x:v>
      </x:c>
      <x:c r="B744" s="8" t="str">
        <x:v>MGS Hand Games for students E400 Yellow</x:v>
      </x:c>
      <x:c r="C744" s="8" t="n">
        <x:v>193</x:v>
      </x:c>
      <x:c r="D744" s="9" t="n">
        <x:v>6.99</x:v>
      </x:c>
      <x:c r="E744" s="9" t="n">
        <x:v>3.56</x:v>
      </x:c>
      <x:c r="F744" s="8" t="n">
        <x:f>C744*D744</x:f>
        <x:v>1349.07</x:v>
      </x:c>
      <x:c r="G744" s="8" t="n">
        <x:f>C744*E744</x:f>
        <x:v>687.08</x:v>
      </x:c>
      <x:c r="H744" s="8" t="n">
        <x:f>F744-G744</x:f>
        <x:v>661.9899999999999</x:v>
      </x:c>
      <x:c r="I744" s="10" t="n">
        <x:f>H744/F744</x:f>
        <x:v>0.4907010014306151</x:v>
      </x:c>
    </x:row>
    <x:row r="745" ht="22" customHeight="1">
      <x:c r="A745" s="11" t="str">
        <x:v>1663</x:v>
      </x:c>
      <x:c r="B745" s="8" t="str">
        <x:v>MGS Hand Games men M300 Yellow</x:v>
      </x:c>
      <x:c r="C745" s="8" t="n">
        <x:v>254</x:v>
      </x:c>
      <x:c r="D745" s="9" t="n">
        <x:v>6.89</x:v>
      </x:c>
      <x:c r="E745" s="9" t="n">
        <x:v>3.17</x:v>
      </x:c>
      <x:c r="F745" s="8" t="n">
        <x:f>C745*D745</x:f>
        <x:v>1750.06</x:v>
      </x:c>
      <x:c r="G745" s="8" t="n">
        <x:f>C745*E745</x:f>
        <x:v>805.18</x:v>
      </x:c>
      <x:c r="H745" s="8" t="n">
        <x:f>F745-G745</x:f>
        <x:v>944.88</x:v>
      </x:c>
      <x:c r="I745" s="10" t="n">
        <x:f>H745/F745</x:f>
        <x:v>0.5399129172714079</x:v>
      </x:c>
    </x:row>
    <x:row r="746" ht="22" customHeight="1">
      <x:c r="A746" s="11" t="str">
        <x:v>1664</x:v>
      </x:c>
      <x:c r="B746" s="8" t="str">
        <x:v>MGS Hand Games women M400 Yellow</x:v>
      </x:c>
      <x:c r="C746" s="8" t="n">
        <x:v>251</x:v>
      </x:c>
      <x:c r="D746" s="9" t="n">
        <x:v>8.99</x:v>
      </x:c>
      <x:c r="E746" s="9" t="n">
        <x:v>4.13</x:v>
      </x:c>
      <x:c r="F746" s="8" t="n">
        <x:f>C746*D746</x:f>
        <x:v>2256.4900000000002</x:v>
      </x:c>
      <x:c r="G746" s="8" t="n">
        <x:f>C746*E746</x:f>
        <x:v>1036.6299999999999</x:v>
      </x:c>
      <x:c r="H746" s="8" t="n">
        <x:f>F746-G746</x:f>
        <x:v>1219.8600000000004</x:v>
      </x:c>
      <x:c r="I746" s="10" t="n">
        <x:f>H746/F746</x:f>
        <x:v>0.5406006674082314</x:v>
      </x:c>
    </x:row>
    <x:row r="747" ht="22" customHeight="1">
      <x:c r="A747" s="11" t="str">
        <x:v>1665</x:v>
      </x:c>
      <x:c r="B747" s="8" t="str">
        <x:v>MGS Hand Games for 12-16 boys E600 Yellow</x:v>
      </x:c>
      <x:c r="C747" s="8" t="n">
        <x:v>261</x:v>
      </x:c>
      <x:c r="D747" s="9" t="n">
        <x:v>4.99</x:v>
      </x:c>
      <x:c r="E747" s="9" t="n">
        <x:v>2.54</x:v>
      </x:c>
      <x:c r="F747" s="8" t="n">
        <x:f>C747*D747</x:f>
        <x:v>1302.39</x:v>
      </x:c>
      <x:c r="G747" s="8" t="n">
        <x:f>C747*E747</x:f>
        <x:v>662.94</x:v>
      </x:c>
      <x:c r="H747" s="8" t="n">
        <x:f>F747-G747</x:f>
        <x:v>639.45</x:v>
      </x:c>
      <x:c r="I747" s="10" t="n">
        <x:f>H747/F747</x:f>
        <x:v>0.4909819639278557</x:v>
      </x:c>
    </x:row>
    <x:row r="748" ht="22" customHeight="1">
      <x:c r="A748" s="11" t="str">
        <x:v>1666</x:v>
      </x:c>
      <x:c r="B748" s="8" t="str">
        <x:v>MGS Hand Games for Office worker L299 Yellow</x:v>
      </x:c>
      <x:c r="C748" s="8" t="n">
        <x:v>242</x:v>
      </x:c>
      <x:c r="D748" s="9" t="n">
        <x:v>16.89</x:v>
      </x:c>
      <x:c r="E748" s="9" t="n">
        <x:v>5.6</x:v>
      </x:c>
      <x:c r="F748" s="8" t="n">
        <x:f>C748*D748</x:f>
        <x:v>4087.38</x:v>
      </x:c>
      <x:c r="G748" s="8" t="n">
        <x:f>C748*E748</x:f>
        <x:v>1355.1999999999998</x:v>
      </x:c>
      <x:c r="H748" s="8" t="n">
        <x:f>F748-G748</x:f>
        <x:v>2732.1800000000003</x:v>
      </x:c>
      <x:c r="I748" s="10" t="n">
        <x:f>H748/F748</x:f>
        <x:v>0.6684428656009473</x:v>
      </x:c>
    </x:row>
    <x:row r="749" ht="22" customHeight="1">
      <x:c r="A749" s="11" t="str">
        <x:v>1667</x:v>
      </x:c>
      <x:c r="B749" s="8" t="str">
        <x:v>MGS Hand Games for kids E300 Black</x:v>
      </x:c>
      <x:c r="C749" s="8" t="n">
        <x:v>268</x:v>
      </x:c>
      <x:c r="D749" s="9" t="n">
        <x:v>5.5</x:v>
      </x:c>
      <x:c r="E749" s="9" t="n">
        <x:v>2.8</x:v>
      </x:c>
      <x:c r="F749" s="8" t="n">
        <x:f>C749*D749</x:f>
        <x:v>1474</x:v>
      </x:c>
      <x:c r="G749" s="8" t="n">
        <x:f>C749*E749</x:f>
        <x:v>750.4</x:v>
      </x:c>
      <x:c r="H749" s="8" t="n">
        <x:f>F749-G749</x:f>
        <x:v>723.6</x:v>
      </x:c>
      <x:c r="I749" s="10" t="n">
        <x:f>H749/F749</x:f>
        <x:v>0.4909090909090909</x:v>
      </x:c>
    </x:row>
    <x:row r="750" ht="22" customHeight="1">
      <x:c r="A750" s="11" t="str">
        <x:v>1668</x:v>
      </x:c>
      <x:c r="B750" s="8" t="str">
        <x:v>MGS Hand Games for students E400 Black</x:v>
      </x:c>
      <x:c r="C750" s="8" t="n">
        <x:v>197</x:v>
      </x:c>
      <x:c r="D750" s="9" t="n">
        <x:v>6.99</x:v>
      </x:c>
      <x:c r="E750" s="9" t="n">
        <x:v>3.56</x:v>
      </x:c>
      <x:c r="F750" s="8" t="n">
        <x:f>C750*D750</x:f>
        <x:v>1377.03</x:v>
      </x:c>
      <x:c r="G750" s="8" t="n">
        <x:f>C750*E750</x:f>
        <x:v>701.32</x:v>
      </x:c>
      <x:c r="H750" s="8" t="n">
        <x:f>F750-G750</x:f>
        <x:v>675.7099999999999</x:v>
      </x:c>
      <x:c r="I750" s="10" t="n">
        <x:f>H750/F750</x:f>
        <x:v>0.4907010014306151</x:v>
      </x:c>
    </x:row>
    <x:row r="751" ht="22" customHeight="1">
      <x:c r="A751" s="11" t="str">
        <x:v>1669</x:v>
      </x:c>
      <x:c r="B751" s="8" t="str">
        <x:v>MGS Hand Games men M300 Black</x:v>
      </x:c>
      <x:c r="C751" s="8" t="n">
        <x:v>241</x:v>
      </x:c>
      <x:c r="D751" s="9" t="n">
        <x:v>6.89</x:v>
      </x:c>
      <x:c r="E751" s="9" t="n">
        <x:v>3.17</x:v>
      </x:c>
      <x:c r="F751" s="8" t="n">
        <x:f>C751*D751</x:f>
        <x:v>1660.49</x:v>
      </x:c>
      <x:c r="G751" s="8" t="n">
        <x:f>C751*E751</x:f>
        <x:v>763.97</x:v>
      </x:c>
      <x:c r="H751" s="8" t="n">
        <x:f>F751-G751</x:f>
        <x:v>896.52</x:v>
      </x:c>
      <x:c r="I751" s="10" t="n">
        <x:f>H751/F751</x:f>
        <x:v>0.5399129172714078</x:v>
      </x:c>
    </x:row>
    <x:row r="752" ht="22" customHeight="1">
      <x:c r="A752" s="11" t="str">
        <x:v>167</x:v>
      </x:c>
      <x:c r="B752" s="8" t="str">
        <x:v>SV 8xDVD E100 Black</x:v>
      </x:c>
      <x:c r="C752" s="8" t="n">
        <x:v>88</x:v>
      </x:c>
      <x:c r="D752" s="9" t="n">
        <x:v>69</x:v>
      </x:c>
      <x:c r="E752" s="9" t="n">
        <x:v>35.18</x:v>
      </x:c>
      <x:c r="F752" s="8" t="n">
        <x:f>C752*D752</x:f>
        <x:v>6072</x:v>
      </x:c>
      <x:c r="G752" s="8" t="n">
        <x:f>C752*E752</x:f>
        <x:v>3095.84</x:v>
      </x:c>
      <x:c r="H752" s="8" t="n">
        <x:f>F752-G752</x:f>
        <x:v>2976.16</x:v>
      </x:c>
      <x:c r="I752" s="10" t="n">
        <x:f>H752/F752</x:f>
        <x:v>0.49014492753623184</x:v>
      </x:c>
    </x:row>
    <x:row r="753" ht="22" customHeight="1">
      <x:c r="A753" s="11" t="str">
        <x:v>1670</x:v>
      </x:c>
      <x:c r="B753" s="8" t="str">
        <x:v>MGS Hand Games women M400 Black</x:v>
      </x:c>
      <x:c r="C753" s="8" t="n">
        <x:v>250</x:v>
      </x:c>
      <x:c r="D753" s="9" t="n">
        <x:v>8.99</x:v>
      </x:c>
      <x:c r="E753" s="9" t="n">
        <x:v>4.13</x:v>
      </x:c>
      <x:c r="F753" s="8" t="n">
        <x:f>C753*D753</x:f>
        <x:v>2247.5</x:v>
      </x:c>
      <x:c r="G753" s="8" t="n">
        <x:f>C753*E753</x:f>
        <x:v>1032.5</x:v>
      </x:c>
      <x:c r="H753" s="8" t="n">
        <x:f>F753-G753</x:f>
        <x:v>1215</x:v>
      </x:c>
      <x:c r="I753" s="10" t="n">
        <x:f>H753/F753</x:f>
        <x:v>0.5406006674082313</x:v>
      </x:c>
    </x:row>
    <x:row r="754" ht="22" customHeight="1">
      <x:c r="A754" s="11" t="str">
        <x:v>1671</x:v>
      </x:c>
      <x:c r="B754" s="8" t="str">
        <x:v>MGS Hand Games for 12-16 boys E600 Black</x:v>
      </x:c>
      <x:c r="C754" s="8" t="n">
        <x:v>216</x:v>
      </x:c>
      <x:c r="D754" s="9" t="n">
        <x:v>4.99</x:v>
      </x:c>
      <x:c r="E754" s="9" t="n">
        <x:v>2.54</x:v>
      </x:c>
      <x:c r="F754" s="8" t="n">
        <x:f>C754*D754</x:f>
        <x:v>1077.8400000000001</x:v>
      </x:c>
      <x:c r="G754" s="8" t="n">
        <x:f>C754*E754</x:f>
        <x:v>548.64</x:v>
      </x:c>
      <x:c r="H754" s="8" t="n">
        <x:f>F754-G754</x:f>
        <x:v>529.2000000000002</x:v>
      </x:c>
      <x:c r="I754" s="10" t="n">
        <x:f>H754/F754</x:f>
        <x:v>0.4909819639278558</x:v>
      </x:c>
    </x:row>
    <x:row r="755" ht="22" customHeight="1">
      <x:c r="A755" s="11" t="str">
        <x:v>1672</x:v>
      </x:c>
      <x:c r="B755" s="8" t="str">
        <x:v>MGS Hand Games for Office worker L299 Black</x:v>
      </x:c>
      <x:c r="C755" s="8" t="n">
        <x:v>242</x:v>
      </x:c>
      <x:c r="D755" s="9" t="n">
        <x:v>16.89</x:v>
      </x:c>
      <x:c r="E755" s="9" t="n">
        <x:v>5.6</x:v>
      </x:c>
      <x:c r="F755" s="8" t="n">
        <x:f>C755*D755</x:f>
        <x:v>4087.38</x:v>
      </x:c>
      <x:c r="G755" s="8" t="n">
        <x:f>C755*E755</x:f>
        <x:v>1355.1999999999998</x:v>
      </x:c>
      <x:c r="H755" s="8" t="n">
        <x:f>F755-G755</x:f>
        <x:v>2732.1800000000003</x:v>
      </x:c>
      <x:c r="I755" s="10" t="n">
        <x:f>H755/F755</x:f>
        <x:v>0.6684428656009473</x:v>
      </x:c>
    </x:row>
    <x:row r="756" ht="22" customHeight="1">
      <x:c r="A756" s="11" t="str">
        <x:v>1673</x:v>
      </x:c>
      <x:c r="B756" s="8" t="str">
        <x:v>MGS Hand Games for kids E300 Red</x:v>
      </x:c>
      <x:c r="C756" s="8" t="n">
        <x:v>232</x:v>
      </x:c>
      <x:c r="D756" s="9" t="n">
        <x:v>5.5</x:v>
      </x:c>
      <x:c r="E756" s="9" t="n">
        <x:v>2.8</x:v>
      </x:c>
      <x:c r="F756" s="8" t="n">
        <x:f>C756*D756</x:f>
        <x:v>1276</x:v>
      </x:c>
      <x:c r="G756" s="8" t="n">
        <x:f>C756*E756</x:f>
        <x:v>649.5999999999999</x:v>
      </x:c>
      <x:c r="H756" s="8" t="n">
        <x:f>F756-G756</x:f>
        <x:v>626.4000000000001</x:v>
      </x:c>
      <x:c r="I756" s="10" t="n">
        <x:f>H756/F756</x:f>
        <x:v>0.49090909090909096</x:v>
      </x:c>
    </x:row>
    <x:row r="757" ht="22" customHeight="1">
      <x:c r="A757" s="11" t="str">
        <x:v>1674</x:v>
      </x:c>
      <x:c r="B757" s="8" t="str">
        <x:v>MGS Hand Games for students E400 Red</x:v>
      </x:c>
      <x:c r="C757" s="8" t="n">
        <x:v>214</x:v>
      </x:c>
      <x:c r="D757" s="9" t="n">
        <x:v>6.99</x:v>
      </x:c>
      <x:c r="E757" s="9" t="n">
        <x:v>3.56</x:v>
      </x:c>
      <x:c r="F757" s="8" t="n">
        <x:f>C757*D757</x:f>
        <x:v>1495.8600000000001</x:v>
      </x:c>
      <x:c r="G757" s="8" t="n">
        <x:f>C757*E757</x:f>
        <x:v>761.84</x:v>
      </x:c>
      <x:c r="H757" s="8" t="n">
        <x:f>F757-G757</x:f>
        <x:v>734.0200000000001</x:v>
      </x:c>
      <x:c r="I757" s="10" t="n">
        <x:f>H757/F757</x:f>
        <x:v>0.4907010014306152</x:v>
      </x:c>
    </x:row>
    <x:row r="758" ht="22" customHeight="1">
      <x:c r="A758" s="11" t="str">
        <x:v>1675</x:v>
      </x:c>
      <x:c r="B758" s="8" t="str">
        <x:v>MGS Hand Games men M300 Red</x:v>
      </x:c>
      <x:c r="C758" s="8" t="n">
        <x:v>376</x:v>
      </x:c>
      <x:c r="D758" s="9" t="n">
        <x:v>6.89</x:v>
      </x:c>
      <x:c r="E758" s="9" t="n">
        <x:v>3.17</x:v>
      </x:c>
      <x:c r="F758" s="8" t="n">
        <x:f>C758*D758</x:f>
        <x:v>2590.64</x:v>
      </x:c>
      <x:c r="G758" s="8" t="n">
        <x:f>C758*E758</x:f>
        <x:v>1191.92</x:v>
      </x:c>
      <x:c r="H758" s="8" t="n">
        <x:f>F758-G758</x:f>
        <x:v>1398.7199999999998</x:v>
      </x:c>
      <x:c r="I758" s="10" t="n">
        <x:f>H758/F758</x:f>
        <x:v>0.5399129172714078</x:v>
      </x:c>
    </x:row>
    <x:row r="759" ht="22" customHeight="1">
      <x:c r="A759" s="11" t="str">
        <x:v>1676</x:v>
      </x:c>
      <x:c r="B759" s="8" t="str">
        <x:v>MGS Hand Games women M400 Red</x:v>
      </x:c>
      <x:c r="C759" s="8" t="n">
        <x:v>235</x:v>
      </x:c>
      <x:c r="D759" s="9" t="n">
        <x:v>8.99</x:v>
      </x:c>
      <x:c r="E759" s="9" t="n">
        <x:v>4.13</x:v>
      </x:c>
      <x:c r="F759" s="8" t="n">
        <x:f>C759*D759</x:f>
        <x:v>2112.65</x:v>
      </x:c>
      <x:c r="G759" s="8" t="n">
        <x:f>C759*E759</x:f>
        <x:v>970.55</x:v>
      </x:c>
      <x:c r="H759" s="8" t="n">
        <x:f>F759-G759</x:f>
        <x:v>1142.1000000000001</x:v>
      </x:c>
      <x:c r="I759" s="10" t="n">
        <x:f>H759/F759</x:f>
        <x:v>0.5406006674082314</x:v>
      </x:c>
    </x:row>
    <x:row r="760" ht="22" customHeight="1">
      <x:c r="A760" s="11" t="str">
        <x:v>1677</x:v>
      </x:c>
      <x:c r="B760" s="8" t="str">
        <x:v>MGS Hand Games for 12-16 boys E600 Red</x:v>
      </x:c>
      <x:c r="C760" s="8" t="n">
        <x:v>191</x:v>
      </x:c>
      <x:c r="D760" s="9" t="n">
        <x:v>4.99</x:v>
      </x:c>
      <x:c r="E760" s="9" t="n">
        <x:v>2.54</x:v>
      </x:c>
      <x:c r="F760" s="8" t="n">
        <x:f>C760*D760</x:f>
        <x:v>953.09</x:v>
      </x:c>
      <x:c r="G760" s="8" t="n">
        <x:f>C760*E760</x:f>
        <x:v>485.14</x:v>
      </x:c>
      <x:c r="H760" s="8" t="n">
        <x:f>F760-G760</x:f>
        <x:v>467.95000000000005</x:v>
      </x:c>
      <x:c r="I760" s="10" t="n">
        <x:f>H760/F760</x:f>
        <x:v>0.49098196392785576</x:v>
      </x:c>
    </x:row>
    <x:row r="761" ht="22" customHeight="1">
      <x:c r="A761" s="11" t="str">
        <x:v>1678</x:v>
      </x:c>
      <x:c r="B761" s="8" t="str">
        <x:v>MGS Hand Games for Office worker L299 Red</x:v>
      </x:c>
      <x:c r="C761" s="8" t="n">
        <x:v>280</x:v>
      </x:c>
      <x:c r="D761" s="9" t="n">
        <x:v>16.89</x:v>
      </x:c>
      <x:c r="E761" s="9" t="n">
        <x:v>5.6</x:v>
      </x:c>
      <x:c r="F761" s="8" t="n">
        <x:f>C761*D761</x:f>
        <x:v>4729.2</x:v>
      </x:c>
      <x:c r="G761" s="8" t="n">
        <x:f>C761*E761</x:f>
        <x:v>1568</x:v>
      </x:c>
      <x:c r="H761" s="8" t="n">
        <x:f>F761-G761</x:f>
        <x:v>3161.2</x:v>
      </x:c>
      <x:c r="I761" s="10" t="n">
        <x:f>H761/F761</x:f>
        <x:v>0.6684428656009473</x:v>
      </x:c>
    </x:row>
    <x:row r="762" ht="22" customHeight="1">
      <x:c r="A762" s="11" t="str">
        <x:v>1679</x:v>
      </x:c>
      <x:c r="B762" s="8" t="str">
        <x:v>MGS Hand Games for kids E300 Silver</x:v>
      </x:c>
      <x:c r="C762" s="8" t="n">
        <x:v>237</x:v>
      </x:c>
      <x:c r="D762" s="9" t="n">
        <x:v>5.5</x:v>
      </x:c>
      <x:c r="E762" s="9" t="n">
        <x:v>2.8</x:v>
      </x:c>
      <x:c r="F762" s="8" t="n">
        <x:f>C762*D762</x:f>
        <x:v>1303.5</x:v>
      </x:c>
      <x:c r="G762" s="8" t="n">
        <x:f>C762*E762</x:f>
        <x:v>663.5999999999999</x:v>
      </x:c>
      <x:c r="H762" s="8" t="n">
        <x:f>F762-G762</x:f>
        <x:v>639.9000000000001</x:v>
      </x:c>
      <x:c r="I762" s="10" t="n">
        <x:f>H762/F762</x:f>
        <x:v>0.49090909090909096</x:v>
      </x:c>
    </x:row>
    <x:row r="763" ht="22" customHeight="1">
      <x:c r="A763" s="11" t="str">
        <x:v>168</x:v>
      </x:c>
      <x:c r="B763" s="8" t="str">
        <x:v>SV 16xDVD M310 Black</x:v>
      </x:c>
      <x:c r="C763" s="8" t="n">
        <x:v>91</x:v>
      </x:c>
      <x:c r="D763" s="9" t="n">
        <x:v>129</x:v>
      </x:c>
      <x:c r="E763" s="9" t="n">
        <x:v>59.32</x:v>
      </x:c>
      <x:c r="F763" s="8" t="n">
        <x:f>C763*D763</x:f>
        <x:v>11739</x:v>
      </x:c>
      <x:c r="G763" s="8" t="n">
        <x:f>C763*E763</x:f>
        <x:v>5398.12</x:v>
      </x:c>
      <x:c r="H763" s="8" t="n">
        <x:f>F763-G763</x:f>
        <x:v>6340.88</x:v>
      </x:c>
      <x:c r="I763" s="10" t="n">
        <x:f>H763/F763</x:f>
        <x:v>0.54015503875969</x:v>
      </x:c>
    </x:row>
    <x:row r="764" ht="22" customHeight="1">
      <x:c r="A764" s="11" t="str">
        <x:v>1680</x:v>
      </x:c>
      <x:c r="B764" s="8" t="str">
        <x:v>MGS Hand Games for students E400 Silver</x:v>
      </x:c>
      <x:c r="C764" s="8" t="n">
        <x:v>226</x:v>
      </x:c>
      <x:c r="D764" s="9" t="n">
        <x:v>6.99</x:v>
      </x:c>
      <x:c r="E764" s="9" t="n">
        <x:v>3.56</x:v>
      </x:c>
      <x:c r="F764" s="8" t="n">
        <x:f>C764*D764</x:f>
        <x:v>1579.74</x:v>
      </x:c>
      <x:c r="G764" s="8" t="n">
        <x:f>C764*E764</x:f>
        <x:v>804.5600000000001</x:v>
      </x:c>
      <x:c r="H764" s="8" t="n">
        <x:f>F764-G764</x:f>
        <x:v>775.18</x:v>
      </x:c>
      <x:c r="I764" s="10" t="n">
        <x:f>H764/F764</x:f>
        <x:v>0.4907010014306151</x:v>
      </x:c>
    </x:row>
    <x:row r="765" ht="22" customHeight="1">
      <x:c r="A765" s="11" t="str">
        <x:v>1681</x:v>
      </x:c>
      <x:c r="B765" s="8" t="str">
        <x:v>MGS Hand Games men M300 Silver</x:v>
      </x:c>
      <x:c r="C765" s="8" t="n">
        <x:v>272</x:v>
      </x:c>
      <x:c r="D765" s="9" t="n">
        <x:v>6.89</x:v>
      </x:c>
      <x:c r="E765" s="9" t="n">
        <x:v>3.17</x:v>
      </x:c>
      <x:c r="F765" s="8" t="n">
        <x:f>C765*D765</x:f>
        <x:v>1874.08</x:v>
      </x:c>
      <x:c r="G765" s="8" t="n">
        <x:f>C765*E765</x:f>
        <x:v>862.24</x:v>
      </x:c>
      <x:c r="H765" s="8" t="n">
        <x:f>F765-G765</x:f>
        <x:v>1011.8399999999999</x:v>
      </x:c>
      <x:c r="I765" s="10" t="n">
        <x:f>H765/F765</x:f>
        <x:v>0.5399129172714078</x:v>
      </x:c>
    </x:row>
    <x:row r="766" ht="22" customHeight="1">
      <x:c r="A766" s="11" t="str">
        <x:v>1682</x:v>
      </x:c>
      <x:c r="B766" s="8" t="str">
        <x:v>MGS Hand Games women M400 Silver</x:v>
      </x:c>
      <x:c r="C766" s="8" t="n">
        <x:v>297</x:v>
      </x:c>
      <x:c r="D766" s="9" t="n">
        <x:v>8.99</x:v>
      </x:c>
      <x:c r="E766" s="9" t="n">
        <x:v>4.13</x:v>
      </x:c>
      <x:c r="F766" s="8" t="n">
        <x:f>C766*D766</x:f>
        <x:v>2670.03</x:v>
      </x:c>
      <x:c r="G766" s="8" t="n">
        <x:f>C766*E766</x:f>
        <x:v>1226.61</x:v>
      </x:c>
      <x:c r="H766" s="8" t="n">
        <x:f>F766-G766</x:f>
        <x:v>1443.4200000000003</x:v>
      </x:c>
      <x:c r="I766" s="10" t="n">
        <x:f>H766/F766</x:f>
        <x:v>0.5406006674082314</x:v>
      </x:c>
    </x:row>
    <x:row r="767" ht="22" customHeight="1">
      <x:c r="A767" s="11" t="str">
        <x:v>1683</x:v>
      </x:c>
      <x:c r="B767" s="8" t="str">
        <x:v>MGS Hand Games for 12-16 boys E600 Silver</x:v>
      </x:c>
      <x:c r="C767" s="8" t="n">
        <x:v>238</x:v>
      </x:c>
      <x:c r="D767" s="9" t="n">
        <x:v>4.99</x:v>
      </x:c>
      <x:c r="E767" s="9" t="n">
        <x:v>2.54</x:v>
      </x:c>
      <x:c r="F767" s="8" t="n">
        <x:f>C767*D767</x:f>
        <x:v>1187.6200000000001</x:v>
      </x:c>
      <x:c r="G767" s="8" t="n">
        <x:f>C767*E767</x:f>
        <x:v>604.52</x:v>
      </x:c>
      <x:c r="H767" s="8" t="n">
        <x:f>F767-G767</x:f>
        <x:v>583.1000000000001</x:v>
      </x:c>
      <x:c r="I767" s="10" t="n">
        <x:f>H767/F767</x:f>
        <x:v>0.49098196392785576</x:v>
      </x:c>
    </x:row>
    <x:row r="768" ht="22" customHeight="1">
      <x:c r="A768" s="11" t="str">
        <x:v>1684</x:v>
      </x:c>
      <x:c r="B768" s="8" t="str">
        <x:v>MGS Hand Games for Office worker L299 Silver</x:v>
      </x:c>
      <x:c r="C768" s="8" t="n">
        <x:v>236</x:v>
      </x:c>
      <x:c r="D768" s="9" t="n">
        <x:v>16.89</x:v>
      </x:c>
      <x:c r="E768" s="9" t="n">
        <x:v>5.6</x:v>
      </x:c>
      <x:c r="F768" s="8" t="n">
        <x:f>C768*D768</x:f>
        <x:v>3986.04</x:v>
      </x:c>
      <x:c r="G768" s="8" t="n">
        <x:f>C768*E768</x:f>
        <x:v>1321.6</x:v>
      </x:c>
      <x:c r="H768" s="8" t="n">
        <x:f>F768-G768</x:f>
        <x:v>2664.44</x:v>
      </x:c>
      <x:c r="I768" s="10" t="n">
        <x:f>H768/F768</x:f>
        <x:v>0.6684428656009473</x:v>
      </x:c>
    </x:row>
    <x:row r="769" ht="22" customHeight="1">
      <x:c r="A769" s="11" t="str">
        <x:v>1685</x:v>
      </x:c>
      <x:c r="B769" s="8" t="str">
        <x:v>SV Hand Games for kids E30 Yellow</x:v>
      </x:c>
      <x:c r="C769" s="8" t="n">
        <x:v>192</x:v>
      </x:c>
      <x:c r="D769" s="9" t="n">
        <x:v>5.39</x:v>
      </x:c>
      <x:c r="E769" s="9" t="n">
        <x:v>2.75</x:v>
      </x:c>
      <x:c r="F769" s="8" t="n">
        <x:f>C769*D769</x:f>
        <x:v>1034.8799999999999</x:v>
      </x:c>
      <x:c r="G769" s="8" t="n">
        <x:f>C769*E769</x:f>
        <x:v>528</x:v>
      </x:c>
      <x:c r="H769" s="8" t="n">
        <x:f>F769-G769</x:f>
        <x:v>506.8799999999999</x:v>
      </x:c>
      <x:c r="I769" s="10" t="n">
        <x:f>H769/F769</x:f>
        <x:v>0.48979591836734687</x:v>
      </x:c>
    </x:row>
    <x:row r="770" ht="22" customHeight="1">
      <x:c r="A770" s="11" t="str">
        <x:v>1686</x:v>
      </x:c>
      <x:c r="B770" s="8" t="str">
        <x:v>SV Hand Games for students E40 Yellow</x:v>
      </x:c>
      <x:c r="C770" s="8" t="n">
        <x:v>181</x:v>
      </x:c>
      <x:c r="D770" s="9" t="n">
        <x:v>6.99</x:v>
      </x:c>
      <x:c r="E770" s="9" t="n">
        <x:v>3.56</x:v>
      </x:c>
      <x:c r="F770" s="8" t="n">
        <x:f>C770*D770</x:f>
        <x:v>1265.19</x:v>
      </x:c>
      <x:c r="G770" s="8" t="n">
        <x:f>C770*E770</x:f>
        <x:v>644.36</x:v>
      </x:c>
      <x:c r="H770" s="8" t="n">
        <x:f>F770-G770</x:f>
        <x:v>620.83</x:v>
      </x:c>
      <x:c r="I770" s="10" t="n">
        <x:f>H770/F770</x:f>
        <x:v>0.4907010014306152</x:v>
      </x:c>
    </x:row>
    <x:row r="771" ht="22" customHeight="1">
      <x:c r="A771" s="11" t="str">
        <x:v>1687</x:v>
      </x:c>
      <x:c r="B771" s="8" t="str">
        <x:v>SV Hand Games men M30 Yellow</x:v>
      </x:c>
      <x:c r="C771" s="8" t="n">
        <x:v>228</x:v>
      </x:c>
      <x:c r="D771" s="9" t="n">
        <x:v>6.88</x:v>
      </x:c>
      <x:c r="E771" s="9" t="n">
        <x:v>3.16</x:v>
      </x:c>
      <x:c r="F771" s="8" t="n">
        <x:f>C771*D771</x:f>
        <x:v>1568.6399999999999</x:v>
      </x:c>
      <x:c r="G771" s="8" t="n">
        <x:f>C771*E771</x:f>
        <x:v>720.48</x:v>
      </x:c>
      <x:c r="H771" s="8" t="n">
        <x:f>F771-G771</x:f>
        <x:v>848.1599999999999</x:v>
      </x:c>
      <x:c r="I771" s="10" t="n">
        <x:f>H771/F771</x:f>
        <x:v>0.5406976744186046</x:v>
      </x:c>
    </x:row>
    <x:row r="772" ht="22" customHeight="1">
      <x:c r="A772" s="11" t="str">
        <x:v>1688</x:v>
      </x:c>
      <x:c r="B772" s="8" t="str">
        <x:v>SV Hand Games women M40 Yellow</x:v>
      </x:c>
      <x:c r="C772" s="8" t="n">
        <x:v>249</x:v>
      </x:c>
      <x:c r="D772" s="9" t="n">
        <x:v>8.88</x:v>
      </x:c>
      <x:c r="E772" s="9" t="n">
        <x:v>4.08</x:v>
      </x:c>
      <x:c r="F772" s="8" t="n">
        <x:f>C772*D772</x:f>
        <x:v>2211.1200000000003</x:v>
      </x:c>
      <x:c r="G772" s="8" t="n">
        <x:f>C772*E772</x:f>
        <x:v>1015.9200000000001</x:v>
      </x:c>
      <x:c r="H772" s="8" t="n">
        <x:f>F772-G772</x:f>
        <x:v>1195.2000000000003</x:v>
      </x:c>
      <x:c r="I772" s="10" t="n">
        <x:f>H772/F772</x:f>
        <x:v>0.5405405405405406</x:v>
      </x:c>
    </x:row>
    <x:row r="773" ht="22" customHeight="1">
      <x:c r="A773" s="11" t="str">
        <x:v>1689</x:v>
      </x:c>
      <x:c r="B773" s="8" t="str">
        <x:v>SV Hand Games for 12-16 boys E60 Yellow</x:v>
      </x:c>
      <x:c r="C773" s="8" t="n">
        <x:v>222</x:v>
      </x:c>
      <x:c r="D773" s="9" t="n">
        <x:v>4.98</x:v>
      </x:c>
      <x:c r="E773" s="9" t="n">
        <x:v>2.54</x:v>
      </x:c>
      <x:c r="F773" s="8" t="n">
        <x:f>C773*D773</x:f>
        <x:v>1105.5600000000002</x:v>
      </x:c>
      <x:c r="G773" s="8" t="n">
        <x:f>C773*E773</x:f>
        <x:v>563.88</x:v>
      </x:c>
      <x:c r="H773" s="8" t="n">
        <x:f>F773-G773</x:f>
        <x:v>541.6800000000002</x:v>
      </x:c>
      <x:c r="I773" s="10" t="n">
        <x:f>H773/F773</x:f>
        <x:v>0.4899598393574298</x:v>
      </x:c>
    </x:row>
    <x:row r="774" ht="22" customHeight="1">
      <x:c r="A774" s="11" t="str">
        <x:v>169</x:v>
      </x:c>
      <x:c r="B774" s="8" t="str">
        <x:v>SV 16xDVD M320 Black</x:v>
      </x:c>
      <x:c r="C774" s="8" t="n">
        <x:v>113</x:v>
      </x:c>
      <x:c r="D774" s="9" t="n">
        <x:v>119</x:v>
      </x:c>
      <x:c r="E774" s="9" t="n">
        <x:v>54.72</x:v>
      </x:c>
      <x:c r="F774" s="8" t="n">
        <x:f>C774*D774</x:f>
        <x:v>13447</x:v>
      </x:c>
      <x:c r="G774" s="8" t="n">
        <x:f>C774*E774</x:f>
        <x:v>6183.36</x:v>
      </x:c>
      <x:c r="H774" s="8" t="n">
        <x:f>F774-G774</x:f>
        <x:v>7263.64</x:v>
      </x:c>
      <x:c r="I774" s="10" t="n">
        <x:f>H774/F774</x:f>
        <x:v>0.5401680672268908</x:v>
      </x:c>
    </x:row>
    <x:row r="775" ht="22" customHeight="1">
      <x:c r="A775" s="11" t="str">
        <x:v>1690</x:v>
      </x:c>
      <x:c r="B775" s="8" t="str">
        <x:v>SV Hand Games for Office worker L28 Yellow</x:v>
      </x:c>
      <x:c r="C775" s="8" t="n">
        <x:v>252</x:v>
      </x:c>
      <x:c r="D775" s="9" t="n">
        <x:v>16.99</x:v>
      </x:c>
      <x:c r="E775" s="9" t="n">
        <x:v>5.63</x:v>
      </x:c>
      <x:c r="F775" s="8" t="n">
        <x:f>C775*D775</x:f>
        <x:v>4281.48</x:v>
      </x:c>
      <x:c r="G775" s="8" t="n">
        <x:f>C775*E775</x:f>
        <x:v>1418.76</x:v>
      </x:c>
      <x:c r="H775" s="8" t="n">
        <x:f>F775-G775</x:f>
        <x:v>2862.7199999999993</x:v>
      </x:c>
      <x:c r="I775" s="10" t="n">
        <x:f>H775/F775</x:f>
        <x:v>0.668628605061801</x:v>
      </x:c>
    </x:row>
    <x:row r="776" ht="22" customHeight="1">
      <x:c r="A776" s="11" t="str">
        <x:v>1691</x:v>
      </x:c>
      <x:c r="B776" s="8" t="str">
        <x:v>SV Hand Games for kids E30 Black</x:v>
      </x:c>
      <x:c r="C776" s="8" t="n">
        <x:v>218</x:v>
      </x:c>
      <x:c r="D776" s="9" t="n">
        <x:v>5.39</x:v>
      </x:c>
      <x:c r="E776" s="9" t="n">
        <x:v>2.75</x:v>
      </x:c>
      <x:c r="F776" s="8" t="n">
        <x:f>C776*D776</x:f>
        <x:v>1175.02</x:v>
      </x:c>
      <x:c r="G776" s="8" t="n">
        <x:f>C776*E776</x:f>
        <x:v>599.5</x:v>
      </x:c>
      <x:c r="H776" s="8" t="n">
        <x:f>F776-G776</x:f>
        <x:v>575.52</x:v>
      </x:c>
      <x:c r="I776" s="10" t="n">
        <x:f>H776/F776</x:f>
        <x:v>0.4897959183673469</x:v>
      </x:c>
    </x:row>
    <x:row r="777" ht="22" customHeight="1">
      <x:c r="A777" s="11" t="str">
        <x:v>1692</x:v>
      </x:c>
      <x:c r="B777" s="8" t="str">
        <x:v>SV Hand Games for students E40 Black</x:v>
      </x:c>
      <x:c r="C777" s="8" t="n">
        <x:v>208</x:v>
      </x:c>
      <x:c r="D777" s="9" t="n">
        <x:v>6.99</x:v>
      </x:c>
      <x:c r="E777" s="9" t="n">
        <x:v>3.56</x:v>
      </x:c>
      <x:c r="F777" s="8" t="n">
        <x:f>C777*D777</x:f>
        <x:v>1453.92</x:v>
      </x:c>
      <x:c r="G777" s="8" t="n">
        <x:f>C777*E777</x:f>
        <x:v>740.48</x:v>
      </x:c>
      <x:c r="H777" s="8" t="n">
        <x:f>F777-G777</x:f>
        <x:v>713.44</x:v>
      </x:c>
      <x:c r="I777" s="10" t="n">
        <x:f>H777/F777</x:f>
        <x:v>0.4907010014306152</x:v>
      </x:c>
    </x:row>
    <x:row r="778" ht="22" customHeight="1">
      <x:c r="A778" s="11" t="str">
        <x:v>1693</x:v>
      </x:c>
      <x:c r="B778" s="8" t="str">
        <x:v>SV Hand Games men M30 Black</x:v>
      </x:c>
      <x:c r="C778" s="8" t="n">
        <x:v>256</x:v>
      </x:c>
      <x:c r="D778" s="9" t="n">
        <x:v>6.88</x:v>
      </x:c>
      <x:c r="E778" s="9" t="n">
        <x:v>3.16</x:v>
      </x:c>
      <x:c r="F778" s="8" t="n">
        <x:f>C778*D778</x:f>
        <x:v>1761.28</x:v>
      </x:c>
      <x:c r="G778" s="8" t="n">
        <x:f>C778*E778</x:f>
        <x:v>808.96</x:v>
      </x:c>
      <x:c r="H778" s="8" t="n">
        <x:f>F778-G778</x:f>
        <x:v>952.3199999999999</x:v>
      </x:c>
      <x:c r="I778" s="10" t="n">
        <x:f>H778/F778</x:f>
        <x:v>0.5406976744186046</x:v>
      </x:c>
    </x:row>
    <x:row r="779" ht="22" customHeight="1">
      <x:c r="A779" s="11" t="str">
        <x:v>1694</x:v>
      </x:c>
      <x:c r="B779" s="8" t="str">
        <x:v>SV Hand Games women M40 Black</x:v>
      </x:c>
      <x:c r="C779" s="8" t="n">
        <x:v>227</x:v>
      </x:c>
      <x:c r="D779" s="9" t="n">
        <x:v>8.88</x:v>
      </x:c>
      <x:c r="E779" s="9" t="n">
        <x:v>4.08</x:v>
      </x:c>
      <x:c r="F779" s="8" t="n">
        <x:f>C779*D779</x:f>
        <x:v>2015.7600000000002</x:v>
      </x:c>
      <x:c r="G779" s="8" t="n">
        <x:f>C779*E779</x:f>
        <x:v>926.16</x:v>
      </x:c>
      <x:c r="H779" s="8" t="n">
        <x:f>F779-G779</x:f>
        <x:v>1089.6000000000004</x:v>
      </x:c>
      <x:c r="I779" s="10" t="n">
        <x:f>H779/F779</x:f>
        <x:v>0.5405405405405407</x:v>
      </x:c>
    </x:row>
    <x:row r="780" ht="22" customHeight="1">
      <x:c r="A780" s="11" t="str">
        <x:v>1695</x:v>
      </x:c>
      <x:c r="B780" s="8" t="str">
        <x:v>SV Hand Games for 12-16 boys E60 Black</x:v>
      </x:c>
      <x:c r="C780" s="8" t="n">
        <x:v>196</x:v>
      </x:c>
      <x:c r="D780" s="9" t="n">
        <x:v>4.98</x:v>
      </x:c>
      <x:c r="E780" s="9" t="n">
        <x:v>2.54</x:v>
      </x:c>
      <x:c r="F780" s="8" t="n">
        <x:f>C780*D780</x:f>
        <x:v>976.08</x:v>
      </x:c>
      <x:c r="G780" s="8" t="n">
        <x:f>C780*E780</x:f>
        <x:v>497.84000000000003</x:v>
      </x:c>
      <x:c r="H780" s="8" t="n">
        <x:f>F780-G780</x:f>
        <x:v>478.24</x:v>
      </x:c>
      <x:c r="I780" s="10" t="n">
        <x:f>H780/F780</x:f>
        <x:v>0.4899598393574297</x:v>
      </x:c>
    </x:row>
    <x:row r="781" ht="22" customHeight="1">
      <x:c r="A781" s="11" t="str">
        <x:v>1696</x:v>
      </x:c>
      <x:c r="B781" s="8" t="str">
        <x:v>SV Hand Games for Office worker L28 Black</x:v>
      </x:c>
      <x:c r="C781" s="8" t="n">
        <x:v>251</x:v>
      </x:c>
      <x:c r="D781" s="9" t="n">
        <x:v>16.99</x:v>
      </x:c>
      <x:c r="E781" s="9" t="n">
        <x:v>5.63</x:v>
      </x:c>
      <x:c r="F781" s="8" t="n">
        <x:f>C781*D781</x:f>
        <x:v>4264.49</x:v>
      </x:c>
      <x:c r="G781" s="8" t="n">
        <x:f>C781*E781</x:f>
        <x:v>1413.1299999999999</x:v>
      </x:c>
      <x:c r="H781" s="8" t="n">
        <x:f>F781-G781</x:f>
        <x:v>2851.3599999999997</x:v>
      </x:c>
      <x:c r="I781" s="10" t="n">
        <x:f>H781/F781</x:f>
        <x:v>0.668628605061801</x:v>
      </x:c>
    </x:row>
    <x:row r="782" ht="22" customHeight="1">
      <x:c r="A782" s="11" t="str">
        <x:v>1697</x:v>
      </x:c>
      <x:c r="B782" s="8" t="str">
        <x:v>SV Hand Games for kids E30 Red</x:v>
      </x:c>
      <x:c r="C782" s="8" t="n">
        <x:v>250</x:v>
      </x:c>
      <x:c r="D782" s="9" t="n">
        <x:v>5.39</x:v>
      </x:c>
      <x:c r="E782" s="9" t="n">
        <x:v>2.75</x:v>
      </x:c>
      <x:c r="F782" s="8" t="n">
        <x:f>C782*D782</x:f>
        <x:v>1347.5</x:v>
      </x:c>
      <x:c r="G782" s="8" t="n">
        <x:f>C782*E782</x:f>
        <x:v>687.5</x:v>
      </x:c>
      <x:c r="H782" s="8" t="n">
        <x:f>F782-G782</x:f>
        <x:v>660</x:v>
      </x:c>
      <x:c r="I782" s="10" t="n">
        <x:f>H782/F782</x:f>
        <x:v>0.4897959183673469</x:v>
      </x:c>
    </x:row>
    <x:row r="783" ht="22" customHeight="1">
      <x:c r="A783" s="11" t="str">
        <x:v>1698</x:v>
      </x:c>
      <x:c r="B783" s="8" t="str">
        <x:v>SV Hand Games for students E40 Red</x:v>
      </x:c>
      <x:c r="C783" s="8" t="n">
        <x:v>209</x:v>
      </x:c>
      <x:c r="D783" s="9" t="n">
        <x:v>6.99</x:v>
      </x:c>
      <x:c r="E783" s="9" t="n">
        <x:v>3.56</x:v>
      </x:c>
      <x:c r="F783" s="8" t="n">
        <x:f>C783*D783</x:f>
        <x:v>1460.91</x:v>
      </x:c>
      <x:c r="G783" s="8" t="n">
        <x:f>C783*E783</x:f>
        <x:v>744.04</x:v>
      </x:c>
      <x:c r="H783" s="8" t="n">
        <x:f>F783-G783</x:f>
        <x:v>716.8700000000001</x:v>
      </x:c>
      <x:c r="I783" s="10" t="n">
        <x:f>H783/F783</x:f>
        <x:v>0.49070100143061524</x:v>
      </x:c>
    </x:row>
    <x:row r="784" ht="22" customHeight="1">
      <x:c r="A784" s="11" t="str">
        <x:v>1699</x:v>
      </x:c>
      <x:c r="B784" s="8" t="str">
        <x:v>SV Hand Games men M30 Red</x:v>
      </x:c>
      <x:c r="C784" s="8" t="n">
        <x:v>255</x:v>
      </x:c>
      <x:c r="D784" s="9" t="n">
        <x:v>6.88</x:v>
      </x:c>
      <x:c r="E784" s="9" t="n">
        <x:v>3.16</x:v>
      </x:c>
      <x:c r="F784" s="8" t="n">
        <x:f>C784*D784</x:f>
        <x:v>1754.3999999999999</x:v>
      </x:c>
      <x:c r="G784" s="8" t="n">
        <x:f>C784*E784</x:f>
        <x:v>805.8000000000001</x:v>
      </x:c>
      <x:c r="H784" s="8" t="n">
        <x:f>F784-G784</x:f>
        <x:v>948.5999999999998</x:v>
      </x:c>
      <x:c r="I784" s="10" t="n">
        <x:f>H784/F784</x:f>
        <x:v>0.5406976744186046</x:v>
      </x:c>
    </x:row>
    <x:row r="785" ht="22" customHeight="1">
      <x:c r="A785" s="11" t="str">
        <x:v>17</x:v>
      </x:c>
      <x:c r="B785" s="8" t="str">
        <x:v>Contoso 8GB Super-Slim MP3/Video Player M800 Red</x:v>
      </x:c>
      <x:c r="C785" s="8" t="n">
        <x:v>68</x:v>
      </x:c>
      <x:c r="D785" s="9" t="n">
        <x:v>109.95</x:v>
      </x:c>
      <x:c r="E785" s="9" t="n">
        <x:v>50.56</x:v>
      </x:c>
      <x:c r="F785" s="8" t="n">
        <x:f>C785*D785</x:f>
        <x:v>7476.6</x:v>
      </x:c>
      <x:c r="G785" s="8" t="n">
        <x:f>C785*E785</x:f>
        <x:v>3438.08</x:v>
      </x:c>
      <x:c r="H785" s="8" t="n">
        <x:f>F785-G785</x:f>
        <x:v>4038.5200000000004</x:v>
      </x:c>
      <x:c r="I785" s="10" t="n">
        <x:f>H785/F785</x:f>
        <x:v>0.5401546157344248</x:v>
      </x:c>
    </x:row>
    <x:row r="786" ht="22" customHeight="1">
      <x:c r="A786" s="11" t="str">
        <x:v>170</x:v>
      </x:c>
      <x:c r="B786" s="8" t="str">
        <x:v>SV 16xDVD M330 Black</x:v>
      </x:c>
      <x:c r="C786" s="8" t="n">
        <x:v>82</x:v>
      </x:c>
      <x:c r="D786" s="9" t="n">
        <x:v>109</x:v>
      </x:c>
      <x:c r="E786" s="9" t="n">
        <x:v>50.13</x:v>
      </x:c>
      <x:c r="F786" s="8" t="n">
        <x:f>C786*D786</x:f>
        <x:v>8938</x:v>
      </x:c>
      <x:c r="G786" s="8" t="n">
        <x:f>C786*E786</x:f>
        <x:v>4110.66</x:v>
      </x:c>
      <x:c r="H786" s="8" t="n">
        <x:f>F786-G786</x:f>
        <x:v>4827.34</x:v>
      </x:c>
      <x:c r="I786" s="10" t="n">
        <x:f>H786/F786</x:f>
        <x:v>0.5400917431192661</x:v>
      </x:c>
    </x:row>
    <x:row r="787" ht="22" customHeight="1">
      <x:c r="A787" s="11" t="str">
        <x:v>1700</x:v>
      </x:c>
      <x:c r="B787" s="8" t="str">
        <x:v>SV Hand Games women M40 Red</x:v>
      </x:c>
      <x:c r="C787" s="8" t="n">
        <x:v>226</x:v>
      </x:c>
      <x:c r="D787" s="9" t="n">
        <x:v>8.88</x:v>
      </x:c>
      <x:c r="E787" s="9" t="n">
        <x:v>4.08</x:v>
      </x:c>
      <x:c r="F787" s="8" t="n">
        <x:f>C787*D787</x:f>
        <x:v>2006.88</x:v>
      </x:c>
      <x:c r="G787" s="8" t="n">
        <x:f>C787*E787</x:f>
        <x:v>922.08</x:v>
      </x:c>
      <x:c r="H787" s="8" t="n">
        <x:f>F787-G787</x:f>
        <x:v>1084.8000000000002</x:v>
      </x:c>
      <x:c r="I787" s="10" t="n">
        <x:f>H787/F787</x:f>
        <x:v>0.5405405405405406</x:v>
      </x:c>
    </x:row>
    <x:row r="788" ht="22" customHeight="1">
      <x:c r="A788" s="11" t="str">
        <x:v>1701</x:v>
      </x:c>
      <x:c r="B788" s="8" t="str">
        <x:v>SV Hand Games for 12-16 boys E60 Red</x:v>
      </x:c>
      <x:c r="C788" s="8" t="n">
        <x:v>247</x:v>
      </x:c>
      <x:c r="D788" s="9" t="n">
        <x:v>4.98</x:v>
      </x:c>
      <x:c r="E788" s="9" t="n">
        <x:v>2.54</x:v>
      </x:c>
      <x:c r="F788" s="8" t="n">
        <x:f>C788*D788</x:f>
        <x:v>1230.0600000000002</x:v>
      </x:c>
      <x:c r="G788" s="8" t="n">
        <x:f>C788*E788</x:f>
        <x:v>627.38</x:v>
      </x:c>
      <x:c r="H788" s="8" t="n">
        <x:f>F788-G788</x:f>
        <x:v>602.6800000000002</x:v>
      </x:c>
      <x:c r="I788" s="10" t="n">
        <x:f>H788/F788</x:f>
        <x:v>0.4899598393574298</x:v>
      </x:c>
    </x:row>
    <x:row r="789" ht="22" customHeight="1">
      <x:c r="A789" s="11" t="str">
        <x:v>1702</x:v>
      </x:c>
      <x:c r="B789" s="8" t="str">
        <x:v>SV Hand Games for Office worker L28 Red</x:v>
      </x:c>
      <x:c r="C789" s="8" t="n">
        <x:v>222</x:v>
      </x:c>
      <x:c r="D789" s="9" t="n">
        <x:v>16.99</x:v>
      </x:c>
      <x:c r="E789" s="9" t="n">
        <x:v>5.63</x:v>
      </x:c>
      <x:c r="F789" s="8" t="n">
        <x:f>C789*D789</x:f>
        <x:v>3771.7799999999997</x:v>
      </x:c>
      <x:c r="G789" s="8" t="n">
        <x:f>C789*E789</x:f>
        <x:v>1249.86</x:v>
      </x:c>
      <x:c r="H789" s="8" t="n">
        <x:f>F789-G789</x:f>
        <x:v>2521.92</x:v>
      </x:c>
      <x:c r="I789" s="10" t="n">
        <x:f>H789/F789</x:f>
        <x:v>0.6686286050618011</x:v>
      </x:c>
    </x:row>
    <x:row r="790" ht="22" customHeight="1">
      <x:c r="A790" s="11" t="str">
        <x:v>1703</x:v>
      </x:c>
      <x:c r="B790" s="8" t="str">
        <x:v>SV Hand Games for kids E30 Silver</x:v>
      </x:c>
      <x:c r="C790" s="8" t="n">
        <x:v>236</x:v>
      </x:c>
      <x:c r="D790" s="9" t="n">
        <x:v>5.39</x:v>
      </x:c>
      <x:c r="E790" s="9" t="n">
        <x:v>2.75</x:v>
      </x:c>
      <x:c r="F790" s="8" t="n">
        <x:f>C790*D790</x:f>
        <x:v>1272.04</x:v>
      </x:c>
      <x:c r="G790" s="8" t="n">
        <x:f>C790*E790</x:f>
        <x:v>649</x:v>
      </x:c>
      <x:c r="H790" s="8" t="n">
        <x:f>F790-G790</x:f>
        <x:v>623.04</x:v>
      </x:c>
      <x:c r="I790" s="10" t="n">
        <x:f>H790/F790</x:f>
        <x:v>0.4897959183673469</x:v>
      </x:c>
    </x:row>
    <x:row r="791" ht="22" customHeight="1">
      <x:c r="A791" s="11" t="str">
        <x:v>1704</x:v>
      </x:c>
      <x:c r="B791" s="8" t="str">
        <x:v>SV Hand Games for students E40 Silver</x:v>
      </x:c>
      <x:c r="C791" s="8" t="n">
        <x:v>271</x:v>
      </x:c>
      <x:c r="D791" s="9" t="n">
        <x:v>6.99</x:v>
      </x:c>
      <x:c r="E791" s="9" t="n">
        <x:v>3.56</x:v>
      </x:c>
      <x:c r="F791" s="8" t="n">
        <x:f>C791*D791</x:f>
        <x:v>1894.29</x:v>
      </x:c>
      <x:c r="G791" s="8" t="n">
        <x:f>C791*E791</x:f>
        <x:v>964.76</x:v>
      </x:c>
      <x:c r="H791" s="8" t="n">
        <x:f>F791-G791</x:f>
        <x:v>929.53</x:v>
      </x:c>
      <x:c r="I791" s="10" t="n">
        <x:f>H791/F791</x:f>
        <x:v>0.4907010014306152</x:v>
      </x:c>
    </x:row>
    <x:row r="792" ht="22" customHeight="1">
      <x:c r="A792" s="11" t="str">
        <x:v>1705</x:v>
      </x:c>
      <x:c r="B792" s="8" t="str">
        <x:v>SV Hand Games men M30 Silver</x:v>
      </x:c>
      <x:c r="C792" s="8" t="n">
        <x:v>274</x:v>
      </x:c>
      <x:c r="D792" s="9" t="n">
        <x:v>6.88</x:v>
      </x:c>
      <x:c r="E792" s="9" t="n">
        <x:v>3.16</x:v>
      </x:c>
      <x:c r="F792" s="8" t="n">
        <x:f>C792*D792</x:f>
        <x:v>1885.12</x:v>
      </x:c>
      <x:c r="G792" s="8" t="n">
        <x:f>C792*E792</x:f>
        <x:v>865.84</x:v>
      </x:c>
      <x:c r="H792" s="8" t="n">
        <x:f>F792-G792</x:f>
        <x:v>1019.2799999999999</x:v>
      </x:c>
      <x:c r="I792" s="10" t="n">
        <x:f>H792/F792</x:f>
        <x:v>0.5406976744186046</x:v>
      </x:c>
    </x:row>
    <x:row r="793" ht="22" customHeight="1">
      <x:c r="A793" s="11" t="str">
        <x:v>1706</x:v>
      </x:c>
      <x:c r="B793" s="8" t="str">
        <x:v>SV Hand Games women M40 Silver</x:v>
      </x:c>
      <x:c r="C793" s="8" t="n">
        <x:v>266</x:v>
      </x:c>
      <x:c r="D793" s="9" t="n">
        <x:v>8.88</x:v>
      </x:c>
      <x:c r="E793" s="9" t="n">
        <x:v>4.08</x:v>
      </x:c>
      <x:c r="F793" s="8" t="n">
        <x:f>C793*D793</x:f>
        <x:v>2362.0800000000004</x:v>
      </x:c>
      <x:c r="G793" s="8" t="n">
        <x:f>C793*E793</x:f>
        <x:v>1085.28</x:v>
      </x:c>
      <x:c r="H793" s="8" t="n">
        <x:f>F793-G793</x:f>
        <x:v>1276.8000000000004</x:v>
      </x:c>
      <x:c r="I793" s="10" t="n">
        <x:f>H793/F793</x:f>
        <x:v>0.5405405405405407</x:v>
      </x:c>
    </x:row>
    <x:row r="794" ht="22" customHeight="1">
      <x:c r="A794" s="11" t="str">
        <x:v>1707</x:v>
      </x:c>
      <x:c r="B794" s="8" t="str">
        <x:v>MGS Dal of Honor Airborne M150</x:v>
      </x:c>
      <x:c r="C794" s="8" t="n">
        <x:v>113</x:v>
      </x:c>
      <x:c r="D794" s="9" t="n">
        <x:v>70.13</x:v>
      </x:c>
      <x:c r="E794" s="9" t="n">
        <x:v>32.25</x:v>
      </x:c>
      <x:c r="F794" s="8" t="n">
        <x:f>C794*D794</x:f>
        <x:v>7924.69</x:v>
      </x:c>
      <x:c r="G794" s="8" t="n">
        <x:f>C794*E794</x:f>
        <x:v>3644.25</x:v>
      </x:c>
      <x:c r="H794" s="8" t="n">
        <x:f>F794-G794</x:f>
        <x:v>4280.44</x:v>
      </x:c>
      <x:c r="I794" s="10" t="n">
        <x:f>H794/F794</x:f>
        <x:v>0.540139740481962</x:v>
      </x:c>
    </x:row>
    <x:row r="795" ht="22" customHeight="1">
      <x:c r="A795" s="11" t="str">
        <x:v>1708</x:v>
      </x:c>
      <x:c r="B795" s="8" t="str">
        <x:v>MGS Collector's M160</x:v>
      </x:c>
      <x:c r="C795" s="8" t="n">
        <x:v>71</x:v>
      </x:c>
      <x:c r="D795" s="9" t="n">
        <x:v>70.13</x:v>
      </x:c>
      <x:c r="E795" s="9" t="n">
        <x:v>32.25</x:v>
      </x:c>
      <x:c r="F795" s="8" t="n">
        <x:f>C795*D795</x:f>
        <x:v>4979.23</x:v>
      </x:c>
      <x:c r="G795" s="8" t="n">
        <x:f>C795*E795</x:f>
        <x:v>2289.75</x:v>
      </x:c>
      <x:c r="H795" s="8" t="n">
        <x:f>F795-G795</x:f>
        <x:v>2689.4799999999996</x:v>
      </x:c>
      <x:c r="I795" s="10" t="n">
        <x:f>H795/F795</x:f>
        <x:v>0.540139740481962</x:v>
      </x:c>
    </x:row>
    <x:row r="796" ht="22" customHeight="1">
      <x:c r="A796" s="11" t="str">
        <x:v>1709</x:v>
      </x:c>
      <x:c r="B796" s="8" t="str">
        <x:v>MGS Gears of War M170</x:v>
      </x:c>
      <x:c r="C796" s="8" t="n">
        <x:v>167</x:v>
      </x:c>
      <x:c r="D796" s="9" t="n">
        <x:v>70.13</x:v>
      </x:c>
      <x:c r="E796" s="9" t="n">
        <x:v>32.25</x:v>
      </x:c>
      <x:c r="F796" s="8" t="n">
        <x:f>C796*D796</x:f>
        <x:v>11711.71</x:v>
      </x:c>
      <x:c r="G796" s="8" t="n">
        <x:f>C796*E796</x:f>
        <x:v>5385.75</x:v>
      </x:c>
      <x:c r="H796" s="8" t="n">
        <x:f>F796-G796</x:f>
        <x:v>6325.959999999999</x:v>
      </x:c>
      <x:c r="I796" s="10" t="n">
        <x:f>H796/F796</x:f>
        <x:v>0.540139740481962</x:v>
      </x:c>
    </x:row>
    <x:row r="797" ht="22" customHeight="1">
      <x:c r="A797" s="11" t="str">
        <x:v>171</x:v>
      </x:c>
      <x:c r="B797" s="8" t="str">
        <x:v>SV 16xDVD E340 Black</x:v>
      </x:c>
      <x:c r="C797" s="8" t="n">
        <x:v>78</x:v>
      </x:c>
      <x:c r="D797" s="9" t="n">
        <x:v>99</x:v>
      </x:c>
      <x:c r="E797" s="9" t="n">
        <x:v>45.53</x:v>
      </x:c>
      <x:c r="F797" s="8" t="n">
        <x:f>C797*D797</x:f>
        <x:v>7722</x:v>
      </x:c>
      <x:c r="G797" s="8" t="n">
        <x:f>C797*E797</x:f>
        <x:v>3551.34</x:v>
      </x:c>
      <x:c r="H797" s="8" t="n">
        <x:f>F797-G797</x:f>
        <x:v>4170.66</x:v>
      </x:c>
      <x:c r="I797" s="10" t="n">
        <x:f>H797/F797</x:f>
        <x:v>0.5401010101010101</x:v>
      </x:c>
    </x:row>
    <x:row r="798" ht="22" customHeight="1">
      <x:c r="A798" s="11" t="str">
        <x:v>1710</x:v>
      </x:c>
      <x:c r="B798" s="8" t="str">
        <x:v>MGS Age of Empires III: The Asian Dynasties M180</x:v>
      </x:c>
      <x:c r="C798" s="8" t="n">
        <x:v>100</x:v>
      </x:c>
      <x:c r="D798" s="9" t="n">
        <x:v>70.13</x:v>
      </x:c>
      <x:c r="E798" s="9" t="n">
        <x:v>32.25</x:v>
      </x:c>
      <x:c r="F798" s="8" t="n">
        <x:f>C798*D798</x:f>
        <x:v>7013</x:v>
      </x:c>
      <x:c r="G798" s="8" t="n">
        <x:f>C798*E798</x:f>
        <x:v>3225</x:v>
      </x:c>
      <x:c r="H798" s="8" t="n">
        <x:f>F798-G798</x:f>
        <x:v>3788</x:v>
      </x:c>
      <x:c r="I798" s="10" t="n">
        <x:f>H798/F798</x:f>
        <x:v>0.5401397404819621</x:v>
      </x:c>
    </x:row>
    <x:row r="799" ht="22" customHeight="1">
      <x:c r="A799" s="11" t="str">
        <x:v>1711</x:v>
      </x:c>
      <x:c r="B799" s="8" t="str">
        <x:v>MGS Age of Empires III: The Asian Dynasties M190</x:v>
      </x:c>
      <x:c r="C799" s="8" t="n">
        <x:v>68</x:v>
      </x:c>
      <x:c r="D799" s="9" t="n">
        <x:v>70.13</x:v>
      </x:c>
      <x:c r="E799" s="9" t="n">
        <x:v>32.25</x:v>
      </x:c>
      <x:c r="F799" s="8" t="n">
        <x:f>C799*D799</x:f>
        <x:v>4768.84</x:v>
      </x:c>
      <x:c r="G799" s="8" t="n">
        <x:f>C799*E799</x:f>
        <x:v>2193</x:v>
      </x:c>
      <x:c r="H799" s="8" t="n">
        <x:f>F799-G799</x:f>
        <x:v>2575.84</x:v>
      </x:c>
      <x:c r="I799" s="10" t="n">
        <x:f>H799/F799</x:f>
        <x:v>0.5401397404819621</x:v>
      </x:c>
    </x:row>
    <x:row r="800" ht="22" customHeight="1">
      <x:c r="A800" s="11" t="str">
        <x:v>1712</x:v>
      </x:c>
      <x:c r="B800" s="8" t="str">
        <x:v>MGS Flight Simulator X Acceleration Expansion Pack M200</x:v>
      </x:c>
      <x:c r="C800" s="8" t="n">
        <x:v>109</x:v>
      </x:c>
      <x:c r="D800" s="9" t="n">
        <x:v>70.13</x:v>
      </x:c>
      <x:c r="E800" s="9" t="n">
        <x:v>32.25</x:v>
      </x:c>
      <x:c r="F800" s="8" t="n">
        <x:f>C800*D800</x:f>
        <x:v>7644.169999999999</x:v>
      </x:c>
      <x:c r="G800" s="8" t="n">
        <x:f>C800*E800</x:f>
        <x:v>3515.25</x:v>
      </x:c>
      <x:c r="H800" s="8" t="n">
        <x:f>F800-G800</x:f>
        <x:v>4128.919999999999</x:v>
      </x:c>
      <x:c r="I800" s="10" t="n">
        <x:f>H800/F800</x:f>
        <x:v>0.540139740481962</x:v>
      </x:c>
    </x:row>
    <x:row r="801" ht="22" customHeight="1">
      <x:c r="A801" s="11" t="str">
        <x:v>1713</x:v>
      </x:c>
      <x:c r="B801" s="8" t="str">
        <x:v>MGS Zoo Tycoon 2: Extinct Animals M210</x:v>
      </x:c>
      <x:c r="C801" s="8" t="n">
        <x:v>54</x:v>
      </x:c>
      <x:c r="D801" s="9" t="n">
        <x:v>70.13</x:v>
      </x:c>
      <x:c r="E801" s="9" t="n">
        <x:v>32.25</x:v>
      </x:c>
      <x:c r="F801" s="8" t="n">
        <x:f>C801*D801</x:f>
        <x:v>3787.0199999999995</x:v>
      </x:c>
      <x:c r="G801" s="8" t="n">
        <x:f>C801*E801</x:f>
        <x:v>1741.5</x:v>
      </x:c>
      <x:c r="H801" s="8" t="n">
        <x:f>F801-G801</x:f>
        <x:v>2045.5199999999995</x:v>
      </x:c>
      <x:c r="I801" s="10" t="n">
        <x:f>H801/F801</x:f>
        <x:v>0.540139740481962</x:v>
      </x:c>
    </x:row>
    <x:row r="802" ht="22" customHeight="1">
      <x:c r="A802" s="11" t="str">
        <x:v>1714</x:v>
      </x:c>
      <x:c r="B802" s="8" t="str">
        <x:v>MGS Halo 2 for Windows Vista M220</x:v>
      </x:c>
      <x:c r="C802" s="8" t="n">
        <x:v>121</x:v>
      </x:c>
      <x:c r="D802" s="9" t="n">
        <x:v>70.13</x:v>
      </x:c>
      <x:c r="E802" s="9" t="n">
        <x:v>32.25</x:v>
      </x:c>
      <x:c r="F802" s="8" t="n">
        <x:f>C802*D802</x:f>
        <x:v>8485.73</x:v>
      </x:c>
      <x:c r="G802" s="8" t="n">
        <x:f>C802*E802</x:f>
        <x:v>3902.25</x:v>
      </x:c>
      <x:c r="H802" s="8" t="n">
        <x:f>F802-G802</x:f>
        <x:v>4583.48</x:v>
      </x:c>
      <x:c r="I802" s="10" t="n">
        <x:f>H802/F802</x:f>
        <x:v>0.540139740481962</x:v>
      </x:c>
    </x:row>
    <x:row r="803" ht="22" customHeight="1">
      <x:c r="A803" s="11" t="str">
        <x:v>1715</x:v>
      </x:c>
      <x:c r="B803" s="8" t="str">
        <x:v>MGS Shadow-run M230</x:v>
      </x:c>
      <x:c r="C803" s="8" t="n">
        <x:v>96</x:v>
      </x:c>
      <x:c r="D803" s="9" t="n">
        <x:v>70.13</x:v>
      </x:c>
      <x:c r="E803" s="9" t="n">
        <x:v>32.25</x:v>
      </x:c>
      <x:c r="F803" s="8" t="n">
        <x:f>C803*D803</x:f>
        <x:v>6732.48</x:v>
      </x:c>
      <x:c r="G803" s="8" t="n">
        <x:f>C803*E803</x:f>
        <x:v>3096</x:v>
      </x:c>
      <x:c r="H803" s="8" t="n">
        <x:f>F803-G803</x:f>
        <x:v>3636.4799999999996</x:v>
      </x:c>
      <x:c r="I803" s="10" t="n">
        <x:f>H803/F803</x:f>
        <x:v>0.540139740481962</x:v>
      </x:c>
    </x:row>
    <x:row r="804" ht="22" customHeight="1">
      <x:c r="A804" s="11" t="str">
        <x:v>1716</x:v>
      </x:c>
      <x:c r="B804" s="8" t="str">
        <x:v>MGS Age of Empires III: The War Chiefs M240</x:v>
      </x:c>
      <x:c r="C804" s="8" t="n">
        <x:v>74</x:v>
      </x:c>
      <x:c r="D804" s="9" t="n">
        <x:v>70.13</x:v>
      </x:c>
      <x:c r="E804" s="9" t="n">
        <x:v>32.25</x:v>
      </x:c>
      <x:c r="F804" s="8" t="n">
        <x:f>C804*D804</x:f>
        <x:v>5189.62</x:v>
      </x:c>
      <x:c r="G804" s="8" t="n">
        <x:f>C804*E804</x:f>
        <x:v>2386.5</x:v>
      </x:c>
      <x:c r="H804" s="8" t="n">
        <x:f>F804-G804</x:f>
        <x:v>2803.12</x:v>
      </x:c>
      <x:c r="I804" s="10" t="n">
        <x:f>H804/F804</x:f>
        <x:v>0.5401397404819621</x:v>
      </x:c>
    </x:row>
    <x:row r="805" ht="22" customHeight="1">
      <x:c r="A805" s="11" t="str">
        <x:v>1717</x:v>
      </x:c>
      <x:c r="B805" s="8" t="str">
        <x:v>MGS Flight Simulator X M250</x:v>
      </x:c>
      <x:c r="C805" s="8" t="n">
        <x:v>82</x:v>
      </x:c>
      <x:c r="D805" s="9" t="n">
        <x:v>70.13</x:v>
      </x:c>
      <x:c r="E805" s="9" t="n">
        <x:v>32.25</x:v>
      </x:c>
      <x:c r="F805" s="8" t="n">
        <x:f>C805*D805</x:f>
        <x:v>5750.66</x:v>
      </x:c>
      <x:c r="G805" s="8" t="n">
        <x:f>C805*E805</x:f>
        <x:v>2644.5</x:v>
      </x:c>
      <x:c r="H805" s="8" t="n">
        <x:f>F805-G805</x:f>
        <x:v>3106.16</x:v>
      </x:c>
      <x:c r="I805" s="10" t="n">
        <x:f>H805/F805</x:f>
        <x:v>0.540139740481962</x:v>
      </x:c>
    </x:row>
    <x:row r="806" ht="22" customHeight="1">
      <x:c r="A806" s="11" t="str">
        <x:v>1718</x:v>
      </x:c>
      <x:c r="B806" s="8" t="str">
        <x:v>MGS Zoo Tycoon 2: Zookeeper Collection M260</x:v>
      </x:c>
      <x:c r="C806" s="8" t="n">
        <x:v>71</x:v>
      </x:c>
      <x:c r="D806" s="9" t="n">
        <x:v>70.13</x:v>
      </x:c>
      <x:c r="E806" s="9" t="n">
        <x:v>32.25</x:v>
      </x:c>
      <x:c r="F806" s="8" t="n">
        <x:f>C806*D806</x:f>
        <x:v>4979.23</x:v>
      </x:c>
      <x:c r="G806" s="8" t="n">
        <x:f>C806*E806</x:f>
        <x:v>2289.75</x:v>
      </x:c>
      <x:c r="H806" s="8" t="n">
        <x:f>F806-G806</x:f>
        <x:v>2689.4799999999996</x:v>
      </x:c>
      <x:c r="I806" s="10" t="n">
        <x:f>H806/F806</x:f>
        <x:v>0.540139740481962</x:v>
      </x:c>
    </x:row>
    <x:row r="807" ht="22" customHeight="1">
      <x:c r="A807" s="11" t="str">
        <x:v>1719</x:v>
      </x:c>
      <x:c r="B807" s="8" t="str">
        <x:v>MGS Zoo Tycoon 2: Marine Mania Expansion Pack M270</x:v>
      </x:c>
      <x:c r="C807" s="8" t="n">
        <x:v>93</x:v>
      </x:c>
      <x:c r="D807" s="9" t="n">
        <x:v>70.13</x:v>
      </x:c>
      <x:c r="E807" s="9" t="n">
        <x:v>32.25</x:v>
      </x:c>
      <x:c r="F807" s="8" t="n">
        <x:f>C807*D807</x:f>
        <x:v>6522.089999999999</x:v>
      </x:c>
      <x:c r="G807" s="8" t="n">
        <x:f>C807*E807</x:f>
        <x:v>2999.25</x:v>
      </x:c>
      <x:c r="H807" s="8" t="n">
        <x:f>F807-G807</x:f>
        <x:v>3522.8399999999992</x:v>
      </x:c>
      <x:c r="I807" s="10" t="n">
        <x:f>H807/F807</x:f>
        <x:v>0.540139740481962</x:v>
      </x:c>
    </x:row>
    <x:row r="808" ht="22" customHeight="1">
      <x:c r="A808" s="11" t="str">
        <x:v>172</x:v>
      </x:c>
      <x:c r="B808" s="8" t="str">
        <x:v>SV 22xDVD X680 Black</x:v>
      </x:c>
      <x:c r="C808" s="8" t="n">
        <x:v>110</x:v>
      </x:c>
      <x:c r="D808" s="9" t="n">
        <x:v>169</x:v>
      </x:c>
      <x:c r="E808" s="9" t="n">
        <x:v>55.99</x:v>
      </x:c>
      <x:c r="F808" s="8" t="n">
        <x:f>C808*D808</x:f>
        <x:v>18590</x:v>
      </x:c>
      <x:c r="G808" s="8" t="n">
        <x:f>C808*E808</x:f>
        <x:v>6158.900000000001</x:v>
      </x:c>
      <x:c r="H808" s="8" t="n">
        <x:f>F808-G808</x:f>
        <x:v>12431.099999999999</x:v>
      </x:c>
      <x:c r="I808" s="10" t="n">
        <x:f>H808/F808</x:f>
        <x:v>0.668698224852071</x:v>
      </x:c>
    </x:row>
    <x:row r="809" ht="22" customHeight="1">
      <x:c r="A809" s="11" t="str">
        <x:v>1720</x:v>
      </x:c>
      <x:c r="B809" s="8" t="str">
        <x:v>MGS Zoo Tycoon 2: African Adventure M280</x:v>
      </x:c>
      <x:c r="C809" s="8" t="n">
        <x:v>92</x:v>
      </x:c>
      <x:c r="D809" s="9" t="n">
        <x:v>70.13</x:v>
      </x:c>
      <x:c r="E809" s="9" t="n">
        <x:v>32.25</x:v>
      </x:c>
      <x:c r="F809" s="8" t="n">
        <x:f>C809*D809</x:f>
        <x:v>6451.959999999999</x:v>
      </x:c>
      <x:c r="G809" s="8" t="n">
        <x:f>C809*E809</x:f>
        <x:v>2967</x:v>
      </x:c>
      <x:c r="H809" s="8" t="n">
        <x:f>F809-G809</x:f>
        <x:v>3484.959999999999</x:v>
      </x:c>
      <x:c r="I809" s="10" t="n">
        <x:f>H809/F809</x:f>
        <x:v>0.540139740481962</x:v>
      </x:c>
    </x:row>
    <x:row r="810" ht="22" customHeight="1">
      <x:c r="A810" s="11" t="str">
        <x:v>1721</x:v>
      </x:c>
      <x:c r="B810" s="8" t="str">
        <x:v>MGS Rise of Nations: Rise of Legends M290</x:v>
      </x:c>
      <x:c r="C810" s="8" t="n">
        <x:v>129</x:v>
      </x:c>
      <x:c r="D810" s="9" t="n">
        <x:v>70.13</x:v>
      </x:c>
      <x:c r="E810" s="9" t="n">
        <x:v>32.25</x:v>
      </x:c>
      <x:c r="F810" s="8" t="n">
        <x:f>C810*D810</x:f>
        <x:v>9046.769999999999</x:v>
      </x:c>
      <x:c r="G810" s="8" t="n">
        <x:f>C810*E810</x:f>
        <x:v>4160.25</x:v>
      </x:c>
      <x:c r="H810" s="8" t="n">
        <x:f>F810-G810</x:f>
        <x:v>4886.519999999999</x:v>
      </x:c>
      <x:c r="I810" s="10" t="n">
        <x:f>H810/F810</x:f>
        <x:v>0.540139740481962</x:v>
      </x:c>
    </x:row>
    <x:row r="811" ht="22" customHeight="1">
      <x:c r="A811" s="11" t="str">
        <x:v>1722</x:v>
      </x:c>
      <x:c r="B811" s="8" t="str">
        <x:v>MGS Zoo Tycoon 2: End range Species Expansion Pack E105</x:v>
      </x:c>
      <x:c r="C811" s="8" t="n">
        <x:v>98</x:v>
      </x:c>
      <x:c r="D811" s="9" t="n">
        <x:v>56</x:v>
      </x:c>
      <x:c r="E811" s="9" t="n">
        <x:v>28.55</x:v>
      </x:c>
      <x:c r="F811" s="8" t="n">
        <x:f>C811*D811</x:f>
        <x:v>5488</x:v>
      </x:c>
      <x:c r="G811" s="8" t="n">
        <x:f>C811*E811</x:f>
        <x:v>2797.9</x:v>
      </x:c>
      <x:c r="H811" s="8" t="n">
        <x:f>F811-G811</x:f>
        <x:v>2690.1</x:v>
      </x:c>
      <x:c r="I811" s="10" t="n">
        <x:f>H811/F811</x:f>
        <x:v>0.4901785714285714</x:v>
      </x:c>
    </x:row>
    <x:row r="812" ht="22" customHeight="1">
      <x:c r="A812" s="11" t="str">
        <x:v>1723</x:v>
      </x:c>
      <x:c r="B812" s="8" t="str">
        <x:v>MGS Age of Empires III: The Asian Dynasties E106</x:v>
      </x:c>
      <x:c r="C812" s="8" t="n">
        <x:v>100</x:v>
      </x:c>
      <x:c r="D812" s="9" t="n">
        <x:v>56</x:v>
      </x:c>
      <x:c r="E812" s="9" t="n">
        <x:v>28.55</x:v>
      </x:c>
      <x:c r="F812" s="8" t="n">
        <x:f>C812*D812</x:f>
        <x:v>5600</x:v>
      </x:c>
      <x:c r="G812" s="8" t="n">
        <x:f>C812*E812</x:f>
        <x:v>2855</x:v>
      </x:c>
      <x:c r="H812" s="8" t="n">
        <x:f>F812-G812</x:f>
        <x:v>2745</x:v>
      </x:c>
      <x:c r="I812" s="10" t="n">
        <x:f>H812/F812</x:f>
        <x:v>0.4901785714285714</x:v>
      </x:c>
    </x:row>
    <x:row r="813" ht="22" customHeight="1">
      <x:c r="A813" s="11" t="str">
        <x:v>1724</x:v>
      </x:c>
      <x:c r="B813" s="8" t="str">
        <x:v>MGS Fable: The Lost Chapters E107</x:v>
      </x:c>
      <x:c r="C813" s="8" t="n">
        <x:v>95</x:v>
      </x:c>
      <x:c r="D813" s="9" t="n">
        <x:v>56</x:v>
      </x:c>
      <x:c r="E813" s="9" t="n">
        <x:v>28.55</x:v>
      </x:c>
      <x:c r="F813" s="8" t="n">
        <x:f>C813*D813</x:f>
        <x:v>5320</x:v>
      </x:c>
      <x:c r="G813" s="8" t="n">
        <x:f>C813*E813</x:f>
        <x:v>2712.25</x:v>
      </x:c>
      <x:c r="H813" s="8" t="n">
        <x:f>F813-G813</x:f>
        <x:v>2607.75</x:v>
      </x:c>
      <x:c r="I813" s="10" t="n">
        <x:f>H813/F813</x:f>
        <x:v>0.4901785714285714</x:v>
      </x:c>
    </x:row>
    <x:row r="814" ht="22" customHeight="1">
      <x:c r="A814" s="11" t="str">
        <x:v>1725</x:v>
      </x:c>
      <x:c r="B814" s="8" t="str">
        <x:v>MGS Dungeon Siege II E105</x:v>
      </x:c>
      <x:c r="C814" s="8" t="n">
        <x:v>102</x:v>
      </x:c>
      <x:c r="D814" s="9" t="n">
        <x:v>56</x:v>
      </x:c>
      <x:c r="E814" s="9" t="n">
        <x:v>28.55</x:v>
      </x:c>
      <x:c r="F814" s="8" t="n">
        <x:f>C814*D814</x:f>
        <x:v>5712</x:v>
      </x:c>
      <x:c r="G814" s="8" t="n">
        <x:f>C814*E814</x:f>
        <x:v>2912.1</x:v>
      </x:c>
      <x:c r="H814" s="8" t="n">
        <x:f>F814-G814</x:f>
        <x:v>2799.9</x:v>
      </x:c>
      <x:c r="I814" s="10" t="n">
        <x:f>H814/F814</x:f>
        <x:v>0.49017857142857146</x:v>
      </x:c>
    </x:row>
    <x:row r="815" ht="22" customHeight="1">
      <x:c r="A815" s="11" t="str">
        <x:v>1726</x:v>
      </x:c>
      <x:c r="B815" s="8" t="str">
        <x:v>MGS Zoo Tycoon 2 E108</x:v>
      </x:c>
      <x:c r="C815" s="8" t="n">
        <x:v>105</x:v>
      </x:c>
      <x:c r="D815" s="9" t="n">
        <x:v>56</x:v>
      </x:c>
      <x:c r="E815" s="9" t="n">
        <x:v>28.55</x:v>
      </x:c>
      <x:c r="F815" s="8" t="n">
        <x:f>C815*D815</x:f>
        <x:v>5880</x:v>
      </x:c>
      <x:c r="G815" s="8" t="n">
        <x:f>C815*E815</x:f>
        <x:v>2997.75</x:v>
      </x:c>
      <x:c r="H815" s="8" t="n">
        <x:f>F815-G815</x:f>
        <x:v>2882.25</x:v>
      </x:c>
      <x:c r="I815" s="10" t="n">
        <x:f>H815/F815</x:f>
        <x:v>0.4901785714285714</x:v>
      </x:c>
    </x:row>
    <x:row r="816" ht="22" customHeight="1">
      <x:c r="A816" s="11" t="str">
        <x:v>1727</x:v>
      </x:c>
      <x:c r="B816" s="8" t="str">
        <x:v>MGS Rise of Nations: Gold Edition M300</x:v>
      </x:c>
      <x:c r="C816" s="8" t="n">
        <x:v>78</x:v>
      </x:c>
      <x:c r="D816" s="9" t="n">
        <x:v>56</x:v>
      </x:c>
      <x:c r="E816" s="9" t="n">
        <x:v>25.75</x:v>
      </x:c>
      <x:c r="F816" s="8" t="n">
        <x:f>C816*D816</x:f>
        <x:v>4368</x:v>
      </x:c>
      <x:c r="G816" s="8" t="n">
        <x:f>C816*E816</x:f>
        <x:v>2008.5</x:v>
      </x:c>
      <x:c r="H816" s="8" t="n">
        <x:f>F816-G816</x:f>
        <x:v>2359.5</x:v>
      </x:c>
      <x:c r="I816" s="10" t="n">
        <x:f>H816/F816</x:f>
        <x:v>0.5401785714285714</x:v>
      </x:c>
    </x:row>
    <x:row r="817" ht="22" customHeight="1">
      <x:c r="A817" s="11" t="str">
        <x:v>1728</x:v>
      </x:c>
      <x:c r="B817" s="8" t="str">
        <x:v>MGS Age of Mythology: Gold Edition M310</x:v>
      </x:c>
      <x:c r="C817" s="8" t="n">
        <x:v>80</x:v>
      </x:c>
      <x:c r="D817" s="9" t="n">
        <x:v>79.8</x:v>
      </x:c>
      <x:c r="E817" s="9" t="n">
        <x:v>36.7</x:v>
      </x:c>
      <x:c r="F817" s="8" t="n">
        <x:f>C817*D817</x:f>
        <x:v>6384</x:v>
      </x:c>
      <x:c r="G817" s="8" t="n">
        <x:f>C817*E817</x:f>
        <x:v>2936</x:v>
      </x:c>
      <x:c r="H817" s="8" t="n">
        <x:f>F817-G817</x:f>
        <x:v>3448</x:v>
      </x:c>
      <x:c r="I817" s="10" t="n">
        <x:f>H817/F817</x:f>
        <x:v>0.5401002506265664</x:v>
      </x:c>
    </x:row>
    <x:row r="818" ht="22" customHeight="1">
      <x:c r="A818" s="11" t="str">
        <x:v>1729</x:v>
      </x:c>
      <x:c r="B818" s="8" t="str">
        <x:v>MGS Rise of Nations: Thrones and Patriots M320</x:v>
      </x:c>
      <x:c r="C818" s="8" t="n">
        <x:v>83</x:v>
      </x:c>
      <x:c r="D818" s="9" t="n">
        <x:v>77.68</x:v>
      </x:c>
      <x:c r="E818" s="9" t="n">
        <x:v>35.72</x:v>
      </x:c>
      <x:c r="F818" s="8" t="n">
        <x:f>C818*D818</x:f>
        <x:v>6447.4400000000005</x:v>
      </x:c>
      <x:c r="G818" s="8" t="n">
        <x:f>C818*E818</x:f>
        <x:v>2964.7599999999998</x:v>
      </x:c>
      <x:c r="H818" s="8" t="n">
        <x:f>F818-G818</x:f>
        <x:v>3482.6800000000007</x:v>
      </x:c>
      <x:c r="I818" s="10" t="n">
        <x:f>H818/F818</x:f>
        <x:v>0.5401647785787849</x:v>
      </x:c>
    </x:row>
    <x:row r="819" ht="22" customHeight="1">
      <x:c r="A819" s="11" t="str">
        <x:v>173</x:v>
      </x:c>
      <x:c r="B819" s="8" t="str">
        <x:v>SV 8xDVD E120 Black</x:v>
      </x:c>
      <x:c r="C819" s="8" t="n">
        <x:v>93</x:v>
      </x:c>
      <x:c r="D819" s="9" t="n">
        <x:v>89.9</x:v>
      </x:c>
      <x:c r="E819" s="9" t="n">
        <x:v>45.83</x:v>
      </x:c>
      <x:c r="F819" s="8" t="n">
        <x:f>C819*D819</x:f>
        <x:v>8360.7</x:v>
      </x:c>
      <x:c r="G819" s="8" t="n">
        <x:f>C819*E819</x:f>
        <x:v>4262.19</x:v>
      </x:c>
      <x:c r="H819" s="8" t="n">
        <x:f>F819-G819</x:f>
        <x:v>4098.510000000001</x:v>
      </x:c>
      <x:c r="I819" s="10" t="n">
        <x:f>H819/F819</x:f>
        <x:v>0.4902113459399334</x:v>
      </x:c>
    </x:row>
    <x:row r="820" ht="22" customHeight="1">
      <x:c r="A820" s="11" t="str">
        <x:v>1730</x:v>
      </x:c>
      <x:c r="B820" s="8" t="str">
        <x:v>MGS Dungeon Siege: Legends of Aranna M330</x:v>
      </x:c>
      <x:c r="C820" s="8" t="n">
        <x:v>107</x:v>
      </x:c>
      <x:c r="D820" s="9" t="n">
        <x:v>77.68</x:v>
      </x:c>
      <x:c r="E820" s="9" t="n">
        <x:v>35.72</x:v>
      </x:c>
      <x:c r="F820" s="8" t="n">
        <x:f>C820*D820</x:f>
        <x:v>8311.76</x:v>
      </x:c>
      <x:c r="G820" s="8" t="n">
        <x:f>C820*E820</x:f>
        <x:v>3822.04</x:v>
      </x:c>
      <x:c r="H820" s="8" t="n">
        <x:f>F820-G820</x:f>
        <x:v>4489.72</x:v>
      </x:c>
      <x:c r="I820" s="10" t="n">
        <x:f>H820/F820</x:f>
        <x:v>0.5401647785787848</x:v>
      </x:c>
    </x:row>
    <x:row r="821" ht="22" customHeight="1">
      <x:c r="A821" s="11" t="str">
        <x:v>1731</x:v>
      </x:c>
      <x:c r="B821" s="8" t="str">
        <x:v>MGS King&amp; Myths: The Age Collection M340</x:v>
      </x:c>
      <x:c r="C821" s="8" t="n">
        <x:v>80</x:v>
      </x:c>
      <x:c r="D821" s="9" t="n">
        <x:v>72.45</x:v>
      </x:c>
      <x:c r="E821" s="9" t="n">
        <x:v>33.32</x:v>
      </x:c>
      <x:c r="F821" s="8" t="n">
        <x:f>C821*D821</x:f>
        <x:v>5796</x:v>
      </x:c>
      <x:c r="G821" s="8" t="n">
        <x:f>C821*E821</x:f>
        <x:v>2665.6</x:v>
      </x:c>
      <x:c r="H821" s="8" t="n">
        <x:f>F821-G821</x:f>
        <x:v>3130.4</x:v>
      </x:c>
      <x:c r="I821" s="10" t="n">
        <x:f>H821/F821</x:f>
        <x:v>0.5400966183574879</x:v>
      </x:c>
    </x:row>
    <x:row r="822" ht="22" customHeight="1">
      <x:c r="A822" s="11" t="str">
        <x:v>1732</x:v>
      </x:c>
      <x:c r="B822" s="8" t="str">
        <x:v>MGS Age of Mythology: The Titans Expansion M350</x:v>
      </x:c>
      <x:c r="C822" s="8" t="n">
        <x:v>106</x:v>
      </x:c>
      <x:c r="D822" s="9" t="n">
        <x:v>72.45</x:v>
      </x:c>
      <x:c r="E822" s="9" t="n">
        <x:v>33.32</x:v>
      </x:c>
      <x:c r="F822" s="8" t="n">
        <x:f>C822*D822</x:f>
        <x:v>7679.700000000001</x:v>
      </x:c>
      <x:c r="G822" s="8" t="n">
        <x:f>C822*E822</x:f>
        <x:v>3531.92</x:v>
      </x:c>
      <x:c r="H822" s="8" t="n">
        <x:f>F822-G822</x:f>
        <x:v>4147.780000000001</x:v>
      </x:c>
      <x:c r="I822" s="10" t="n">
        <x:f>H822/F822</x:f>
        <x:v>0.540096618357488</x:v>
      </x:c>
    </x:row>
    <x:row r="823" ht="22" customHeight="1">
      <x:c r="A823" s="11" t="str">
        <x:v>1733</x:v>
      </x:c>
      <x:c r="B823" s="8" t="str">
        <x:v>MGS Halo: Combat Evolved E109</x:v>
      </x:c>
      <x:c r="C823" s="8" t="n">
        <x:v>101</x:v>
      </x:c>
      <x:c r="D823" s="9" t="n">
        <x:v>22.79</x:v>
      </x:c>
      <x:c r="E823" s="9" t="n">
        <x:v>11.62</x:v>
      </x:c>
      <x:c r="F823" s="8" t="n">
        <x:f>C823*D823</x:f>
        <x:v>2301.79</x:v>
      </x:c>
      <x:c r="G823" s="8" t="n">
        <x:f>C823*E823</x:f>
        <x:v>1173.62</x:v>
      </x:c>
      <x:c r="H823" s="8" t="n">
        <x:f>F823-G823</x:f>
        <x:v>1128.17</x:v>
      </x:c>
      <x:c r="I823" s="10" t="n">
        <x:f>H823/F823</x:f>
        <x:v>0.49012724879333047</x:v>
      </x:c>
    </x:row>
    <x:row r="824" ht="22" customHeight="1">
      <x:c r="A824" s="11" t="str">
        <x:v>1734</x:v>
      </x:c>
      <x:c r="B824" s="8" t="str">
        <x:v>MGS Zoo Tycoon Complete Collection E110</x:v>
      </x:c>
      <x:c r="C824" s="8" t="n">
        <x:v>56</x:v>
      </x:c>
      <x:c r="D824" s="9" t="n">
        <x:v>28</x:v>
      </x:c>
      <x:c r="E824" s="9" t="n">
        <x:v>14.28</x:v>
      </x:c>
      <x:c r="F824" s="8" t="n">
        <x:f>C824*D824</x:f>
        <x:v>1568</x:v>
      </x:c>
      <x:c r="G824" s="8" t="n">
        <x:f>C824*E824</x:f>
        <x:v>799.68</x:v>
      </x:c>
      <x:c r="H824" s="8" t="n">
        <x:f>F824-G824</x:f>
        <x:v>768.32</x:v>
      </x:c>
      <x:c r="I824" s="10" t="n">
        <x:f>H824/F824</x:f>
        <x:v>0.49000000000000005</x:v>
      </x:c>
    </x:row>
    <x:row r="825" ht="22" customHeight="1">
      <x:c r="A825" s="11" t="str">
        <x:v>1735</x:v>
      </x:c>
      <x:c r="B825" s="8" t="str">
        <x:v>MGS Flight Simulator 2004: A Century of Flight E111</x:v>
      </x:c>
      <x:c r="C825" s="8" t="n">
        <x:v>116</x:v>
      </x:c>
      <x:c r="D825" s="9" t="n">
        <x:v>28</x:v>
      </x:c>
      <x:c r="E825" s="9" t="n">
        <x:v>14.28</x:v>
      </x:c>
      <x:c r="F825" s="8" t="n">
        <x:f>C825*D825</x:f>
        <x:v>3248</x:v>
      </x:c>
      <x:c r="G825" s="8" t="n">
        <x:f>C825*E825</x:f>
        <x:v>1656.48</x:v>
      </x:c>
      <x:c r="H825" s="8" t="n">
        <x:f>F825-G825</x:f>
        <x:v>1591.52</x:v>
      </x:c>
      <x:c r="I825" s="10" t="n">
        <x:f>H825/F825</x:f>
        <x:v>0.49</x:v>
      </x:c>
    </x:row>
    <x:row r="826" ht="22" customHeight="1">
      <x:c r="A826" s="11" t="str">
        <x:v>1736</x:v>
      </x:c>
      <x:c r="B826" s="8" t="str">
        <x:v>MGS Rise of Nations E112</x:v>
      </x:c>
      <x:c r="C826" s="8" t="n">
        <x:v>104</x:v>
      </x:c>
      <x:c r="D826" s="9" t="n">
        <x:v>28</x:v>
      </x:c>
      <x:c r="E826" s="9" t="n">
        <x:v>14.28</x:v>
      </x:c>
      <x:c r="F826" s="8" t="n">
        <x:f>C826*D826</x:f>
        <x:v>2912</x:v>
      </x:c>
      <x:c r="G826" s="8" t="n">
        <x:f>C826*E826</x:f>
        <x:v>1485.12</x:v>
      </x:c>
      <x:c r="H826" s="8" t="n">
        <x:f>F826-G826</x:f>
        <x:v>1426.88</x:v>
      </x:c>
      <x:c r="I826" s="10" t="n">
        <x:f>H826/F826</x:f>
        <x:v>0.49000000000000005</x:v>
      </x:c>
    </x:row>
    <x:row r="827" ht="22" customHeight="1">
      <x:c r="A827" s="11" t="str">
        <x:v>1737</x:v>
      </x:c>
      <x:c r="B827" s="8" t="str">
        <x:v>MGS Freelancer E113</x:v>
      </x:c>
      <x:c r="C827" s="8" t="n">
        <x:v>124</x:v>
      </x:c>
      <x:c r="D827" s="9" t="n">
        <x:v>28</x:v>
      </x:c>
      <x:c r="E827" s="9" t="n">
        <x:v>14.28</x:v>
      </x:c>
      <x:c r="F827" s="8" t="n">
        <x:f>C827*D827</x:f>
        <x:v>3472</x:v>
      </x:c>
      <x:c r="G827" s="8" t="n">
        <x:f>C827*E827</x:f>
        <x:v>1770.72</x:v>
      </x:c>
      <x:c r="H827" s="8" t="n">
        <x:f>F827-G827</x:f>
        <x:v>1701.28</x:v>
      </x:c>
      <x:c r="I827" s="10" t="n">
        <x:f>H827/F827</x:f>
        <x:v>0.49</x:v>
      </x:c>
    </x:row>
    <x:row r="828" ht="22" customHeight="1">
      <x:c r="A828" s="11" t="str">
        <x:v>1738</x:v>
      </x:c>
      <x:c r="B828" s="8" t="str">
        <x:v>MGS Impossible Creatures E114</x:v>
      </x:c>
      <x:c r="C828" s="8" t="n">
        <x:v>88</x:v>
      </x:c>
      <x:c r="D828" s="9" t="n">
        <x:v>28</x:v>
      </x:c>
      <x:c r="E828" s="9" t="n">
        <x:v>14.28</x:v>
      </x:c>
      <x:c r="F828" s="8" t="n">
        <x:f>C828*D828</x:f>
        <x:v>2464</x:v>
      </x:c>
      <x:c r="G828" s="8" t="n">
        <x:f>C828*E828</x:f>
        <x:v>1256.6399999999999</x:v>
      </x:c>
      <x:c r="H828" s="8" t="n">
        <x:f>F828-G828</x:f>
        <x:v>1207.3600000000001</x:v>
      </x:c>
      <x:c r="I828" s="10" t="n">
        <x:f>H828/F828</x:f>
        <x:v>0.49000000000000005</x:v>
      </x:c>
    </x:row>
    <x:row r="829" ht="22" customHeight="1">
      <x:c r="A829" s="11" t="str">
        <x:v>1739</x:v>
      </x:c>
      <x:c r="B829" s="8" t="str">
        <x:v>MGS RalliSport Challenge E115</x:v>
      </x:c>
      <x:c r="C829" s="8" t="n">
        <x:v>105</x:v>
      </x:c>
      <x:c r="D829" s="9" t="n">
        <x:v>28</x:v>
      </x:c>
      <x:c r="E829" s="9" t="n">
        <x:v>14.28</x:v>
      </x:c>
      <x:c r="F829" s="8" t="n">
        <x:f>C829*D829</x:f>
        <x:v>2940</x:v>
      </x:c>
      <x:c r="G829" s="8" t="n">
        <x:f>C829*E829</x:f>
        <x:v>1499.3999999999999</x:v>
      </x:c>
      <x:c r="H829" s="8" t="n">
        <x:f>F829-G829</x:f>
        <x:v>1440.6000000000001</x:v>
      </x:c>
      <x:c r="I829" s="10" t="n">
        <x:f>H829/F829</x:f>
        <x:v>0.49000000000000005</x:v>
      </x:c>
    </x:row>
    <x:row r="830" ht="22" customHeight="1">
      <x:c r="A830" s="11" t="str">
        <x:v>174</x:v>
      </x:c>
      <x:c r="B830" s="8" t="str">
        <x:v>SV 22xDVD M600 Black</x:v>
      </x:c>
      <x:c r="C830" s="8" t="n">
        <x:v>90</x:v>
      </x:c>
      <x:c r="D830" s="9" t="n">
        <x:v>129.9</x:v>
      </x:c>
      <x:c r="E830" s="9" t="n">
        <x:v>43.04</x:v>
      </x:c>
      <x:c r="F830" s="8" t="n">
        <x:f>C830*D830</x:f>
        <x:v>11691</x:v>
      </x:c>
      <x:c r="G830" s="8" t="n">
        <x:f>C830*E830</x:f>
        <x:v>3873.6</x:v>
      </x:c>
      <x:c r="H830" s="8" t="n">
        <x:f>F830-G830</x:f>
        <x:v>7817.4</x:v>
      </x:c>
      <x:c r="I830" s="10" t="n">
        <x:f>H830/F830</x:f>
        <x:v>0.6686682063125481</x:v>
      </x:c>
    </x:row>
    <x:row r="831" ht="22" customHeight="1">
      <x:c r="A831" s="11" t="str">
        <x:v>1740</x:v>
      </x:c>
      <x:c r="B831" s="8" t="str">
        <x:v>MGS MechCollection E116</x:v>
      </x:c>
      <x:c r="C831" s="8" t="n">
        <x:v>68</x:v>
      </x:c>
      <x:c r="D831" s="9" t="n">
        <x:v>28</x:v>
      </x:c>
      <x:c r="E831" s="9" t="n">
        <x:v>14.28</x:v>
      </x:c>
      <x:c r="F831" s="8" t="n">
        <x:f>C831*D831</x:f>
        <x:v>1904</x:v>
      </x:c>
      <x:c r="G831" s="8" t="n">
        <x:f>C831*E831</x:f>
        <x:v>971.04</x:v>
      </x:c>
      <x:c r="H831" s="8" t="n">
        <x:f>F831-G831</x:f>
        <x:v>932.96</x:v>
      </x:c>
      <x:c r="I831" s="10" t="n">
        <x:f>H831/F831</x:f>
        <x:v>0.49000000000000005</x:v>
      </x:c>
    </x:row>
    <x:row r="832" ht="22" customHeight="1">
      <x:c r="A832" s="11" t="str">
        <x:v>1741</x:v>
      </x:c>
      <x:c r="B832" s="8" t="str">
        <x:v>MGS MechWarrior 4: Mercenaries E117</x:v>
      </x:c>
      <x:c r="C832" s="8" t="n">
        <x:v>93</x:v>
      </x:c>
      <x:c r="D832" s="9" t="n">
        <x:v>28</x:v>
      </x:c>
      <x:c r="E832" s="9" t="n">
        <x:v>14.28</x:v>
      </x:c>
      <x:c r="F832" s="8" t="n">
        <x:f>C832*D832</x:f>
        <x:v>2604</x:v>
      </x:c>
      <x:c r="G832" s="8" t="n">
        <x:f>C832*E832</x:f>
        <x:v>1328.04</x:v>
      </x:c>
      <x:c r="H832" s="8" t="n">
        <x:f>F832-G832</x:f>
        <x:v>1275.96</x:v>
      </x:c>
      <x:c r="I832" s="10" t="n">
        <x:f>H832/F832</x:f>
        <x:v>0.49</x:v>
      </x:c>
    </x:row>
    <x:row r="833" ht="22" customHeight="1">
      <x:c r="A833" s="11" t="str">
        <x:v>1742</x:v>
      </x:c>
      <x:c r="B833" s="8" t="str">
        <x:v>MGS Age of Mythology E118</x:v>
      </x:c>
      <x:c r="C833" s="8" t="n">
        <x:v>95</x:v>
      </x:c>
      <x:c r="D833" s="9" t="n">
        <x:v>28</x:v>
      </x:c>
      <x:c r="E833" s="9" t="n">
        <x:v>14.28</x:v>
      </x:c>
      <x:c r="F833" s="8" t="n">
        <x:f>C833*D833</x:f>
        <x:v>2660</x:v>
      </x:c>
      <x:c r="G833" s="8" t="n">
        <x:f>C833*E833</x:f>
        <x:v>1356.6</x:v>
      </x:c>
      <x:c r="H833" s="8" t="n">
        <x:f>F833-G833</x:f>
        <x:v>1303.4</x:v>
      </x:c>
      <x:c r="I833" s="10" t="n">
        <x:f>H833/F833</x:f>
        <x:v>0.49000000000000005</x:v>
      </x:c>
    </x:row>
    <x:row r="834" ht="22" customHeight="1">
      <x:c r="A834" s="11" t="str">
        <x:v>1743</x:v>
      </x:c>
      <x:c r="B834" s="8" t="str">
        <x:v>MGS Combat Flight Simulator 3 E119</x:v>
      </x:c>
      <x:c r="C834" s="8" t="n">
        <x:v>117</x:v>
      </x:c>
      <x:c r="D834" s="9" t="n">
        <x:v>28</x:v>
      </x:c>
      <x:c r="E834" s="9" t="n">
        <x:v>14.28</x:v>
      </x:c>
      <x:c r="F834" s="8" t="n">
        <x:f>C834*D834</x:f>
        <x:v>3276</x:v>
      </x:c>
      <x:c r="G834" s="8" t="n">
        <x:f>C834*E834</x:f>
        <x:v>1670.76</x:v>
      </x:c>
      <x:c r="H834" s="8" t="n">
        <x:f>F834-G834</x:f>
        <x:v>1605.24</x:v>
      </x:c>
      <x:c r="I834" s="10" t="n">
        <x:f>H834/F834</x:f>
        <x:v>0.49</x:v>
      </x:c>
    </x:row>
    <x:row r="835" ht="22" customHeight="1">
      <x:c r="A835" s="11" t="str">
        <x:v>1744</x:v>
      </x:c>
      <x:c r="B835" s="8" t="str">
        <x:v>MGS Zoo Tycoon Marine Mania E120</x:v>
      </x:c>
      <x:c r="C835" s="8" t="n">
        <x:v>94</x:v>
      </x:c>
      <x:c r="D835" s="9" t="n">
        <x:v>28</x:v>
      </x:c>
      <x:c r="E835" s="9" t="n">
        <x:v>14.28</x:v>
      </x:c>
      <x:c r="F835" s="8" t="n">
        <x:f>C835*D835</x:f>
        <x:v>2632</x:v>
      </x:c>
      <x:c r="G835" s="8" t="n">
        <x:f>C835*E835</x:f>
        <x:v>1342.32</x:v>
      </x:c>
      <x:c r="H835" s="8" t="n">
        <x:f>F835-G835</x:f>
        <x:v>1289.68</x:v>
      </x:c>
      <x:c r="I835" s="10" t="n">
        <x:f>H835/F835</x:f>
        <x:v>0.49000000000000005</x:v>
      </x:c>
    </x:row>
    <x:row r="836" ht="22" customHeight="1">
      <x:c r="A836" s="11" t="str">
        <x:v>1745</x:v>
      </x:c>
      <x:c r="B836" s="8" t="str">
        <x:v>MGS MechWarrior 4 Mach Packs X100</x:v>
      </x:c>
      <x:c r="C836" s="8" t="n">
        <x:v>148</x:v>
      </x:c>
      <x:c r="D836" s="9" t="n">
        <x:v>109</x:v>
      </x:c>
      <x:c r="E836" s="9" t="n">
        <x:v>36.11</x:v>
      </x:c>
      <x:c r="F836" s="8" t="n">
        <x:f>C836*D836</x:f>
        <x:v>16132</x:v>
      </x:c>
      <x:c r="G836" s="8" t="n">
        <x:f>C836*E836</x:f>
        <x:v>5344.28</x:v>
      </x:c>
      <x:c r="H836" s="8" t="n">
        <x:f>F836-G836</x:f>
        <x:v>10787.720000000001</x:v>
      </x:c>
      <x:c r="I836" s="10" t="n">
        <x:f>H836/F836</x:f>
        <x:v>0.6687155963302753</x:v>
      </x:c>
    </x:row>
    <x:row r="837" ht="22" customHeight="1">
      <x:c r="A837" s="11" t="str">
        <x:v>1746</x:v>
      </x:c>
      <x:c r="B837" s="8" t="str">
        <x:v>MGS Zoo Tycoon Dinosaur Digs X200</x:v>
      </x:c>
      <x:c r="C837" s="8" t="n">
        <x:v>93</x:v>
      </x:c>
      <x:c r="D837" s="9" t="n">
        <x:v>109</x:v>
      </x:c>
      <x:c r="E837" s="9" t="n">
        <x:v>36.11</x:v>
      </x:c>
      <x:c r="F837" s="8" t="n">
        <x:f>C837*D837</x:f>
        <x:v>10137</x:v>
      </x:c>
      <x:c r="G837" s="8" t="n">
        <x:f>C837*E837</x:f>
        <x:v>3358.23</x:v>
      </x:c>
      <x:c r="H837" s="8" t="n">
        <x:f>F837-G837</x:f>
        <x:v>6778.77</x:v>
      </x:c>
      <x:c r="I837" s="10" t="n">
        <x:f>H837/F837</x:f>
        <x:v>0.6687155963302752</x:v>
      </x:c>
    </x:row>
    <x:row r="838" ht="22" customHeight="1">
      <x:c r="A838" s="11" t="str">
        <x:v>1747</x:v>
      </x:c>
      <x:c r="B838" s="8" t="str">
        <x:v>MGS Dungeon Siege X300</x:v>
      </x:c>
      <x:c r="C838" s="8" t="n">
        <x:v>80</x:v>
      </x:c>
      <x:c r="D838" s="9" t="n">
        <x:v>109</x:v>
      </x:c>
      <x:c r="E838" s="9" t="n">
        <x:v>36.11</x:v>
      </x:c>
      <x:c r="F838" s="8" t="n">
        <x:f>C838*D838</x:f>
        <x:v>8720</x:v>
      </x:c>
      <x:c r="G838" s="8" t="n">
        <x:f>C838*E838</x:f>
        <x:v>2888.8</x:v>
      </x:c>
      <x:c r="H838" s="8" t="n">
        <x:f>F838-G838</x:f>
        <x:v>5831.2</x:v>
      </x:c>
      <x:c r="I838" s="10" t="n">
        <x:f>H838/F838</x:f>
        <x:v>0.6687155963302752</x:v>
      </x:c>
    </x:row>
    <x:row r="839" ht="22" customHeight="1">
      <x:c r="A839" s="11" t="str">
        <x:v>1748</x:v>
      </x:c>
      <x:c r="B839" s="8" t="str">
        <x:v>MGS Classic Flight Collection X400</x:v>
      </x:c>
      <x:c r="C839" s="8" t="n">
        <x:v>115</x:v>
      </x:c>
      <x:c r="D839" s="9" t="n">
        <x:v>109</x:v>
      </x:c>
      <x:c r="E839" s="9" t="n">
        <x:v>36.11</x:v>
      </x:c>
      <x:c r="F839" s="8" t="n">
        <x:f>C839*D839</x:f>
        <x:v>12535</x:v>
      </x:c>
      <x:c r="G839" s="8" t="n">
        <x:f>C839*E839</x:f>
        <x:v>4152.65</x:v>
      </x:c>
      <x:c r="H839" s="8" t="n">
        <x:f>F839-G839</x:f>
        <x:v>8382.35</x:v>
      </x:c>
      <x:c r="I839" s="10" t="n">
        <x:f>H839/F839</x:f>
        <x:v>0.6687155963302752</x:v>
      </x:c>
    </x:row>
    <x:row r="840" ht="22" customHeight="1">
      <x:c r="A840" s="11" t="str">
        <x:v>1749</x:v>
      </x:c>
      <x:c r="B840" s="8" t="str">
        <x:v>MGS Bicycle Board Games X500</x:v>
      </x:c>
      <x:c r="C840" s="8" t="n">
        <x:v>110</x:v>
      </x:c>
      <x:c r="D840" s="9" t="n">
        <x:v>109</x:v>
      </x:c>
      <x:c r="E840" s="9" t="n">
        <x:v>36.11</x:v>
      </x:c>
      <x:c r="F840" s="8" t="n">
        <x:f>C840*D840</x:f>
        <x:v>11990</x:v>
      </x:c>
      <x:c r="G840" s="8" t="n">
        <x:f>C840*E840</x:f>
        <x:v>3972.1</x:v>
      </x:c>
      <x:c r="H840" s="8" t="n">
        <x:f>F840-G840</x:f>
        <x:v>8017.9</x:v>
      </x:c>
      <x:c r="I840" s="10" t="n">
        <x:f>H840/F840</x:f>
        <x:v>0.6687155963302752</x:v>
      </x:c>
    </x:row>
    <x:row r="841" ht="22" customHeight="1">
      <x:c r="A841" s="11" t="str">
        <x:v>175</x:v>
      </x:c>
      <x:c r="B841" s="8" t="str">
        <x:v>SV 16xDVD M350 Black</x:v>
      </x:c>
      <x:c r="C841" s="8" t="n">
        <x:v>129</x:v>
      </x:c>
      <x:c r="D841" s="9" t="n">
        <x:v>116.9</x:v>
      </x:c>
      <x:c r="E841" s="9" t="n">
        <x:v>53.76</x:v>
      </x:c>
      <x:c r="F841" s="8" t="n">
        <x:f>C841*D841</x:f>
        <x:v>15080.1</x:v>
      </x:c>
      <x:c r="G841" s="8" t="n">
        <x:f>C841*E841</x:f>
        <x:v>6935.04</x:v>
      </x:c>
      <x:c r="H841" s="8" t="n">
        <x:f>F841-G841</x:f>
        <x:v>8145.06</x:v>
      </x:c>
      <x:c r="I841" s="10" t="n">
        <x:f>H841/F841</x:f>
        <x:v>0.540119760479042</x:v>
      </x:c>
    </x:row>
    <x:row r="842" ht="22" customHeight="1">
      <x:c r="A842" s="11" t="str">
        <x:v>1750</x:v>
      </x:c>
      <x:c r="B842" s="8" t="str">
        <x:v>MGS Bicycle Card Games X600</x:v>
      </x:c>
      <x:c r="C842" s="8" t="n">
        <x:v>98</x:v>
      </x:c>
      <x:c r="D842" s="9" t="n">
        <x:v>109</x:v>
      </x:c>
      <x:c r="E842" s="9" t="n">
        <x:v>36.11</x:v>
      </x:c>
      <x:c r="F842" s="8" t="n">
        <x:f>C842*D842</x:f>
        <x:v>10682</x:v>
      </x:c>
      <x:c r="G842" s="8" t="n">
        <x:f>C842*E842</x:f>
        <x:v>3538.7799999999997</x:v>
      </x:c>
      <x:c r="H842" s="8" t="n">
        <x:f>F842-G842</x:f>
        <x:v>7143.22</x:v>
      </x:c>
      <x:c r="I842" s="10" t="n">
        <x:f>H842/F842</x:f>
        <x:v>0.6687155963302752</x:v>
      </x:c>
    </x:row>
    <x:row r="843" ht="22" customHeight="1">
      <x:c r="A843" s="11" t="str">
        <x:v>1751</x:v>
      </x:c>
      <x:c r="B843" s="8" t="str">
        <x:v>MGS Bicycle Casino Games X700</x:v>
      </x:c>
      <x:c r="C843" s="8" t="n">
        <x:v>79</x:v>
      </x:c>
      <x:c r="D843" s="9" t="n">
        <x:v>109</x:v>
      </x:c>
      <x:c r="E843" s="9" t="n">
        <x:v>36.11</x:v>
      </x:c>
      <x:c r="F843" s="8" t="n">
        <x:f>C843*D843</x:f>
        <x:v>8611</x:v>
      </x:c>
      <x:c r="G843" s="8" t="n">
        <x:f>C843*E843</x:f>
        <x:v>2852.69</x:v>
      </x:c>
      <x:c r="H843" s="8" t="n">
        <x:f>F843-G843</x:f>
        <x:v>5758.3099999999995</x:v>
      </x:c>
      <x:c r="I843" s="10" t="n">
        <x:f>H843/F843</x:f>
        <x:v>0.6687155963302752</x:v>
      </x:c>
    </x:row>
    <x:row r="844" ht="22" customHeight="1">
      <x:c r="A844" s="11" t="str">
        <x:v>1752</x:v>
      </x:c>
      <x:c r="B844" s="8" t="str">
        <x:v>MGS Flight Simulator 2002 M360</x:v>
      </x:c>
      <x:c r="C844" s="8" t="n">
        <x:v>94</x:v>
      </x:c>
      <x:c r="D844" s="9" t="n">
        <x:v>89</x:v>
      </x:c>
      <x:c r="E844" s="9" t="n">
        <x:v>40.93</x:v>
      </x:c>
      <x:c r="F844" s="8" t="n">
        <x:f>C844*D844</x:f>
        <x:v>8366</x:v>
      </x:c>
      <x:c r="G844" s="8" t="n">
        <x:f>C844*E844</x:f>
        <x:v>3847.42</x:v>
      </x:c>
      <x:c r="H844" s="8" t="n">
        <x:f>F844-G844</x:f>
        <x:v>4518.58</x:v>
      </x:c>
      <x:c r="I844" s="10" t="n">
        <x:f>H844/F844</x:f>
        <x:v>0.5401123595505618</x:v>
      </x:c>
    </x:row>
    <x:row r="845" ht="22" customHeight="1">
      <x:c r="A845" s="11" t="str">
        <x:v>1753</x:v>
      </x:c>
      <x:c r="B845" s="8" t="str">
        <x:v>MGS Racing Madness 2 M370</x:v>
      </x:c>
      <x:c r="C845" s="8" t="n">
        <x:v>69</x:v>
      </x:c>
      <x:c r="D845" s="9" t="n">
        <x:v>89</x:v>
      </x:c>
      <x:c r="E845" s="9" t="n">
        <x:v>40.93</x:v>
      </x:c>
      <x:c r="F845" s="8" t="n">
        <x:f>C845*D845</x:f>
        <x:v>6141</x:v>
      </x:c>
      <x:c r="G845" s="8" t="n">
        <x:f>C845*E845</x:f>
        <x:v>2824.17</x:v>
      </x:c>
      <x:c r="H845" s="8" t="n">
        <x:f>F845-G845</x:f>
        <x:v>3316.83</x:v>
      </x:c>
      <x:c r="I845" s="10" t="n">
        <x:f>H845/F845</x:f>
        <x:v>0.5401123595505618</x:v>
      </x:c>
    </x:row>
    <x:row r="846" ht="22" customHeight="1">
      <x:c r="A846" s="11" t="str">
        <x:v>1754</x:v>
      </x:c>
      <x:c r="B846" s="8" t="str">
        <x:v>MGS Zoo Tycoon M380</x:v>
      </x:c>
      <x:c r="C846" s="8" t="n">
        <x:v>72</x:v>
      </x:c>
      <x:c r="D846" s="9" t="n">
        <x:v>89</x:v>
      </x:c>
      <x:c r="E846" s="9" t="n">
        <x:v>40.93</x:v>
      </x:c>
      <x:c r="F846" s="8" t="n">
        <x:f>C846*D846</x:f>
        <x:v>6408</x:v>
      </x:c>
      <x:c r="G846" s="8" t="n">
        <x:f>C846*E846</x:f>
        <x:v>2946.96</x:v>
      </x:c>
      <x:c r="H846" s="8" t="n">
        <x:f>F846-G846</x:f>
        <x:v>3461.04</x:v>
      </x:c>
      <x:c r="I846" s="10" t="n">
        <x:f>H846/F846</x:f>
        <x:v>0.5401123595505618</x:v>
      </x:c>
    </x:row>
    <x:row r="847" ht="22" customHeight="1">
      <x:c r="A847" s="11" t="str">
        <x:v>1755</x:v>
      </x:c>
      <x:c r="B847" s="8" t="str">
        <x:v>MGS MechWarrior 4: Knight E121</x:v>
      </x:c>
      <x:c r="C847" s="8" t="n">
        <x:v>97</x:v>
      </x:c>
      <x:c r="D847" s="9" t="n">
        <x:v>64.9</x:v>
      </x:c>
      <x:c r="E847" s="9" t="n">
        <x:v>33.09</x:v>
      </x:c>
      <x:c r="F847" s="8" t="n">
        <x:f>C847*D847</x:f>
        <x:v>6295.3</x:v>
      </x:c>
      <x:c r="G847" s="8" t="n">
        <x:f>C847*E847</x:f>
        <x:v>3209.7300000000005</x:v>
      </x:c>
      <x:c r="H847" s="8" t="n">
        <x:f>F847-G847</x:f>
        <x:v>3085.5699999999997</x:v>
      </x:c>
      <x:c r="I847" s="10" t="n">
        <x:f>H847/F847</x:f>
        <x:v>0.4901386748844375</x:v>
      </x:c>
    </x:row>
    <x:row r="848" ht="22" customHeight="1">
      <x:c r="A848" s="11" t="str">
        <x:v>1756</x:v>
      </x:c>
      <x:c r="B848" s="8" t="str">
        <x:v>MGS Age of Empires II Gold Edition E122</x:v>
      </x:c>
      <x:c r="C848" s="8" t="n">
        <x:v>85</x:v>
      </x:c>
      <x:c r="D848" s="9" t="n">
        <x:v>64.9</x:v>
      </x:c>
      <x:c r="E848" s="9" t="n">
        <x:v>33.09</x:v>
      </x:c>
      <x:c r="F848" s="8" t="n">
        <x:f>C848*D848</x:f>
        <x:v>5516.500000000001</x:v>
      </x:c>
      <x:c r="G848" s="8" t="n">
        <x:f>C848*E848</x:f>
        <x:v>2812.65</x:v>
      </x:c>
      <x:c r="H848" s="8" t="n">
        <x:f>F848-G848</x:f>
        <x:v>2703.850000000001</x:v>
      </x:c>
      <x:c r="I848" s="10" t="n">
        <x:f>H848/F848</x:f>
        <x:v>0.4901386748844377</x:v>
      </x:c>
    </x:row>
    <x:row r="849" ht="22" customHeight="1">
      <x:c r="A849" s="11" t="str">
        <x:v>1757</x:v>
      </x:c>
      <x:c r="B849" s="8" t="str">
        <x:v>MGS MechCommander 2 E123</x:v>
      </x:c>
      <x:c r="C849" s="8" t="n">
        <x:v>102</x:v>
      </x:c>
      <x:c r="D849" s="9" t="n">
        <x:v>55.9</x:v>
      </x:c>
      <x:c r="E849" s="9" t="n">
        <x:v>28.5</x:v>
      </x:c>
      <x:c r="F849" s="8" t="n">
        <x:f>C849*D849</x:f>
        <x:v>5701.8</x:v>
      </x:c>
      <x:c r="G849" s="8" t="n">
        <x:f>C849*E849</x:f>
        <x:v>2907</x:v>
      </x:c>
      <x:c r="H849" s="8" t="n">
        <x:f>F849-G849</x:f>
        <x:v>2794.8</x:v>
      </x:c>
      <x:c r="I849" s="10" t="n">
        <x:f>H849/F849</x:f>
        <x:v>0.49016100178890876</x:v>
      </x:c>
    </x:row>
    <x:row r="850" ht="22" customHeight="1">
      <x:c r="A850" s="11" t="str">
        <x:v>1758</x:v>
      </x:c>
      <x:c r="B850" s="8" t="str">
        <x:v>MGS Train Simulator E124</x:v>
      </x:c>
      <x:c r="C850" s="8" t="n">
        <x:v>97</x:v>
      </x:c>
      <x:c r="D850" s="9" t="n">
        <x:v>50.54</x:v>
      </x:c>
      <x:c r="E850" s="9" t="n">
        <x:v>25.77</x:v>
      </x:c>
      <x:c r="F850" s="8" t="n">
        <x:f>C850*D850</x:f>
        <x:v>4902.38</x:v>
      </x:c>
      <x:c r="G850" s="8" t="n">
        <x:f>C850*E850</x:f>
        <x:v>2499.69</x:v>
      </x:c>
      <x:c r="H850" s="8" t="n">
        <x:f>F850-G850</x:f>
        <x:v>2402.69</x:v>
      </x:c>
      <x:c r="I850" s="10" t="n">
        <x:f>H850/F850</x:f>
        <x:v>0.49010684606252475</x:v>
      </x:c>
    </x:row>
    <x:row r="851" ht="22" customHeight="1">
      <x:c r="A851" s="11" t="str">
        <x:v>1759</x:v>
      </x:c>
      <x:c r="B851" s="8" t="str">
        <x:v>MGS MechWarrior 4: Vengeance X800</x:v>
      </x:c>
      <x:c r="C851" s="8" t="n">
        <x:v>83</x:v>
      </x:c>
      <x:c r="D851" s="9" t="n">
        <x:v>104.89</x:v>
      </x:c>
      <x:c r="E851" s="9" t="n">
        <x:v>34.75</x:v>
      </x:c>
      <x:c r="F851" s="8" t="n">
        <x:f>C851*D851</x:f>
        <x:v>8705.87</x:v>
      </x:c>
      <x:c r="G851" s="8" t="n">
        <x:f>C851*E851</x:f>
        <x:v>2884.25</x:v>
      </x:c>
      <x:c r="H851" s="8" t="n">
        <x:f>F851-G851</x:f>
        <x:v>5821.620000000001</x:v>
      </x:c>
      <x:c r="I851" s="10" t="n">
        <x:f>H851/F851</x:f>
        <x:v>0.6687005434264468</x:v>
      </x:c>
    </x:row>
    <x:row r="852" ht="22" customHeight="1">
      <x:c r="A852" s="11" t="str">
        <x:v>176</x:v>
      </x:c>
      <x:c r="B852" s="8" t="str">
        <x:v>SV 16xDVD M360 Black</x:v>
      </x:c>
      <x:c r="C852" s="8" t="n">
        <x:v>125</x:v>
      </x:c>
      <x:c r="D852" s="9" t="n">
        <x:v>126.9</x:v>
      </x:c>
      <x:c r="E852" s="9" t="n">
        <x:v>58.36</x:v>
      </x:c>
      <x:c r="F852" s="8" t="n">
        <x:f>C852*D852</x:f>
        <x:v>15862.5</x:v>
      </x:c>
      <x:c r="G852" s="8" t="n">
        <x:f>C852*E852</x:f>
        <x:v>7295</x:v>
      </x:c>
      <x:c r="H852" s="8" t="n">
        <x:f>F852-G852</x:f>
        <x:v>8567.5</x:v>
      </x:c>
      <x:c r="I852" s="10" t="n">
        <x:f>H852/F852</x:f>
        <x:v>0.5401103230890465</x:v>
      </x:c>
    </x:row>
    <x:row r="853" ht="22" customHeight="1">
      <x:c r="A853" s="11" t="str">
        <x:v>1760</x:v>
      </x:c>
      <x:c r="B853" s="8" t="str">
        <x:v>MGS Return of Arcade Anniversary Edition M390</x:v>
      </x:c>
      <x:c r="C853" s="8" t="n">
        <x:v>121</x:v>
      </x:c>
      <x:c r="D853" s="9" t="n">
        <x:v>94.8</x:v>
      </x:c>
      <x:c r="E853" s="9" t="n">
        <x:v>43.6</x:v>
      </x:c>
      <x:c r="F853" s="8" t="n">
        <x:f>C853*D853</x:f>
        <x:v>11470.8</x:v>
      </x:c>
      <x:c r="G853" s="8" t="n">
        <x:f>C853*E853</x:f>
        <x:v>5275.6</x:v>
      </x:c>
      <x:c r="H853" s="8" t="n">
        <x:f>F853-G853</x:f>
        <x:v>6195.199999999999</x:v>
      </x:c>
      <x:c r="I853" s="10" t="n">
        <x:f>H853/F853</x:f>
        <x:v>0.540084388185654</x:v>
      </x:c>
    </x:row>
    <x:row r="854" ht="22" customHeight="1">
      <x:c r="A854" s="11" t="str">
        <x:v>1761</x:v>
      </x:c>
      <x:c r="B854" s="8" t="str">
        <x:v>MGS Combat Flight Simulator 2 M400</x:v>
      </x:c>
      <x:c r="C854" s="8" t="n">
        <x:v>89</x:v>
      </x:c>
      <x:c r="D854" s="9" t="n">
        <x:v>73.39</x:v>
      </x:c>
      <x:c r="E854" s="9" t="n">
        <x:v>33.75</x:v>
      </x:c>
      <x:c r="F854" s="8" t="n">
        <x:f>C854*D854</x:f>
        <x:v>6531.71</x:v>
      </x:c>
      <x:c r="G854" s="8" t="n">
        <x:f>C854*E854</x:f>
        <x:v>3003.75</x:v>
      </x:c>
      <x:c r="H854" s="8" t="n">
        <x:f>F854-G854</x:f>
        <x:v>3527.96</x:v>
      </x:c>
      <x:c r="I854" s="10" t="n">
        <x:f>H854/F854</x:f>
        <x:v>0.5401280828450743</x:v>
      </x:c>
    </x:row>
    <x:row r="855" ht="22" customHeight="1">
      <x:c r="A855" s="11" t="str">
        <x:v>1762</x:v>
      </x:c>
      <x:c r="B855" s="8" t="str">
        <x:v>MGS Age of Empires II: The Conquerors Expansion E125</x:v>
      </x:c>
      <x:c r="C855" s="8" t="n">
        <x:v>93</x:v>
      </x:c>
      <x:c r="D855" s="9" t="n">
        <x:v>31.39</x:v>
      </x:c>
      <x:c r="E855" s="9" t="n">
        <x:v>16</x:v>
      </x:c>
      <x:c r="F855" s="8" t="n">
        <x:f>C855*D855</x:f>
        <x:v>2919.27</x:v>
      </x:c>
      <x:c r="G855" s="8" t="n">
        <x:f>C855*E855</x:f>
        <x:v>1488</x:v>
      </x:c>
      <x:c r="H855" s="8" t="n">
        <x:f>F855-G855</x:f>
        <x:v>1431.27</x:v>
      </x:c>
      <x:c r="I855" s="10" t="n">
        <x:f>H855/F855</x:f>
        <x:v>0.4902835297865562</x:v>
      </x:c>
    </x:row>
    <x:row r="856" ht="22" customHeight="1">
      <x:c r="A856" s="11" t="str">
        <x:v>1763</x:v>
      </x:c>
      <x:c r="B856" s="8" t="str">
        <x:v>MGS Flight Simulator 2000 M410</x:v>
      </x:c>
      <x:c r="C856" s="8" t="n">
        <x:v>79</x:v>
      </x:c>
      <x:c r="D856" s="9" t="n">
        <x:v>99.75</x:v>
      </x:c>
      <x:c r="E856" s="9" t="n">
        <x:v>45.87</x:v>
      </x:c>
      <x:c r="F856" s="8" t="n">
        <x:f>C856*D856</x:f>
        <x:v>7880.25</x:v>
      </x:c>
      <x:c r="G856" s="8" t="n">
        <x:f>C856*E856</x:f>
        <x:v>3623.73</x:v>
      </x:c>
      <x:c r="H856" s="8" t="n">
        <x:f>F856-G856</x:f>
        <x:v>4256.52</x:v>
      </x:c>
      <x:c r="I856" s="10" t="n">
        <x:f>H856/F856</x:f>
        <x:v>0.5401503759398497</x:v>
      </x:c>
    </x:row>
    <x:row r="857" ht="22" customHeight="1">
      <x:c r="A857" s="11" t="str">
        <x:v>1764</x:v>
      </x:c>
      <x:c r="B857" s="8" t="str">
        <x:v>MGS Age of Empires II: The Age of Kings E126</x:v>
      </x:c>
      <x:c r="C857" s="8" t="n">
        <x:v>71</x:v>
      </x:c>
      <x:c r="D857" s="9" t="n">
        <x:v>46.8</x:v>
      </x:c>
      <x:c r="E857" s="9" t="n">
        <x:v>23.86</x:v>
      </x:c>
      <x:c r="F857" s="8" t="n">
        <x:f>C857*D857</x:f>
        <x:v>3322.7999999999997</x:v>
      </x:c>
      <x:c r="G857" s="8" t="n">
        <x:f>C857*E857</x:f>
        <x:v>1694.06</x:v>
      </x:c>
      <x:c r="H857" s="8" t="n">
        <x:f>F857-G857</x:f>
        <x:v>1628.7399999999998</x:v>
      </x:c>
      <x:c r="I857" s="10" t="n">
        <x:f>H857/F857</x:f>
        <x:v>0.49017094017094015</x:v>
      </x:c>
    </x:row>
    <x:row r="858" ht="22" customHeight="1">
      <x:c r="A858" s="11" t="str">
        <x:v>1765</x:v>
      </x:c>
      <x:c r="B858" s="8" t="str">
        <x:v>MGS Age of Empires Expansion: The Rise of Rome X900</x:v>
      </x:c>
      <x:c r="C858" s="8" t="n">
        <x:v>81</x:v>
      </x:c>
      <x:c r="D858" s="9" t="n">
        <x:v>598.8</x:v>
      </x:c>
      <x:c r="E858" s="9" t="n">
        <x:v>198.39</x:v>
      </x:c>
      <x:c r="F858" s="8" t="n">
        <x:f>C858*D858</x:f>
        <x:v>48502.799999999996</x:v>
      </x:c>
      <x:c r="G858" s="8" t="n">
        <x:f>C858*E858</x:f>
        <x:v>16069.589999999998</x:v>
      </x:c>
      <x:c r="H858" s="8" t="n">
        <x:f>F858-G858</x:f>
        <x:v>32433.21</x:v>
      </x:c>
      <x:c r="I858" s="10" t="n">
        <x:f>H858/F858</x:f>
        <x:v>0.668687374749499</x:v>
      </x:c>
    </x:row>
    <x:row r="859" ht="22" customHeight="1">
      <x:c r="A859" s="11" t="str">
        <x:v>1766</x:v>
      </x:c>
      <x:c r="B859" s="8" t="str">
        <x:v>MGS Age of Empires 2008new M420</x:v>
      </x:c>
      <x:c r="C859" s="8" t="n">
        <x:v>126</x:v>
      </x:c>
      <x:c r="D859" s="9" t="n">
        <x:v>54</x:v>
      </x:c>
      <x:c r="E859" s="9" t="n">
        <x:v>24.83</x:v>
      </x:c>
      <x:c r="F859" s="8" t="n">
        <x:f>C859*D859</x:f>
        <x:v>6804</x:v>
      </x:c>
      <x:c r="G859" s="8" t="n">
        <x:f>C859*E859</x:f>
        <x:v>3128.58</x:v>
      </x:c>
      <x:c r="H859" s="8" t="n">
        <x:f>F859-G859</x:f>
        <x:v>3675.42</x:v>
      </x:c>
      <x:c r="I859" s="10" t="n">
        <x:f>H859/F859</x:f>
        <x:v>0.5401851851851852</x:v>
      </x:c>
    </x:row>
    <x:row r="860" ht="22" customHeight="1">
      <x:c r="A860" s="11" t="str">
        <x:v>1767</x:v>
      </x:c>
      <x:c r="B860" s="8" t="str">
        <x:v>MGS Dal of Honor Airborne 2008 M430</x:v>
      </x:c>
      <x:c r="C860" s="8" t="n">
        <x:v>108</x:v>
      </x:c>
      <x:c r="D860" s="9" t="n">
        <x:v>34</x:v>
      </x:c>
      <x:c r="E860" s="9" t="n">
        <x:v>15.64</x:v>
      </x:c>
      <x:c r="F860" s="8" t="n">
        <x:f>C860*D860</x:f>
        <x:v>3672</x:v>
      </x:c>
      <x:c r="G860" s="8" t="n">
        <x:f>C860*E860</x:f>
        <x:v>1689.1200000000001</x:v>
      </x:c>
      <x:c r="H860" s="8" t="n">
        <x:f>F860-G860</x:f>
        <x:v>1982.8799999999999</x:v>
      </x:c>
      <x:c r="I860" s="10" t="n">
        <x:f>H860/F860</x:f>
        <x:v>0.5399999999999999</x:v>
      </x:c>
    </x:row>
    <x:row r="861" ht="22" customHeight="1">
      <x:c r="A861" s="11" t="str">
        <x:v>1768</x:v>
      </x:c>
      <x:c r="B861" s="8" t="str">
        <x:v>MGS Empires Collector's 2008 M440</x:v>
      </x:c>
      <x:c r="C861" s="8" t="n">
        <x:v>84</x:v>
      </x:c>
      <x:c r="D861" s="9" t="n">
        <x:v>34</x:v>
      </x:c>
      <x:c r="E861" s="9" t="n">
        <x:v>15.64</x:v>
      </x:c>
      <x:c r="F861" s="8" t="n">
        <x:f>C861*D861</x:f>
        <x:v>2856</x:v>
      </x:c>
      <x:c r="G861" s="8" t="n">
        <x:f>C861*E861</x:f>
        <x:v>1313.76</x:v>
      </x:c>
      <x:c r="H861" s="8" t="n">
        <x:f>F861-G861</x:f>
        <x:v>1542.24</x:v>
      </x:c>
      <x:c r="I861" s="10" t="n">
        <x:f>H861/F861</x:f>
        <x:v>0.54</x:v>
      </x:c>
    </x:row>
    <x:row r="862" ht="22" customHeight="1">
      <x:c r="A862" s="11" t="str">
        <x:v>1769</x:v>
      </x:c>
      <x:c r="B862" s="8" t="str">
        <x:v>MGS Gears of War 2008 M450</x:v>
      </x:c>
      <x:c r="C862" s="8" t="n">
        <x:v>129</x:v>
      </x:c>
      <x:c r="D862" s="9" t="n">
        <x:v>34</x:v>
      </x:c>
      <x:c r="E862" s="9" t="n">
        <x:v>15.64</x:v>
      </x:c>
      <x:c r="F862" s="8" t="n">
        <x:f>C862*D862</x:f>
        <x:v>4386</x:v>
      </x:c>
      <x:c r="G862" s="8" t="n">
        <x:f>C862*E862</x:f>
        <x:v>2017.5600000000002</x:v>
      </x:c>
      <x:c r="H862" s="8" t="n">
        <x:f>F862-G862</x:f>
        <x:v>2368.4399999999996</x:v>
      </x:c>
      <x:c r="I862" s="10" t="n">
        <x:f>H862/F862</x:f>
        <x:v>0.5399999999999999</x:v>
      </x:c>
    </x:row>
    <x:row r="863" ht="22" customHeight="1">
      <x:c r="A863" s="11" t="str">
        <x:v>177</x:v>
      </x:c>
      <x:c r="B863" s="8" t="str">
        <x:v>SV 8xDVD E130 Black</x:v>
      </x:c>
      <x:c r="C863" s="8" t="n">
        <x:v>105</x:v>
      </x:c>
      <x:c r="D863" s="9" t="n">
        <x:v>56.9</x:v>
      </x:c>
      <x:c r="E863" s="9" t="n">
        <x:v>29.01</x:v>
      </x:c>
      <x:c r="F863" s="8" t="n">
        <x:f>C863*D863</x:f>
        <x:v>5974.5</x:v>
      </x:c>
      <x:c r="G863" s="8" t="n">
        <x:f>C863*E863</x:f>
        <x:v>3046.05</x:v>
      </x:c>
      <x:c r="H863" s="8" t="n">
        <x:f>F863-G863</x:f>
        <x:v>2928.45</x:v>
      </x:c>
      <x:c r="I863" s="10" t="n">
        <x:f>H863/F863</x:f>
        <x:v>0.49015817223198593</x:v>
      </x:c>
    </x:row>
    <x:row r="864" ht="22" customHeight="1">
      <x:c r="A864" s="11" t="str">
        <x:v>1770</x:v>
      </x:c>
      <x:c r="B864" s="8" t="str">
        <x:v>MGS Age of Empires III: The Asian Dynasties 2008 E126</x:v>
      </x:c>
      <x:c r="C864" s="8" t="n">
        <x:v>83</x:v>
      </x:c>
      <x:c r="D864" s="9" t="n">
        <x:v>34</x:v>
      </x:c>
      <x:c r="E864" s="9" t="n">
        <x:v>17.33</x:v>
      </x:c>
      <x:c r="F864" s="8" t="n">
        <x:f>C864*D864</x:f>
        <x:v>2822</x:v>
      </x:c>
      <x:c r="G864" s="8" t="n">
        <x:f>C864*E864</x:f>
        <x:v>1438.3899999999999</x:v>
      </x:c>
      <x:c r="H864" s="8" t="n">
        <x:f>F864-G864</x:f>
        <x:v>1383.6100000000001</x:v>
      </x:c>
      <x:c r="I864" s="10" t="n">
        <x:f>H864/F864</x:f>
        <x:v>0.4902941176470589</x:v>
      </x:c>
    </x:row>
    <x:row r="865" ht="22" customHeight="1">
      <x:c r="A865" s="11" t="str">
        <x:v>1771</x:v>
      </x:c>
      <x:c r="B865" s="8" t="str">
        <x:v>MGS Age of Empires III: The Asian Dynasties 2009 E127</x:v>
      </x:c>
      <x:c r="C865" s="8" t="n">
        <x:v>54</x:v>
      </x:c>
      <x:c r="D865" s="9" t="n">
        <x:v>34</x:v>
      </x:c>
      <x:c r="E865" s="9" t="n">
        <x:v>17.33</x:v>
      </x:c>
      <x:c r="F865" s="8" t="n">
        <x:f>C865*D865</x:f>
        <x:v>1836</x:v>
      </x:c>
      <x:c r="G865" s="8" t="n">
        <x:f>C865*E865</x:f>
        <x:v>935.8199999999999</x:v>
      </x:c>
      <x:c r="H865" s="8" t="n">
        <x:f>F865-G865</x:f>
        <x:v>900.1800000000001</x:v>
      </x:c>
      <x:c r="I865" s="10" t="n">
        <x:f>H865/F865</x:f>
        <x:v>0.4902941176470589</x:v>
      </x:c>
    </x:row>
    <x:row r="866" ht="22" customHeight="1">
      <x:c r="A866" s="11" t="str">
        <x:v>1772</x:v>
      </x:c>
      <x:c r="B866" s="8" t="str">
        <x:v>MGS Flight Simulator X Acceleration Expansion Pack 2009 E128</x:v>
      </x:c>
      <x:c r="C866" s="8" t="n">
        <x:v>110</x:v>
      </x:c>
      <x:c r="D866" s="9" t="n">
        <x:v>34</x:v>
      </x:c>
      <x:c r="E866" s="9" t="n">
        <x:v>17.33</x:v>
      </x:c>
      <x:c r="F866" s="8" t="n">
        <x:f>C866*D866</x:f>
        <x:v>3740</x:v>
      </x:c>
      <x:c r="G866" s="8" t="n">
        <x:f>C866*E866</x:f>
        <x:v>1906.2999999999997</x:v>
      </x:c>
      <x:c r="H866" s="8" t="n">
        <x:f>F866-G866</x:f>
        <x:v>1833.7000000000003</x:v>
      </x:c>
      <x:c r="I866" s="10" t="n">
        <x:f>H866/F866</x:f>
        <x:v>0.4902941176470589</x:v>
      </x:c>
    </x:row>
    <x:row r="867" ht="22" customHeight="1">
      <x:c r="A867" s="11" t="str">
        <x:v>1773</x:v>
      </x:c>
      <x:c r="B867" s="8" t="str">
        <x:v>MGS Zoo Tycoon 2: Extinct Animals 2008 E129</x:v>
      </x:c>
      <x:c r="C867" s="8" t="n">
        <x:v>100</x:v>
      </x:c>
      <x:c r="D867" s="9" t="n">
        <x:v>43</x:v>
      </x:c>
      <x:c r="E867" s="9" t="n">
        <x:v>21.92</x:v>
      </x:c>
      <x:c r="F867" s="8" t="n">
        <x:f>C867*D867</x:f>
        <x:v>4300</x:v>
      </x:c>
      <x:c r="G867" s="8" t="n">
        <x:f>C867*E867</x:f>
        <x:v>2192</x:v>
      </x:c>
      <x:c r="H867" s="8" t="n">
        <x:f>F867-G867</x:f>
        <x:v>2108</x:v>
      </x:c>
      <x:c r="I867" s="10" t="n">
        <x:f>H867/F867</x:f>
        <x:v>0.49023255813953487</x:v>
      </x:c>
    </x:row>
    <x:row r="868" ht="22" customHeight="1">
      <x:c r="A868" s="11" t="str">
        <x:v>1774</x:v>
      </x:c>
      <x:c r="B868" s="8" t="str">
        <x:v>MGS Halo 2 for Windows Vista 2009 E130</x:v>
      </x:c>
      <x:c r="C868" s="8" t="n">
        <x:v>58</x:v>
      </x:c>
      <x:c r="D868" s="9" t="n">
        <x:v>43</x:v>
      </x:c>
      <x:c r="E868" s="9" t="n">
        <x:v>21.92</x:v>
      </x:c>
      <x:c r="F868" s="8" t="n">
        <x:f>C868*D868</x:f>
        <x:v>2494</x:v>
      </x:c>
      <x:c r="G868" s="8" t="n">
        <x:f>C868*E868</x:f>
        <x:v>1271.3600000000001</x:v>
      </x:c>
      <x:c r="H868" s="8" t="n">
        <x:f>F868-G868</x:f>
        <x:v>1222.6399999999999</x:v>
      </x:c>
      <x:c r="I868" s="10" t="n">
        <x:f>H868/F868</x:f>
        <x:v>0.4902325581395348</x:v>
      </x:c>
    </x:row>
    <x:row r="869" ht="22" customHeight="1">
      <x:c r="A869" s="11" t="str">
        <x:v>1775</x:v>
      </x:c>
      <x:c r="B869" s="8" t="str">
        <x:v>MGS Shadow-run 2008 E131</x:v>
      </x:c>
      <x:c r="C869" s="8" t="n">
        <x:v>93</x:v>
      </x:c>
      <x:c r="D869" s="9" t="n">
        <x:v>43</x:v>
      </x:c>
      <x:c r="E869" s="9" t="n">
        <x:v>21.92</x:v>
      </x:c>
      <x:c r="F869" s="8" t="n">
        <x:f>C869*D869</x:f>
        <x:v>3999</x:v>
      </x:c>
      <x:c r="G869" s="8" t="n">
        <x:f>C869*E869</x:f>
        <x:v>2038.5600000000002</x:v>
      </x:c>
      <x:c r="H869" s="8" t="n">
        <x:f>F869-G869</x:f>
        <x:v>1960.4399999999998</x:v>
      </x:c>
      <x:c r="I869" s="10" t="n">
        <x:f>H869/F869</x:f>
        <x:v>0.4902325581395348</x:v>
      </x:c>
    </x:row>
    <x:row r="870" ht="22" customHeight="1">
      <x:c r="A870" s="11" t="str">
        <x:v>1776</x:v>
      </x:c>
      <x:c r="B870" s="8" t="str">
        <x:v>MGS Age of Empires III: The War Chiefs 2007 E132</x:v>
      </x:c>
      <x:c r="C870" s="8" t="n">
        <x:v>66</x:v>
      </x:c>
      <x:c r="D870" s="9" t="n">
        <x:v>43</x:v>
      </x:c>
      <x:c r="E870" s="9" t="n">
        <x:v>21.92</x:v>
      </x:c>
      <x:c r="F870" s="8" t="n">
        <x:f>C870*D870</x:f>
        <x:v>2838</x:v>
      </x:c>
      <x:c r="G870" s="8" t="n">
        <x:f>C870*E870</x:f>
        <x:v>1446.72</x:v>
      </x:c>
      <x:c r="H870" s="8" t="n">
        <x:f>F870-G870</x:f>
        <x:v>1391.28</x:v>
      </x:c>
      <x:c r="I870" s="10" t="n">
        <x:f>H870/F870</x:f>
        <x:v>0.49023255813953487</x:v>
      </x:c>
    </x:row>
    <x:row r="871" ht="22" customHeight="1">
      <x:c r="A871" s="11" t="str">
        <x:v>1777</x:v>
      </x:c>
      <x:c r="B871" s="8" t="str">
        <x:v>MGS Flight Simulator X 2008 E133</x:v>
      </x:c>
      <x:c r="C871" s="8" t="n">
        <x:v>89</x:v>
      </x:c>
      <x:c r="D871" s="9" t="n">
        <x:v>43</x:v>
      </x:c>
      <x:c r="E871" s="9" t="n">
        <x:v>21.92</x:v>
      </x:c>
      <x:c r="F871" s="8" t="n">
        <x:f>C871*D871</x:f>
        <x:v>3827</x:v>
      </x:c>
      <x:c r="G871" s="8" t="n">
        <x:f>C871*E871</x:f>
        <x:v>1950.88</x:v>
      </x:c>
      <x:c r="H871" s="8" t="n">
        <x:f>F871-G871</x:f>
        <x:v>1876.12</x:v>
      </x:c>
      <x:c r="I871" s="10" t="n">
        <x:f>H871/F871</x:f>
        <x:v>0.49023255813953487</x:v>
      </x:c>
    </x:row>
    <x:row r="872" ht="22" customHeight="1">
      <x:c r="A872" s="11" t="str">
        <x:v>1778</x:v>
      </x:c>
      <x:c r="B872" s="8" t="str">
        <x:v>MGS Zoo Tycoon 2: Zookeeper Collection 2008 E134</x:v>
      </x:c>
      <x:c r="C872" s="8" t="n">
        <x:v>74</x:v>
      </x:c>
      <x:c r="D872" s="9" t="n">
        <x:v>43</x:v>
      </x:c>
      <x:c r="E872" s="9" t="n">
        <x:v>21.92</x:v>
      </x:c>
      <x:c r="F872" s="8" t="n">
        <x:f>C872*D872</x:f>
        <x:v>3182</x:v>
      </x:c>
      <x:c r="G872" s="8" t="n">
        <x:f>C872*E872</x:f>
        <x:v>1622.0800000000002</x:v>
      </x:c>
      <x:c r="H872" s="8" t="n">
        <x:f>F872-G872</x:f>
        <x:v>1559.9199999999998</x:v>
      </x:c>
      <x:c r="I872" s="10" t="n">
        <x:f>H872/F872</x:f>
        <x:v>0.4902325581395348</x:v>
      </x:c>
    </x:row>
    <x:row r="873" ht="22" customHeight="1">
      <x:c r="A873" s="11" t="str">
        <x:v>1779</x:v>
      </x:c>
      <x:c r="B873" s="8" t="str">
        <x:v>MGS Zoo Tycoon2: Marine Mania Expansion Pack 2008 E135</x:v>
      </x:c>
      <x:c r="C873" s="8" t="n">
        <x:v>107</x:v>
      </x:c>
      <x:c r="D873" s="9" t="n">
        <x:v>43</x:v>
      </x:c>
      <x:c r="E873" s="9" t="n">
        <x:v>21.92</x:v>
      </x:c>
      <x:c r="F873" s="8" t="n">
        <x:f>C873*D873</x:f>
        <x:v>4601</x:v>
      </x:c>
      <x:c r="G873" s="8" t="n">
        <x:f>C873*E873</x:f>
        <x:v>2345.44</x:v>
      </x:c>
      <x:c r="H873" s="8" t="n">
        <x:f>F873-G873</x:f>
        <x:v>2255.56</x:v>
      </x:c>
      <x:c r="I873" s="10" t="n">
        <x:f>H873/F873</x:f>
        <x:v>0.49023255813953487</x:v>
      </x:c>
    </x:row>
    <x:row r="874" ht="22" customHeight="1">
      <x:c r="A874" s="11" t="str">
        <x:v>178</x:v>
      </x:c>
      <x:c r="B874" s="8" t="str">
        <x:v>SV 8xDVD E140 Black</x:v>
      </x:c>
      <x:c r="C874" s="8" t="n">
        <x:v>71</x:v>
      </x:c>
      <x:c r="D874" s="9" t="n">
        <x:v>66</x:v>
      </x:c>
      <x:c r="E874" s="9" t="n">
        <x:v>33.65</x:v>
      </x:c>
      <x:c r="F874" s="8" t="n">
        <x:f>C874*D874</x:f>
        <x:v>4686</x:v>
      </x:c>
      <x:c r="G874" s="8" t="n">
        <x:f>C874*E874</x:f>
        <x:v>2389.15</x:v>
      </x:c>
      <x:c r="H874" s="8" t="n">
        <x:f>F874-G874</x:f>
        <x:v>2296.85</x:v>
      </x:c>
      <x:c r="I874" s="10" t="n">
        <x:f>H874/F874</x:f>
        <x:v>0.4901515151515151</x:v>
      </x:c>
    </x:row>
    <x:row r="875" ht="22" customHeight="1">
      <x:c r="A875" s="11" t="str">
        <x:v>1780</x:v>
      </x:c>
      <x:c r="B875" s="8" t="str">
        <x:v>MGS Zoo Tycoon 2: African Adventure 2008 E136</x:v>
      </x:c>
      <x:c r="C875" s="8" t="n">
        <x:v>96</x:v>
      </x:c>
      <x:c r="D875" s="9" t="n">
        <x:v>43</x:v>
      </x:c>
      <x:c r="E875" s="9" t="n">
        <x:v>21.92</x:v>
      </x:c>
      <x:c r="F875" s="8" t="n">
        <x:f>C875*D875</x:f>
        <x:v>4128</x:v>
      </x:c>
      <x:c r="G875" s="8" t="n">
        <x:f>C875*E875</x:f>
        <x:v>2104.32</x:v>
      </x:c>
      <x:c r="H875" s="8" t="n">
        <x:f>F875-G875</x:f>
        <x:v>2023.6799999999998</x:v>
      </x:c>
      <x:c r="I875" s="10" t="n">
        <x:f>H875/F875</x:f>
        <x:v>0.49023255813953487</x:v>
      </x:c>
    </x:row>
    <x:row r="876" ht="22" customHeight="1">
      <x:c r="A876" s="11" t="str">
        <x:v>1781</x:v>
      </x:c>
      <x:c r="B876" s="8" t="str">
        <x:v>MGS Rise of Nations: Rise of Legends 2008 E137</x:v>
      </x:c>
      <x:c r="C876" s="8" t="n">
        <x:v>102</x:v>
      </x:c>
      <x:c r="D876" s="9" t="n">
        <x:v>43</x:v>
      </x:c>
      <x:c r="E876" s="9" t="n">
        <x:v>21.92</x:v>
      </x:c>
      <x:c r="F876" s="8" t="n">
        <x:f>C876*D876</x:f>
        <x:v>4386</x:v>
      </x:c>
      <x:c r="G876" s="8" t="n">
        <x:f>C876*E876</x:f>
        <x:v>2235.84</x:v>
      </x:c>
      <x:c r="H876" s="8" t="n">
        <x:f>F876-G876</x:f>
        <x:v>2150.16</x:v>
      </x:c>
      <x:c r="I876" s="10" t="n">
        <x:f>H876/F876</x:f>
        <x:v>0.49023255813953487</x:v>
      </x:c>
    </x:row>
    <x:row r="877" ht="22" customHeight="1">
      <x:c r="A877" s="11" t="str">
        <x:v>1782</x:v>
      </x:c>
      <x:c r="B877" s="8" t="str">
        <x:v>MGS Zoo Tycoon 2: End Range Species Expansion Pack 2008 E138</x:v>
      </x:c>
      <x:c r="C877" s="8" t="n">
        <x:v>60</x:v>
      </x:c>
      <x:c r="D877" s="9" t="n">
        <x:v>43</x:v>
      </x:c>
      <x:c r="E877" s="9" t="n">
        <x:v>21.92</x:v>
      </x:c>
      <x:c r="F877" s="8" t="n">
        <x:f>C877*D877</x:f>
        <x:v>2580</x:v>
      </x:c>
      <x:c r="G877" s="8" t="n">
        <x:f>C877*E877</x:f>
        <x:v>1315.2</x:v>
      </x:c>
      <x:c r="H877" s="8" t="n">
        <x:f>F877-G877</x:f>
        <x:v>1264.8</x:v>
      </x:c>
      <x:c r="I877" s="10" t="n">
        <x:f>H877/F877</x:f>
        <x:v>0.49023255813953487</x:v>
      </x:c>
    </x:row>
    <x:row r="878" ht="22" customHeight="1">
      <x:c r="A878" s="11" t="str">
        <x:v>1783</x:v>
      </x:c>
      <x:c r="B878" s="8" t="str">
        <x:v>MGS Age of Empires III 2008 E139</x:v>
      </x:c>
      <x:c r="C878" s="8" t="n">
        <x:v>92</x:v>
      </x:c>
      <x:c r="D878" s="9" t="n">
        <x:v>43</x:v>
      </x:c>
      <x:c r="E878" s="9" t="n">
        <x:v>21.92</x:v>
      </x:c>
      <x:c r="F878" s="8" t="n">
        <x:f>C878*D878</x:f>
        <x:v>3956</x:v>
      </x:c>
      <x:c r="G878" s="8" t="n">
        <x:f>C878*E878</x:f>
        <x:v>2016.64</x:v>
      </x:c>
      <x:c r="H878" s="8" t="n">
        <x:f>F878-G878</x:f>
        <x:v>1939.36</x:v>
      </x:c>
      <x:c r="I878" s="10" t="n">
        <x:f>H878/F878</x:f>
        <x:v>0.49023255813953487</x:v>
      </x:c>
    </x:row>
    <x:row r="879" ht="22" customHeight="1">
      <x:c r="A879" s="11" t="str">
        <x:v>1784</x:v>
      </x:c>
      <x:c r="B879" s="8" t="str">
        <x:v>MGS Fable: The Lost Chapters2008 E140</x:v>
      </x:c>
      <x:c r="C879" s="8" t="n">
        <x:v>131</x:v>
      </x:c>
      <x:c r="D879" s="9" t="n">
        <x:v>43</x:v>
      </x:c>
      <x:c r="E879" s="9" t="n">
        <x:v>21.92</x:v>
      </x:c>
      <x:c r="F879" s="8" t="n">
        <x:f>C879*D879</x:f>
        <x:v>5633</x:v>
      </x:c>
      <x:c r="G879" s="8" t="n">
        <x:f>C879*E879</x:f>
        <x:v>2871.5200000000004</x:v>
      </x:c>
      <x:c r="H879" s="8" t="n">
        <x:f>F879-G879</x:f>
        <x:v>2761.4799999999996</x:v>
      </x:c>
      <x:c r="I879" s="10" t="n">
        <x:f>H879/F879</x:f>
        <x:v>0.4902325581395348</x:v>
      </x:c>
    </x:row>
    <x:row r="880" ht="22" customHeight="1">
      <x:c r="A880" s="11" t="str">
        <x:v>1785</x:v>
      </x:c>
      <x:c r="B880" s="8" t="str">
        <x:v>MGS Dungeon 2007 E141</x:v>
      </x:c>
      <x:c r="C880" s="8" t="n">
        <x:v>109</x:v>
      </x:c>
      <x:c r="D880" s="9" t="n">
        <x:v>43</x:v>
      </x:c>
      <x:c r="E880" s="9" t="n">
        <x:v>21.92</x:v>
      </x:c>
      <x:c r="F880" s="8" t="n">
        <x:f>C880*D880</x:f>
        <x:v>4687</x:v>
      </x:c>
      <x:c r="G880" s="8" t="n">
        <x:f>C880*E880</x:f>
        <x:v>2389.28</x:v>
      </x:c>
      <x:c r="H880" s="8" t="n">
        <x:f>F880-G880</x:f>
        <x:v>2297.72</x:v>
      </x:c>
      <x:c r="I880" s="10" t="n">
        <x:f>H880/F880</x:f>
        <x:v>0.49023255813953487</x:v>
      </x:c>
    </x:row>
    <x:row r="881" ht="22" customHeight="1">
      <x:c r="A881" s="11" t="str">
        <x:v>1786</x:v>
      </x:c>
      <x:c r="B881" s="8" t="str">
        <x:v>MGS Zoo Tycoon 2008 E142</x:v>
      </x:c>
      <x:c r="C881" s="8" t="n">
        <x:v>80</x:v>
      </x:c>
      <x:c r="D881" s="9" t="n">
        <x:v>43</x:v>
      </x:c>
      <x:c r="E881" s="9" t="n">
        <x:v>21.92</x:v>
      </x:c>
      <x:c r="F881" s="8" t="n">
        <x:f>C881*D881</x:f>
        <x:v>3440</x:v>
      </x:c>
      <x:c r="G881" s="8" t="n">
        <x:f>C881*E881</x:f>
        <x:v>1753.6000000000001</x:v>
      </x:c>
      <x:c r="H881" s="8" t="n">
        <x:f>F881-G881</x:f>
        <x:v>1686.3999999999999</x:v>
      </x:c>
      <x:c r="I881" s="10" t="n">
        <x:f>H881/F881</x:f>
        <x:v>0.49023255813953487</x:v>
      </x:c>
    </x:row>
    <x:row r="882" ht="22" customHeight="1">
      <x:c r="A882" s="11" t="str">
        <x:v>1787</x:v>
      </x:c>
      <x:c r="B882" s="8" t="str">
        <x:v>MGS Rise of Nations: Gold Edition 2009 E143</x:v>
      </x:c>
      <x:c r="C882" s="8" t="n">
        <x:v>91</x:v>
      </x:c>
      <x:c r="D882" s="9" t="n">
        <x:v>43</x:v>
      </x:c>
      <x:c r="E882" s="9" t="n">
        <x:v>21.92</x:v>
      </x:c>
      <x:c r="F882" s="8" t="n">
        <x:f>C882*D882</x:f>
        <x:v>3913</x:v>
      </x:c>
      <x:c r="G882" s="8" t="n">
        <x:f>C882*E882</x:f>
        <x:v>1994.7200000000003</x:v>
      </x:c>
      <x:c r="H882" s="8" t="n">
        <x:f>F882-G882</x:f>
        <x:v>1918.2799999999997</x:v>
      </x:c>
      <x:c r="I882" s="10" t="n">
        <x:f>H882/F882</x:f>
        <x:v>0.4902325581395348</x:v>
      </x:c>
    </x:row>
    <x:row r="883" ht="22" customHeight="1">
      <x:c r="A883" s="11" t="str">
        <x:v>1788</x:v>
      </x:c>
      <x:c r="B883" s="8" t="str">
        <x:v>MGS Age of Mythology: Gold Edition 2009 E144</x:v>
      </x:c>
      <x:c r="C883" s="8" t="n">
        <x:v>85</x:v>
      </x:c>
      <x:c r="D883" s="9" t="n">
        <x:v>43</x:v>
      </x:c>
      <x:c r="E883" s="9" t="n">
        <x:v>21.92</x:v>
      </x:c>
      <x:c r="F883" s="8" t="n">
        <x:f>C883*D883</x:f>
        <x:v>3655</x:v>
      </x:c>
      <x:c r="G883" s="8" t="n">
        <x:f>C883*E883</x:f>
        <x:v>1863.2</x:v>
      </x:c>
      <x:c r="H883" s="8" t="n">
        <x:f>F883-G883</x:f>
        <x:v>1791.8</x:v>
      </x:c>
      <x:c r="I883" s="10" t="n">
        <x:f>H883/F883</x:f>
        <x:v>0.49023255813953487</x:v>
      </x:c>
    </x:row>
    <x:row r="884" ht="22" customHeight="1">
      <x:c r="A884" s="11" t="str">
        <x:v>1789</x:v>
      </x:c>
      <x:c r="B884" s="8" t="str">
        <x:v>MGS Rise of Nations: Thrones and Patriots2009 E145</x:v>
      </x:c>
      <x:c r="C884" s="8" t="n">
        <x:v>110</x:v>
      </x:c>
      <x:c r="D884" s="9" t="n">
        <x:v>43</x:v>
      </x:c>
      <x:c r="E884" s="9" t="n">
        <x:v>21.92</x:v>
      </x:c>
      <x:c r="F884" s="8" t="n">
        <x:f>C884*D884</x:f>
        <x:v>4730</x:v>
      </x:c>
      <x:c r="G884" s="8" t="n">
        <x:f>C884*E884</x:f>
        <x:v>2411.2000000000003</x:v>
      </x:c>
      <x:c r="H884" s="8" t="n">
        <x:f>F884-G884</x:f>
        <x:v>2318.7999999999997</x:v>
      </x:c>
      <x:c r="I884" s="10" t="n">
        <x:f>H884/F884</x:f>
        <x:v>0.4902325581395348</x:v>
      </x:c>
    </x:row>
    <x:row r="885" ht="22" customHeight="1">
      <x:c r="A885" s="11" t="str">
        <x:v>179</x:v>
      </x:c>
      <x:c r="B885" s="8" t="str">
        <x:v>SV 16xDVD M300 Silver</x:v>
      </x:c>
      <x:c r="C885" s="8" t="n">
        <x:v>106</x:v>
      </x:c>
      <x:c r="D885" s="9" t="n">
        <x:v>119</x:v>
      </x:c>
      <x:c r="E885" s="9" t="n">
        <x:v>54.72</x:v>
      </x:c>
      <x:c r="F885" s="8" t="n">
        <x:f>C885*D885</x:f>
        <x:v>12614</x:v>
      </x:c>
      <x:c r="G885" s="8" t="n">
        <x:f>C885*E885</x:f>
        <x:v>5800.32</x:v>
      </x:c>
      <x:c r="H885" s="8" t="n">
        <x:f>F885-G885</x:f>
        <x:v>6813.68</x:v>
      </x:c>
      <x:c r="I885" s="10" t="n">
        <x:f>H885/F885</x:f>
        <x:v>0.5401680672268908</x:v>
      </x:c>
    </x:row>
    <x:row r="886" ht="22" customHeight="1">
      <x:c r="A886" s="11" t="str">
        <x:v>1790</x:v>
      </x:c>
      <x:c r="B886" s="8" t="str">
        <x:v>MGS Dungeon Siege: Legends of Aranna 2009 E146</x:v>
      </x:c>
      <x:c r="C886" s="8" t="n">
        <x:v>137</x:v>
      </x:c>
      <x:c r="D886" s="9" t="n">
        <x:v>43</x:v>
      </x:c>
      <x:c r="E886" s="9" t="n">
        <x:v>21.92</x:v>
      </x:c>
      <x:c r="F886" s="8" t="n">
        <x:f>C886*D886</x:f>
        <x:v>5891</x:v>
      </x:c>
      <x:c r="G886" s="8" t="n">
        <x:f>C886*E886</x:f>
        <x:v>3003.0400000000004</x:v>
      </x:c>
      <x:c r="H886" s="8" t="n">
        <x:f>F886-G886</x:f>
        <x:v>2887.9599999999996</x:v>
      </x:c>
      <x:c r="I886" s="10" t="n">
        <x:f>H886/F886</x:f>
        <x:v>0.4902325581395348</x:v>
      </x:c>
    </x:row>
    <x:row r="887" ht="22" customHeight="1">
      <x:c r="A887" s="11" t="str">
        <x:v>1791</x:v>
      </x:c>
      <x:c r="B887" s="8" t="str">
        <x:v>MGS Kings &amp; Myths: The Age Collection2009 E147</x:v>
      </x:c>
      <x:c r="C887" s="8" t="n">
        <x:v>120</x:v>
      </x:c>
      <x:c r="D887" s="9" t="n">
        <x:v>43</x:v>
      </x:c>
      <x:c r="E887" s="9" t="n">
        <x:v>21.92</x:v>
      </x:c>
      <x:c r="F887" s="8" t="n">
        <x:f>C887*D887</x:f>
        <x:v>5160</x:v>
      </x:c>
      <x:c r="G887" s="8" t="n">
        <x:f>C887*E887</x:f>
        <x:v>2630.4</x:v>
      </x:c>
      <x:c r="H887" s="8" t="n">
        <x:f>F887-G887</x:f>
        <x:v>2529.6</x:v>
      </x:c>
      <x:c r="I887" s="10" t="n">
        <x:f>H887/F887</x:f>
        <x:v>0.49023255813953487</x:v>
      </x:c>
    </x:row>
    <x:row r="888" ht="22" customHeight="1">
      <x:c r="A888" s="11" t="str">
        <x:v>1792</x:v>
      </x:c>
      <x:c r="B888" s="8" t="str">
        <x:v>MGS Age of Mythology: The Titans Expansion 2009 E148</x:v>
      </x:c>
      <x:c r="C888" s="8" t="n">
        <x:v>105</x:v>
      </x:c>
      <x:c r="D888" s="9" t="n">
        <x:v>43</x:v>
      </x:c>
      <x:c r="E888" s="9" t="n">
        <x:v>21.92</x:v>
      </x:c>
      <x:c r="F888" s="8" t="n">
        <x:f>C888*D888</x:f>
        <x:v>4515</x:v>
      </x:c>
      <x:c r="G888" s="8" t="n">
        <x:f>C888*E888</x:f>
        <x:v>2301.6000000000004</x:v>
      </x:c>
      <x:c r="H888" s="8" t="n">
        <x:f>F888-G888</x:f>
        <x:v>2213.3999999999996</x:v>
      </x:c>
      <x:c r="I888" s="10" t="n">
        <x:f>H888/F888</x:f>
        <x:v>0.4902325581395348</x:v>
      </x:c>
    </x:row>
    <x:row r="889" ht="22" customHeight="1">
      <x:c r="A889" s="11" t="str">
        <x:v>1793</x:v>
      </x:c>
      <x:c r="B889" s="8" t="str">
        <x:v>MGS Halo: Combat Evolved2009 E149</x:v>
      </x:c>
      <x:c r="C889" s="8" t="n">
        <x:v>71</x:v>
      </x:c>
      <x:c r="D889" s="9" t="n">
        <x:v>43</x:v>
      </x:c>
      <x:c r="E889" s="9" t="n">
        <x:v>21.92</x:v>
      </x:c>
      <x:c r="F889" s="8" t="n">
        <x:f>C889*D889</x:f>
        <x:v>3053</x:v>
      </x:c>
      <x:c r="G889" s="8" t="n">
        <x:f>C889*E889</x:f>
        <x:v>1556.3200000000002</x:v>
      </x:c>
      <x:c r="H889" s="8" t="n">
        <x:f>F889-G889</x:f>
        <x:v>1496.6799999999998</x:v>
      </x:c>
      <x:c r="I889" s="10" t="n">
        <x:f>H889/F889</x:f>
        <x:v>0.4902325581395348</x:v>
      </x:c>
    </x:row>
    <x:row r="890" ht="22" customHeight="1">
      <x:c r="A890" s="11" t="str">
        <x:v>1794</x:v>
      </x:c>
      <x:c r="B890" s="8" t="str">
        <x:v>MGS Zoo Tycoon Complete Collection2009 E150</x:v>
      </x:c>
      <x:c r="C890" s="8" t="n">
        <x:v>115</x:v>
      </x:c>
      <x:c r="D890" s="9" t="n">
        <x:v>43</x:v>
      </x:c>
      <x:c r="E890" s="9" t="n">
        <x:v>21.92</x:v>
      </x:c>
      <x:c r="F890" s="8" t="n">
        <x:f>C890*D890</x:f>
        <x:v>4945</x:v>
      </x:c>
      <x:c r="G890" s="8" t="n">
        <x:f>C890*E890</x:f>
        <x:v>2520.8</x:v>
      </x:c>
      <x:c r="H890" s="8" t="n">
        <x:f>F890-G890</x:f>
        <x:v>2424.2</x:v>
      </x:c>
      <x:c r="I890" s="10" t="n">
        <x:f>H890/F890</x:f>
        <x:v>0.49023255813953487</x:v>
      </x:c>
    </x:row>
    <x:row r="891" ht="22" customHeight="1">
      <x:c r="A891" s="11" t="str">
        <x:v>1795</x:v>
      </x:c>
      <x:c r="B891" s="8" t="str">
        <x:v>MGS Flight Simulator 2009: A Century of Flight E151</x:v>
      </x:c>
      <x:c r="C891" s="8" t="n">
        <x:v>96</x:v>
      </x:c>
      <x:c r="D891" s="9" t="n">
        <x:v>43</x:v>
      </x:c>
      <x:c r="E891" s="9" t="n">
        <x:v>21.92</x:v>
      </x:c>
      <x:c r="F891" s="8" t="n">
        <x:f>C891*D891</x:f>
        <x:v>4128</x:v>
      </x:c>
      <x:c r="G891" s="8" t="n">
        <x:f>C891*E891</x:f>
        <x:v>2104.32</x:v>
      </x:c>
      <x:c r="H891" s="8" t="n">
        <x:f>F891-G891</x:f>
        <x:v>2023.6799999999998</x:v>
      </x:c>
      <x:c r="I891" s="10" t="n">
        <x:f>H891/F891</x:f>
        <x:v>0.49023255813953487</x:v>
      </x:c>
    </x:row>
    <x:row r="892" ht="22" customHeight="1">
      <x:c r="A892" s="11" t="str">
        <x:v>1796</x:v>
      </x:c>
      <x:c r="B892" s="8" t="str">
        <x:v>MGS Rise of Nations2009 E152</x:v>
      </x:c>
      <x:c r="C892" s="8" t="n">
        <x:v>108</x:v>
      </x:c>
      <x:c r="D892" s="9" t="n">
        <x:v>43</x:v>
      </x:c>
      <x:c r="E892" s="9" t="n">
        <x:v>21.92</x:v>
      </x:c>
      <x:c r="F892" s="8" t="n">
        <x:f>C892*D892</x:f>
        <x:v>4644</x:v>
      </x:c>
      <x:c r="G892" s="8" t="n">
        <x:f>C892*E892</x:f>
        <x:v>2367.36</x:v>
      </x:c>
      <x:c r="H892" s="8" t="n">
        <x:f>F892-G892</x:f>
        <x:v>2276.64</x:v>
      </x:c>
      <x:c r="I892" s="10" t="n">
        <x:f>H892/F892</x:f>
        <x:v>0.49023255813953487</x:v>
      </x:c>
    </x:row>
    <x:row r="893" ht="22" customHeight="1">
      <x:c r="A893" s="11" t="str">
        <x:v>1797</x:v>
      </x:c>
      <x:c r="B893" s="8" t="str">
        <x:v>MGS Freelancer 2009 E153</x:v>
      </x:c>
      <x:c r="C893" s="8" t="n">
        <x:v>123</x:v>
      </x:c>
      <x:c r="D893" s="9" t="n">
        <x:v>43</x:v>
      </x:c>
      <x:c r="E893" s="9" t="n">
        <x:v>21.92</x:v>
      </x:c>
      <x:c r="F893" s="8" t="n">
        <x:f>C893*D893</x:f>
        <x:v>5289</x:v>
      </x:c>
      <x:c r="G893" s="8" t="n">
        <x:f>C893*E893</x:f>
        <x:v>2696.1600000000003</x:v>
      </x:c>
      <x:c r="H893" s="8" t="n">
        <x:f>F893-G893</x:f>
        <x:v>2592.8399999999997</x:v>
      </x:c>
      <x:c r="I893" s="10" t="n">
        <x:f>H893/F893</x:f>
        <x:v>0.4902325581395348</x:v>
      </x:c>
    </x:row>
    <x:row r="894" ht="22" customHeight="1">
      <x:c r="A894" s="11" t="str">
        <x:v>1798</x:v>
      </x:c>
      <x:c r="B894" s="8" t="str">
        <x:v>MGS Impossible Creatures2009 E154</x:v>
      </x:c>
      <x:c r="C894" s="8" t="n">
        <x:v>91</x:v>
      </x:c>
      <x:c r="D894" s="9" t="n">
        <x:v>43</x:v>
      </x:c>
      <x:c r="E894" s="9" t="n">
        <x:v>21.92</x:v>
      </x:c>
      <x:c r="F894" s="8" t="n">
        <x:f>C894*D894</x:f>
        <x:v>3913</x:v>
      </x:c>
      <x:c r="G894" s="8" t="n">
        <x:f>C894*E894</x:f>
        <x:v>1994.7200000000003</x:v>
      </x:c>
      <x:c r="H894" s="8" t="n">
        <x:f>F894-G894</x:f>
        <x:v>1918.2799999999997</x:v>
      </x:c>
      <x:c r="I894" s="10" t="n">
        <x:f>H894/F894</x:f>
        <x:v>0.4902325581395348</x:v>
      </x:c>
    </x:row>
    <x:row r="895" ht="22" customHeight="1">
      <x:c r="A895" s="11" t="str">
        <x:v>1799</x:v>
      </x:c>
      <x:c r="B895" s="8" t="str">
        <x:v>MGS RalliSport Challenge2009 E155</x:v>
      </x:c>
      <x:c r="C895" s="8" t="n">
        <x:v>108</x:v>
      </x:c>
      <x:c r="D895" s="9" t="n">
        <x:v>26</x:v>
      </x:c>
      <x:c r="E895" s="9" t="n">
        <x:v>13.26</x:v>
      </x:c>
      <x:c r="F895" s="8" t="n">
        <x:f>C895*D895</x:f>
        <x:v>2808</x:v>
      </x:c>
      <x:c r="G895" s="8" t="n">
        <x:f>C895*E895</x:f>
        <x:v>1432.08</x:v>
      </x:c>
      <x:c r="H895" s="8" t="n">
        <x:f>F895-G895</x:f>
        <x:v>1375.92</x:v>
      </x:c>
      <x:c r="I895" s="10" t="n">
        <x:f>H895/F895</x:f>
        <x:v>0.49000000000000005</x:v>
      </x:c>
    </x:row>
    <x:row r="896" ht="22" customHeight="1">
      <x:c r="A896" s="11" t="str">
        <x:v>18</x:v>
      </x:c>
      <x:c r="B896" s="8" t="str">
        <x:v>Contoso 8GB Super-Slim MP3/Video Player M800 Green</x:v>
      </x:c>
      <x:c r="C896" s="8" t="n">
        <x:v>108</x:v>
      </x:c>
      <x:c r="D896" s="9" t="n">
        <x:v>109.95</x:v>
      </x:c>
      <x:c r="E896" s="9" t="n">
        <x:v>50.56</x:v>
      </x:c>
      <x:c r="F896" s="8" t="n">
        <x:f>C896*D896</x:f>
        <x:v>11874.6</x:v>
      </x:c>
      <x:c r="G896" s="8" t="n">
        <x:f>C896*E896</x:f>
        <x:v>5460.4800000000005</x:v>
      </x:c>
      <x:c r="H896" s="8" t="n">
        <x:f>F896-G896</x:f>
        <x:v>6414.12</x:v>
      </x:c>
      <x:c r="I896" s="10" t="n">
        <x:f>H896/F896</x:f>
        <x:v>0.5401546157344247</x:v>
      </x:c>
    </x:row>
    <x:row r="897" ht="22" customHeight="1">
      <x:c r="A897" s="11" t="str">
        <x:v>180</x:v>
      </x:c>
      <x:c r="B897" s="8" t="str">
        <x:v>SV 8xDVD E100 Silver</x:v>
      </x:c>
      <x:c r="C897" s="8" t="n">
        <x:v>128</x:v>
      </x:c>
      <x:c r="D897" s="9" t="n">
        <x:v>69</x:v>
      </x:c>
      <x:c r="E897" s="9" t="n">
        <x:v>35.18</x:v>
      </x:c>
      <x:c r="F897" s="8" t="n">
        <x:f>C897*D897</x:f>
        <x:v>8832</x:v>
      </x:c>
      <x:c r="G897" s="8" t="n">
        <x:f>C897*E897</x:f>
        <x:v>4503.04</x:v>
      </x:c>
      <x:c r="H897" s="8" t="n">
        <x:f>F897-G897</x:f>
        <x:v>4328.96</x:v>
      </x:c>
      <x:c r="I897" s="10" t="n">
        <x:f>H897/F897</x:f>
        <x:v>0.4901449275362319</x:v>
      </x:c>
    </x:row>
    <x:row r="898" ht="22" customHeight="1">
      <x:c r="A898" s="11" t="str">
        <x:v>1800</x:v>
      </x:c>
      <x:c r="B898" s="8" t="str">
        <x:v>MGS MechCollection2009 E156</x:v>
      </x:c>
      <x:c r="C898" s="8" t="n">
        <x:v>56</x:v>
      </x:c>
      <x:c r="D898" s="9" t="n">
        <x:v>32</x:v>
      </x:c>
      <x:c r="E898" s="9" t="n">
        <x:v>16.31</x:v>
      </x:c>
      <x:c r="F898" s="8" t="n">
        <x:f>C898*D898</x:f>
        <x:v>1792</x:v>
      </x:c>
      <x:c r="G898" s="8" t="n">
        <x:f>C898*E898</x:f>
        <x:v>913.3599999999999</x:v>
      </x:c>
      <x:c r="H898" s="8" t="n">
        <x:f>F898-G898</x:f>
        <x:v>878.6400000000001</x:v>
      </x:c>
      <x:c r="I898" s="10" t="n">
        <x:f>H898/F898</x:f>
        <x:v>0.49031250000000004</x:v>
      </x:c>
    </x:row>
    <x:row r="899" ht="22" customHeight="1">
      <x:c r="A899" s="11" t="str">
        <x:v>1801</x:v>
      </x:c>
      <x:c r="B899" s="8" t="str">
        <x:v>MGS MechWarrior4: Mercenaries2009 E157</x:v>
      </x:c>
      <x:c r="C899" s="8" t="n">
        <x:v>82</x:v>
      </x:c>
      <x:c r="D899" s="9" t="n">
        <x:v>32</x:v>
      </x:c>
      <x:c r="E899" s="9" t="n">
        <x:v>16.31</x:v>
      </x:c>
      <x:c r="F899" s="8" t="n">
        <x:f>C899*D899</x:f>
        <x:v>2624</x:v>
      </x:c>
      <x:c r="G899" s="8" t="n">
        <x:f>C899*E899</x:f>
        <x:v>1337.4199999999998</x:v>
      </x:c>
      <x:c r="H899" s="8" t="n">
        <x:f>F899-G899</x:f>
        <x:v>1286.5800000000002</x:v>
      </x:c>
      <x:c r="I899" s="10" t="n">
        <x:f>H899/F899</x:f>
        <x:v>0.49031250000000004</x:v>
      </x:c>
    </x:row>
    <x:row r="900" ht="22" customHeight="1">
      <x:c r="A900" s="11" t="str">
        <x:v>1802</x:v>
      </x:c>
      <x:c r="B900" s="8" t="str">
        <x:v>MGS Age of Mythology 2009 E158</x:v>
      </x:c>
      <x:c r="C900" s="8" t="n">
        <x:v>99</x:v>
      </x:c>
      <x:c r="D900" s="9" t="n">
        <x:v>32</x:v>
      </x:c>
      <x:c r="E900" s="9" t="n">
        <x:v>16.31</x:v>
      </x:c>
      <x:c r="F900" s="8" t="n">
        <x:f>C900*D900</x:f>
        <x:v>3168</x:v>
      </x:c>
      <x:c r="G900" s="8" t="n">
        <x:f>C900*E900</x:f>
        <x:v>1614.6899999999998</x:v>
      </x:c>
      <x:c r="H900" s="8" t="n">
        <x:f>F900-G900</x:f>
        <x:v>1553.3100000000002</x:v>
      </x:c>
      <x:c r="I900" s="10" t="n">
        <x:f>H900/F900</x:f>
        <x:v>0.49031250000000004</x:v>
      </x:c>
    </x:row>
    <x:row r="901" ht="22" customHeight="1">
      <x:c r="A901" s="11" t="str">
        <x:v>1803</x:v>
      </x:c>
      <x:c r="B901" s="8" t="str">
        <x:v>MGS Combat Flight Simulator 2009 E159</x:v>
      </x:c>
      <x:c r="C901" s="8" t="n">
        <x:v>90</x:v>
      </x:c>
      <x:c r="D901" s="9" t="n">
        <x:v>32</x:v>
      </x:c>
      <x:c r="E901" s="9" t="n">
        <x:v>16.31</x:v>
      </x:c>
      <x:c r="F901" s="8" t="n">
        <x:f>C901*D901</x:f>
        <x:v>2880</x:v>
      </x:c>
      <x:c r="G901" s="8" t="n">
        <x:f>C901*E901</x:f>
        <x:v>1467.8999999999999</x:v>
      </x:c>
      <x:c r="H901" s="8" t="n">
        <x:f>F901-G901</x:f>
        <x:v>1412.1000000000001</x:v>
      </x:c>
      <x:c r="I901" s="10" t="n">
        <x:f>H901/F901</x:f>
        <x:v>0.49031250000000004</x:v>
      </x:c>
    </x:row>
    <x:row r="902" ht="22" customHeight="1">
      <x:c r="A902" s="11" t="str">
        <x:v>1804</x:v>
      </x:c>
      <x:c r="B902" s="8" t="str">
        <x:v>MGS Zoo Tycoon Marine Mania 2009 E160</x:v>
      </x:c>
      <x:c r="C902" s="8" t="n">
        <x:v>49</x:v>
      </x:c>
      <x:c r="D902" s="9" t="n">
        <x:v>32</x:v>
      </x:c>
      <x:c r="E902" s="9" t="n">
        <x:v>16.31</x:v>
      </x:c>
      <x:c r="F902" s="8" t="n">
        <x:f>C902*D902</x:f>
        <x:v>1568</x:v>
      </x:c>
      <x:c r="G902" s="8" t="n">
        <x:f>C902*E902</x:f>
        <x:v>799.1899999999999</x:v>
      </x:c>
      <x:c r="H902" s="8" t="n">
        <x:f>F902-G902</x:f>
        <x:v>768.8100000000001</x:v>
      </x:c>
      <x:c r="I902" s="10" t="n">
        <x:f>H902/F902</x:f>
        <x:v>0.49031250000000004</x:v>
      </x:c>
    </x:row>
    <x:row r="903" ht="22" customHeight="1">
      <x:c r="A903" s="11" t="str">
        <x:v>1805</x:v>
      </x:c>
      <x:c r="B903" s="8" t="str">
        <x:v>MGS MechWarrior 4 Mach Paks2009 E161</x:v>
      </x:c>
      <x:c r="C903" s="8" t="n">
        <x:v>91</x:v>
      </x:c>
      <x:c r="D903" s="9" t="n">
        <x:v>32</x:v>
      </x:c>
      <x:c r="E903" s="9" t="n">
        <x:v>16.31</x:v>
      </x:c>
      <x:c r="F903" s="8" t="n">
        <x:f>C903*D903</x:f>
        <x:v>2912</x:v>
      </x:c>
      <x:c r="G903" s="8" t="n">
        <x:f>C903*E903</x:f>
        <x:v>1484.2099999999998</x:v>
      </x:c>
      <x:c r="H903" s="8" t="n">
        <x:f>F903-G903</x:f>
        <x:v>1427.7900000000002</x:v>
      </x:c>
      <x:c r="I903" s="10" t="n">
        <x:f>H903/F903</x:f>
        <x:v>0.49031250000000004</x:v>
      </x:c>
    </x:row>
    <x:row r="904" ht="22" customHeight="1">
      <x:c r="A904" s="11" t="str">
        <x:v>1806</x:v>
      </x:c>
      <x:c r="B904" s="8" t="str">
        <x:v>MGS Zoo Tycoon Dinosaur Digs2009 E162</x:v>
      </x:c>
      <x:c r="C904" s="8" t="n">
        <x:v>82</x:v>
      </x:c>
      <x:c r="D904" s="9" t="n">
        <x:v>32</x:v>
      </x:c>
      <x:c r="E904" s="9" t="n">
        <x:v>16.31</x:v>
      </x:c>
      <x:c r="F904" s="8" t="n">
        <x:f>C904*D904</x:f>
        <x:v>2624</x:v>
      </x:c>
      <x:c r="G904" s="8" t="n">
        <x:f>C904*E904</x:f>
        <x:v>1337.4199999999998</x:v>
      </x:c>
      <x:c r="H904" s="8" t="n">
        <x:f>F904-G904</x:f>
        <x:v>1286.5800000000002</x:v>
      </x:c>
      <x:c r="I904" s="10" t="n">
        <x:f>H904/F904</x:f>
        <x:v>0.49031250000000004</x:v>
      </x:c>
    </x:row>
    <x:row r="905" ht="22" customHeight="1">
      <x:c r="A905" s="11" t="str">
        <x:v>1807</x:v>
      </x:c>
      <x:c r="B905" s="8" t="str">
        <x:v>MGS Dungeon Siege 2009 E163</x:v>
      </x:c>
      <x:c r="C905" s="8" t="n">
        <x:v>95</x:v>
      </x:c>
      <x:c r="D905" s="9" t="n">
        <x:v>32</x:v>
      </x:c>
      <x:c r="E905" s="9" t="n">
        <x:v>16.31</x:v>
      </x:c>
      <x:c r="F905" s="8" t="n">
        <x:f>C905*D905</x:f>
        <x:v>3040</x:v>
      </x:c>
      <x:c r="G905" s="8" t="n">
        <x:f>C905*E905</x:f>
        <x:v>1549.4499999999998</x:v>
      </x:c>
      <x:c r="H905" s="8" t="n">
        <x:f>F905-G905</x:f>
        <x:v>1490.5500000000002</x:v>
      </x:c>
      <x:c r="I905" s="10" t="n">
        <x:f>H905/F905</x:f>
        <x:v>0.49031250000000004</x:v>
      </x:c>
    </x:row>
    <x:row r="906" ht="22" customHeight="1">
      <x:c r="A906" s="11" t="str">
        <x:v>1808</x:v>
      </x:c>
      <x:c r="B906" s="8" t="str">
        <x:v>MGS Classic Flight Collection2009 E164</x:v>
      </x:c>
      <x:c r="C906" s="8" t="n">
        <x:v>80</x:v>
      </x:c>
      <x:c r="D906" s="9" t="n">
        <x:v>32</x:v>
      </x:c>
      <x:c r="E906" s="9" t="n">
        <x:v>16.31</x:v>
      </x:c>
      <x:c r="F906" s="8" t="n">
        <x:f>C906*D906</x:f>
        <x:v>2560</x:v>
      </x:c>
      <x:c r="G906" s="8" t="n">
        <x:f>C906*E906</x:f>
        <x:v>1304.8</x:v>
      </x:c>
      <x:c r="H906" s="8" t="n">
        <x:f>F906-G906</x:f>
        <x:v>1255.2</x:v>
      </x:c>
      <x:c r="I906" s="10" t="n">
        <x:f>H906/F906</x:f>
        <x:v>0.49031250000000004</x:v>
      </x:c>
    </x:row>
    <x:row r="907" ht="22" customHeight="1">
      <x:c r="A907" s="11" t="str">
        <x:v>1809</x:v>
      </x:c>
      <x:c r="B907" s="8" t="str">
        <x:v>MGS Bicycle Board Games2009 E165</x:v>
      </x:c>
      <x:c r="C907" s="8" t="n">
        <x:v>104</x:v>
      </x:c>
      <x:c r="D907" s="9" t="n">
        <x:v>32</x:v>
      </x:c>
      <x:c r="E907" s="9" t="n">
        <x:v>16.31</x:v>
      </x:c>
      <x:c r="F907" s="8" t="n">
        <x:f>C907*D907</x:f>
        <x:v>3328</x:v>
      </x:c>
      <x:c r="G907" s="8" t="n">
        <x:f>C907*E907</x:f>
        <x:v>1696.2399999999998</x:v>
      </x:c>
      <x:c r="H907" s="8" t="n">
        <x:f>F907-G907</x:f>
        <x:v>1631.7600000000002</x:v>
      </x:c>
      <x:c r="I907" s="10" t="n">
        <x:f>H907/F907</x:f>
        <x:v>0.49031250000000004</x:v>
      </x:c>
    </x:row>
    <x:row r="908" ht="22" customHeight="1">
      <x:c r="A908" s="11" t="str">
        <x:v>181</x:v>
      </x:c>
      <x:c r="B908" s="8" t="str">
        <x:v>SV 16xDVD M310 Silver</x:v>
      </x:c>
      <x:c r="C908" s="8" t="n">
        <x:v>151</x:v>
      </x:c>
      <x:c r="D908" s="9" t="n">
        <x:v>129</x:v>
      </x:c>
      <x:c r="E908" s="9" t="n">
        <x:v>59.32</x:v>
      </x:c>
      <x:c r="F908" s="8" t="n">
        <x:f>C908*D908</x:f>
        <x:v>19479</x:v>
      </x:c>
      <x:c r="G908" s="8" t="n">
        <x:f>C908*E908</x:f>
        <x:v>8957.32</x:v>
      </x:c>
      <x:c r="H908" s="8" t="n">
        <x:f>F908-G908</x:f>
        <x:v>10521.68</x:v>
      </x:c>
      <x:c r="I908" s="10" t="n">
        <x:f>H908/F908</x:f>
        <x:v>0.54015503875969</x:v>
      </x:c>
    </x:row>
    <x:row r="909" ht="22" customHeight="1">
      <x:c r="A909" s="11" t="str">
        <x:v>1810</x:v>
      </x:c>
      <x:c r="B909" s="8" t="str">
        <x:v>MGS Bicycle Card Games2009 E166</x:v>
      </x:c>
      <x:c r="C909" s="8" t="n">
        <x:v>88</x:v>
      </x:c>
      <x:c r="D909" s="9" t="n">
        <x:v>32</x:v>
      </x:c>
      <x:c r="E909" s="9" t="n">
        <x:v>16.31</x:v>
      </x:c>
      <x:c r="F909" s="8" t="n">
        <x:f>C909*D909</x:f>
        <x:v>2816</x:v>
      </x:c>
      <x:c r="G909" s="8" t="n">
        <x:f>C909*E909</x:f>
        <x:v>1435.28</x:v>
      </x:c>
      <x:c r="H909" s="8" t="n">
        <x:f>F909-G909</x:f>
        <x:v>1380.72</x:v>
      </x:c>
      <x:c r="I909" s="10" t="n">
        <x:f>H909/F909</x:f>
        <x:v>0.4903125</x:v>
      </x:c>
    </x:row>
    <x:row r="910" ht="22" customHeight="1">
      <x:c r="A910" s="11" t="str">
        <x:v>1811</x:v>
      </x:c>
      <x:c r="B910" s="8" t="str">
        <x:v>MGS Bicycle Casino Games2009 E167</x:v>
      </x:c>
      <x:c r="C910" s="8" t="n">
        <x:v>108</x:v>
      </x:c>
      <x:c r="D910" s="9" t="n">
        <x:v>32</x:v>
      </x:c>
      <x:c r="E910" s="9" t="n">
        <x:v>16.31</x:v>
      </x:c>
      <x:c r="F910" s="8" t="n">
        <x:f>C910*D910</x:f>
        <x:v>3456</x:v>
      </x:c>
      <x:c r="G910" s="8" t="n">
        <x:f>C910*E910</x:f>
        <x:v>1761.4799999999998</x:v>
      </x:c>
      <x:c r="H910" s="8" t="n">
        <x:f>F910-G910</x:f>
        <x:v>1694.5200000000002</x:v>
      </x:c>
      <x:c r="I910" s="10" t="n">
        <x:f>H910/F910</x:f>
        <x:v>0.49031250000000004</x:v>
      </x:c>
    </x:row>
    <x:row r="911" ht="22" customHeight="1">
      <x:c r="A911" s="11" t="str">
        <x:v>1812</x:v>
      </x:c>
      <x:c r="B911" s="8" t="str">
        <x:v>MGS Flight Simulator 2009 E168</x:v>
      </x:c>
      <x:c r="C911" s="8" t="n">
        <x:v>86</x:v>
      </x:c>
      <x:c r="D911" s="9" t="n">
        <x:v>32</x:v>
      </x:c>
      <x:c r="E911" s="9" t="n">
        <x:v>16.31</x:v>
      </x:c>
      <x:c r="F911" s="8" t="n">
        <x:f>C911*D911</x:f>
        <x:v>2752</x:v>
      </x:c>
      <x:c r="G911" s="8" t="n">
        <x:f>C911*E911</x:f>
        <x:v>1402.6599999999999</x:v>
      </x:c>
      <x:c r="H911" s="8" t="n">
        <x:f>F911-G911</x:f>
        <x:v>1349.3400000000001</x:v>
      </x:c>
      <x:c r="I911" s="10" t="n">
        <x:f>H911/F911</x:f>
        <x:v>0.49031250000000004</x:v>
      </x:c>
    </x:row>
    <x:row r="912" ht="22" customHeight="1">
      <x:c r="A912" s="11" t="str">
        <x:v>1813</x:v>
      </x:c>
      <x:c r="B912" s="8" t="str">
        <x:v>MGS Racing Madness 2009 E169</x:v>
      </x:c>
      <x:c r="C912" s="8" t="n">
        <x:v>106</x:v>
      </x:c>
      <x:c r="D912" s="9" t="n">
        <x:v>32</x:v>
      </x:c>
      <x:c r="E912" s="9" t="n">
        <x:v>16.31</x:v>
      </x:c>
      <x:c r="F912" s="8" t="n">
        <x:f>C912*D912</x:f>
        <x:v>3392</x:v>
      </x:c>
      <x:c r="G912" s="8" t="n">
        <x:f>C912*E912</x:f>
        <x:v>1728.86</x:v>
      </x:c>
      <x:c r="H912" s="8" t="n">
        <x:f>F912-G912</x:f>
        <x:v>1663.14</x:v>
      </x:c>
      <x:c r="I912" s="10" t="n">
        <x:f>H912/F912</x:f>
        <x:v>0.49031250000000004</x:v>
      </x:c>
    </x:row>
    <x:row r="913" ht="22" customHeight="1">
      <x:c r="A913" s="11" t="str">
        <x:v>1814</x:v>
      </x:c>
      <x:c r="B913" s="8" t="str">
        <x:v>MGS Zoo Tycoon2009 E170</x:v>
      </x:c>
      <x:c r="C913" s="8" t="n">
        <x:v>129</x:v>
      </x:c>
      <x:c r="D913" s="9" t="n">
        <x:v>32</x:v>
      </x:c>
      <x:c r="E913" s="9" t="n">
        <x:v>16.31</x:v>
      </x:c>
      <x:c r="F913" s="8" t="n">
        <x:f>C913*D913</x:f>
        <x:v>4128</x:v>
      </x:c>
      <x:c r="G913" s="8" t="n">
        <x:f>C913*E913</x:f>
        <x:v>2103.99</x:v>
      </x:c>
      <x:c r="H913" s="8" t="n">
        <x:f>F913-G913</x:f>
        <x:v>2024.0100000000002</x:v>
      </x:c>
      <x:c r="I913" s="10" t="n">
        <x:f>H913/F913</x:f>
        <x:v>0.49031250000000004</x:v>
      </x:c>
    </x:row>
    <x:row r="914" ht="22" customHeight="1">
      <x:c r="A914" s="11" t="str">
        <x:v>1815</x:v>
      </x:c>
      <x:c r="B914" s="8" t="str">
        <x:v>MGS MechWarrior 4:Knight2009 E171</x:v>
      </x:c>
      <x:c r="C914" s="8" t="n">
        <x:v>102</x:v>
      </x:c>
      <x:c r="D914" s="9" t="n">
        <x:v>32</x:v>
      </x:c>
      <x:c r="E914" s="9" t="n">
        <x:v>16.31</x:v>
      </x:c>
      <x:c r="F914" s="8" t="n">
        <x:f>C914*D914</x:f>
        <x:v>3264</x:v>
      </x:c>
      <x:c r="G914" s="8" t="n">
        <x:f>C914*E914</x:f>
        <x:v>1663.62</x:v>
      </x:c>
      <x:c r="H914" s="8" t="n">
        <x:f>F914-G914</x:f>
        <x:v>1600.38</x:v>
      </x:c>
      <x:c r="I914" s="10" t="n">
        <x:f>H914/F914</x:f>
        <x:v>0.49031250000000004</x:v>
      </x:c>
    </x:row>
    <x:row r="915" ht="22" customHeight="1">
      <x:c r="A915" s="11" t="str">
        <x:v>1816</x:v>
      </x:c>
      <x:c r="B915" s="8" t="str">
        <x:v>MGS Age of Empires II Gold Edition2009 E172</x:v>
      </x:c>
      <x:c r="C915" s="8" t="n">
        <x:v>76</x:v>
      </x:c>
      <x:c r="D915" s="9" t="n">
        <x:v>32</x:v>
      </x:c>
      <x:c r="E915" s="9" t="n">
        <x:v>16.31</x:v>
      </x:c>
      <x:c r="F915" s="8" t="n">
        <x:f>C915*D915</x:f>
        <x:v>2432</x:v>
      </x:c>
      <x:c r="G915" s="8" t="n">
        <x:f>C915*E915</x:f>
        <x:v>1239.56</x:v>
      </x:c>
      <x:c r="H915" s="8" t="n">
        <x:f>F915-G915</x:f>
        <x:v>1192.44</x:v>
      </x:c>
      <x:c r="I915" s="10" t="n">
        <x:f>H915/F915</x:f>
        <x:v>0.49031250000000004</x:v>
      </x:c>
    </x:row>
    <x:row r="916" ht="22" customHeight="1">
      <x:c r="A916" s="11" t="str">
        <x:v>1817</x:v>
      </x:c>
      <x:c r="B916" s="8" t="str">
        <x:v>MGS MechCommander 2009 E173</x:v>
      </x:c>
      <x:c r="C916" s="8" t="n">
        <x:v>151</x:v>
      </x:c>
      <x:c r="D916" s="9" t="n">
        <x:v>32</x:v>
      </x:c>
      <x:c r="E916" s="9" t="n">
        <x:v>16.31</x:v>
      </x:c>
      <x:c r="F916" s="8" t="n">
        <x:f>C916*D916</x:f>
        <x:v>4832</x:v>
      </x:c>
      <x:c r="G916" s="8" t="n">
        <x:f>C916*E916</x:f>
        <x:v>2462.81</x:v>
      </x:c>
      <x:c r="H916" s="8" t="n">
        <x:f>F916-G916</x:f>
        <x:v>2369.19</x:v>
      </x:c>
      <x:c r="I916" s="10" t="n">
        <x:f>H916/F916</x:f>
        <x:v>0.4903125</x:v>
      </x:c>
    </x:row>
    <x:row r="917" ht="22" customHeight="1">
      <x:c r="A917" s="11" t="str">
        <x:v>1818</x:v>
      </x:c>
      <x:c r="B917" s="8" t="str">
        <x:v>MGS Train Simulator 2009 E174</x:v>
      </x:c>
      <x:c r="C917" s="8" t="n">
        <x:v>117</x:v>
      </x:c>
      <x:c r="D917" s="9" t="n">
        <x:v>32</x:v>
      </x:c>
      <x:c r="E917" s="9" t="n">
        <x:v>16.31</x:v>
      </x:c>
      <x:c r="F917" s="8" t="n">
        <x:f>C917*D917</x:f>
        <x:v>3744</x:v>
      </x:c>
      <x:c r="G917" s="8" t="n">
        <x:f>C917*E917</x:f>
        <x:v>1908.2699999999998</x:v>
      </x:c>
      <x:c r="H917" s="8" t="n">
        <x:f>F917-G917</x:f>
        <x:v>1835.7300000000002</x:v>
      </x:c>
      <x:c r="I917" s="10" t="n">
        <x:f>H917/F917</x:f>
        <x:v>0.49031250000000004</x:v>
      </x:c>
    </x:row>
    <x:row r="918" ht="22" customHeight="1">
      <x:c r="A918" s="11" t="str">
        <x:v>1819</x:v>
      </x:c>
      <x:c r="B918" s="8" t="str">
        <x:v>MGS MechWarrior 4: Vengeance 2009 E175</x:v>
      </x:c>
      <x:c r="C918" s="8" t="n">
        <x:v>87</x:v>
      </x:c>
      <x:c r="D918" s="9" t="n">
        <x:v>32</x:v>
      </x:c>
      <x:c r="E918" s="9" t="n">
        <x:v>16.31</x:v>
      </x:c>
      <x:c r="F918" s="8" t="n">
        <x:f>C918*D918</x:f>
        <x:v>2784</x:v>
      </x:c>
      <x:c r="G918" s="8" t="n">
        <x:f>C918*E918</x:f>
        <x:v>1418.9699999999998</x:v>
      </x:c>
      <x:c r="H918" s="8" t="n">
        <x:f>F918-G918</x:f>
        <x:v>1365.0300000000002</x:v>
      </x:c>
      <x:c r="I918" s="10" t="n">
        <x:f>H918/F918</x:f>
        <x:v>0.4903125000000001</x:v>
      </x:c>
    </x:row>
    <x:row r="919" ht="22" customHeight="1">
      <x:c r="A919" s="11" t="str">
        <x:v>182</x:v>
      </x:c>
      <x:c r="B919" s="8" t="str">
        <x:v>SV 16xDVD M320 Silver</x:v>
      </x:c>
      <x:c r="C919" s="8" t="n">
        <x:v>152</x:v>
      </x:c>
      <x:c r="D919" s="9" t="n">
        <x:v>119</x:v>
      </x:c>
      <x:c r="E919" s="9" t="n">
        <x:v>54.72</x:v>
      </x:c>
      <x:c r="F919" s="8" t="n">
        <x:f>C919*D919</x:f>
        <x:v>18088</x:v>
      </x:c>
      <x:c r="G919" s="8" t="n">
        <x:f>C919*E919</x:f>
        <x:v>8317.44</x:v>
      </x:c>
      <x:c r="H919" s="8" t="n">
        <x:f>F919-G919</x:f>
        <x:v>9770.56</x:v>
      </x:c>
      <x:c r="I919" s="10" t="n">
        <x:f>H919/F919</x:f>
        <x:v>0.5401680672268907</x:v>
      </x:c>
    </x:row>
    <x:row r="920" ht="22" customHeight="1">
      <x:c r="A920" s="11" t="str">
        <x:v>1820</x:v>
      </x:c>
      <x:c r="B920" s="8" t="str">
        <x:v>MGS Return of Arcade Anniversary Edition 2009 E176</x:v>
      </x:c>
      <x:c r="C920" s="8" t="n">
        <x:v>87</x:v>
      </x:c>
      <x:c r="D920" s="9" t="n">
        <x:v>32</x:v>
      </x:c>
      <x:c r="E920" s="9" t="n">
        <x:v>16.31</x:v>
      </x:c>
      <x:c r="F920" s="8" t="n">
        <x:f>C920*D920</x:f>
        <x:v>2784</x:v>
      </x:c>
      <x:c r="G920" s="8" t="n">
        <x:f>C920*E920</x:f>
        <x:v>1418.9699999999998</x:v>
      </x:c>
      <x:c r="H920" s="8" t="n">
        <x:f>F920-G920</x:f>
        <x:v>1365.0300000000002</x:v>
      </x:c>
      <x:c r="I920" s="10" t="n">
        <x:f>H920/F920</x:f>
        <x:v>0.4903125000000001</x:v>
      </x:c>
    </x:row>
    <x:row r="921" ht="22" customHeight="1">
      <x:c r="A921" s="11" t="str">
        <x:v>1821</x:v>
      </x:c>
      <x:c r="B921" s="8" t="str">
        <x:v>MGS Combat Flight Simulator 2009 E177</x:v>
      </x:c>
      <x:c r="C921" s="8" t="n">
        <x:v>109</x:v>
      </x:c>
      <x:c r="D921" s="9" t="n">
        <x:v>32</x:v>
      </x:c>
      <x:c r="E921" s="9" t="n">
        <x:v>16.31</x:v>
      </x:c>
      <x:c r="F921" s="8" t="n">
        <x:f>C921*D921</x:f>
        <x:v>3488</x:v>
      </x:c>
      <x:c r="G921" s="8" t="n">
        <x:f>C921*E921</x:f>
        <x:v>1777.79</x:v>
      </x:c>
      <x:c r="H921" s="8" t="n">
        <x:f>F921-G921</x:f>
        <x:v>1710.21</x:v>
      </x:c>
      <x:c r="I921" s="10" t="n">
        <x:f>H921/F921</x:f>
        <x:v>0.4903125</x:v>
      </x:c>
    </x:row>
    <x:row r="922" ht="22" customHeight="1">
      <x:c r="A922" s="11" t="str">
        <x:v>1822</x:v>
      </x:c>
      <x:c r="B922" s="8" t="str">
        <x:v>MGS Age of Empires II: The Conquerors Expansion 2009 E178</x:v>
      </x:c>
      <x:c r="C922" s="8" t="n">
        <x:v>109</x:v>
      </x:c>
      <x:c r="D922" s="9" t="n">
        <x:v>32</x:v>
      </x:c>
      <x:c r="E922" s="9" t="n">
        <x:v>16.31</x:v>
      </x:c>
      <x:c r="F922" s="8" t="n">
        <x:f>C922*D922</x:f>
        <x:v>3488</x:v>
      </x:c>
      <x:c r="G922" s="8" t="n">
        <x:f>C922*E922</x:f>
        <x:v>1777.79</x:v>
      </x:c>
      <x:c r="H922" s="8" t="n">
        <x:f>F922-G922</x:f>
        <x:v>1710.21</x:v>
      </x:c>
      <x:c r="I922" s="10" t="n">
        <x:f>H922/F922</x:f>
        <x:v>0.4903125</x:v>
      </x:c>
    </x:row>
    <x:row r="923" ht="22" customHeight="1">
      <x:c r="A923" s="11" t="str">
        <x:v>1823</x:v>
      </x:c>
      <x:c r="B923" s="8" t="str">
        <x:v>MGS Flight Simulator 2009 E179</x:v>
      </x:c>
      <x:c r="C923" s="8" t="n">
        <x:v>135</x:v>
      </x:c>
      <x:c r="D923" s="9" t="n">
        <x:v>32</x:v>
      </x:c>
      <x:c r="E923" s="9" t="n">
        <x:v>16.31</x:v>
      </x:c>
      <x:c r="F923" s="8" t="n">
        <x:f>C923*D923</x:f>
        <x:v>4320</x:v>
      </x:c>
      <x:c r="G923" s="8" t="n">
        <x:f>C923*E923</x:f>
        <x:v>2201.85</x:v>
      </x:c>
      <x:c r="H923" s="8" t="n">
        <x:f>F923-G923</x:f>
        <x:v>2118.15</x:v>
      </x:c>
      <x:c r="I923" s="10" t="n">
        <x:f>H923/F923</x:f>
        <x:v>0.49031250000000004</x:v>
      </x:c>
    </x:row>
    <x:row r="924" ht="22" customHeight="1">
      <x:c r="A924" s="11" t="str">
        <x:v>1824</x:v>
      </x:c>
      <x:c r="B924" s="8" t="str">
        <x:v>MGS Age of Empires II: The Age of Kings 2009 E180</x:v>
      </x:c>
      <x:c r="C924" s="8" t="n">
        <x:v>127</x:v>
      </x:c>
      <x:c r="D924" s="9" t="n">
        <x:v>32</x:v>
      </x:c>
      <x:c r="E924" s="9" t="n">
        <x:v>16.31</x:v>
      </x:c>
      <x:c r="F924" s="8" t="n">
        <x:f>C924*D924</x:f>
        <x:v>4064</x:v>
      </x:c>
      <x:c r="G924" s="8" t="n">
        <x:f>C924*E924</x:f>
        <x:v>2071.37</x:v>
      </x:c>
      <x:c r="H924" s="8" t="n">
        <x:f>F924-G924</x:f>
        <x:v>1992.63</x:v>
      </x:c>
      <x:c r="I924" s="10" t="n">
        <x:f>H924/F924</x:f>
        <x:v>0.49031250000000004</x:v>
      </x:c>
    </x:row>
    <x:row r="925" ht="22" customHeight="1">
      <x:c r="A925" s="11" t="str">
        <x:v>1825</x:v>
      </x:c>
      <x:c r="B925" s="8" t="str">
        <x:v>MGS Age of Empires Expansion: The Rise of Rome 2009 E181</x:v>
      </x:c>
      <x:c r="C925" s="8" t="n">
        <x:v>104</x:v>
      </x:c>
      <x:c r="D925" s="9" t="n">
        <x:v>32</x:v>
      </x:c>
      <x:c r="E925" s="9" t="n">
        <x:v>16.31</x:v>
      </x:c>
      <x:c r="F925" s="8" t="n">
        <x:f>C925*D925</x:f>
        <x:v>3328</x:v>
      </x:c>
      <x:c r="G925" s="8" t="n">
        <x:f>C925*E925</x:f>
        <x:v>1696.2399999999998</x:v>
      </x:c>
      <x:c r="H925" s="8" t="n">
        <x:f>F925-G925</x:f>
        <x:v>1631.7600000000002</x:v>
      </x:c>
      <x:c r="I925" s="10" t="n">
        <x:f>H925/F925</x:f>
        <x:v>0.49031250000000004</x:v>
      </x:c>
    </x:row>
    <x:row r="926" ht="22" customHeight="1">
      <x:c r="A926" s="11" t="str">
        <x:v>1826</x:v>
      </x:c>
      <x:c r="B926" s="8" t="str">
        <x:v>MGS Age of Empires, 2009 E182</x:v>
      </x:c>
      <x:c r="C926" s="8" t="n">
        <x:v>96</x:v>
      </x:c>
      <x:c r="D926" s="9" t="n">
        <x:v>32</x:v>
      </x:c>
      <x:c r="E926" s="9" t="n">
        <x:v>16.31</x:v>
      </x:c>
      <x:c r="F926" s="8" t="n">
        <x:f>C926*D926</x:f>
        <x:v>3072</x:v>
      </x:c>
      <x:c r="G926" s="8" t="n">
        <x:f>C926*E926</x:f>
        <x:v>1565.7599999999998</x:v>
      </x:c>
      <x:c r="H926" s="8" t="n">
        <x:f>F926-G926</x:f>
        <x:v>1506.2400000000002</x:v>
      </x:c>
      <x:c r="I926" s="10" t="n">
        <x:f>H926/F926</x:f>
        <x:v>0.4903125000000001</x:v>
      </x:c>
    </x:row>
    <x:row r="927" ht="22" customHeight="1">
      <x:c r="A927" s="11" t="str">
        <x:v>1827</x:v>
      </x:c>
      <x:c r="B927" s="8" t="str">
        <x:v>Litware Washer &amp; Dryer 27in L420 White</x:v>
      </x:c>
      <x:c r="C927" s="8" t="n">
        <x:v>27</x:v>
      </x:c>
      <x:c r="D927" s="9" t="n">
        <x:v>2652</x:v>
      </x:c>
      <x:c r="E927" s="9" t="n">
        <x:v>878.66</x:v>
      </x:c>
      <x:c r="F927" s="8" t="n">
        <x:f>C927*D927</x:f>
        <x:v>71604</x:v>
      </x:c>
      <x:c r="G927" s="8" t="n">
        <x:f>C927*E927</x:f>
        <x:v>23723.82</x:v>
      </x:c>
      <x:c r="H927" s="8" t="n">
        <x:f>F927-G927</x:f>
        <x:v>47880.18</x:v>
      </x:c>
      <x:c r="I927" s="10" t="n">
        <x:f>H927/F927</x:f>
        <x:v>0.6686802413273002</x:v>
      </x:c>
    </x:row>
    <x:row r="928" ht="22" customHeight="1">
      <x:c r="A928" s="11" t="str">
        <x:v>1828</x:v>
      </x:c>
      <x:c r="B928" s="8" t="str">
        <x:v>Litware Washer &amp; Dryer 25.5in M350 White</x:v>
      </x:c>
      <x:c r="C928" s="8" t="n">
        <x:v>12</x:v>
      </x:c>
      <x:c r="D928" s="9" t="n">
        <x:v>1989</x:v>
      </x:c>
      <x:c r="E928" s="9" t="n">
        <x:v>914.67</x:v>
      </x:c>
      <x:c r="F928" s="8" t="n">
        <x:f>C928*D928</x:f>
        <x:v>23868</x:v>
      </x:c>
      <x:c r="G928" s="8" t="n">
        <x:f>C928*E928</x:f>
        <x:v>10976.039999999999</x:v>
      </x:c>
      <x:c r="H928" s="8" t="n">
        <x:f>F928-G928</x:f>
        <x:v>12891.960000000001</x:v>
      </x:c>
      <x:c r="I928" s="10" t="n">
        <x:f>H928/F928</x:f>
        <x:v>0.5401357466063349</x:v>
      </x:c>
    </x:row>
    <x:row r="929" ht="22" customHeight="1">
      <x:c r="A929" s="11" t="str">
        <x:v>1829</x:v>
      </x:c>
      <x:c r="B929" s="8" t="str">
        <x:v>Litware Washer &amp; Dryer 24in M260 White</x:v>
      </x:c>
      <x:c r="C929" s="8" t="n">
        <x:v>6</x:v>
      </x:c>
      <x:c r="D929" s="9" t="n">
        <x:v>1818</x:v>
      </x:c>
      <x:c r="E929" s="9" t="n">
        <x:v>836.03</x:v>
      </x:c>
      <x:c r="F929" s="8" t="n">
        <x:f>C929*D929</x:f>
        <x:v>10908</x:v>
      </x:c>
      <x:c r="G929" s="8" t="n">
        <x:f>C929*E929</x:f>
        <x:v>5016.18</x:v>
      </x:c>
      <x:c r="H929" s="8" t="n">
        <x:f>F929-G929</x:f>
        <x:v>5891.82</x:v>
      </x:c>
      <x:c r="I929" s="10" t="n">
        <x:f>H929/F929</x:f>
        <x:v>0.5401375137513751</x:v>
      </x:c>
    </x:row>
    <x:row r="930" ht="22" customHeight="1">
      <x:c r="A930" s="11" t="str">
        <x:v>183</x:v>
      </x:c>
      <x:c r="B930" s="8" t="str">
        <x:v>SV 16xDVD M330 Silver</x:v>
      </x:c>
      <x:c r="C930" s="8" t="n">
        <x:v>121</x:v>
      </x:c>
      <x:c r="D930" s="9" t="n">
        <x:v>109</x:v>
      </x:c>
      <x:c r="E930" s="9" t="n">
        <x:v>50.13</x:v>
      </x:c>
      <x:c r="F930" s="8" t="n">
        <x:f>C930*D930</x:f>
        <x:v>13189</x:v>
      </x:c>
      <x:c r="G930" s="8" t="n">
        <x:f>C930*E930</x:f>
        <x:v>6065.7300000000005</x:v>
      </x:c>
      <x:c r="H930" s="8" t="n">
        <x:f>F930-G930</x:f>
        <x:v>7123.2699999999995</x:v>
      </x:c>
      <x:c r="I930" s="10" t="n">
        <x:f>H930/F930</x:f>
        <x:v>0.540091743119266</x:v>
      </x:c>
    </x:row>
    <x:row r="931" ht="22" customHeight="1">
      <x:c r="A931" s="11" t="str">
        <x:v>1830</x:v>
      </x:c>
      <x:c r="B931" s="8" t="str">
        <x:v>Litware Washer &amp; Dryer 21in E214 White</x:v>
      </x:c>
      <x:c r="C931" s="8" t="n">
        <x:v>10</x:v>
      </x:c>
      <x:c r="D931" s="9" t="n">
        <x:v>1599</x:v>
      </x:c>
      <x:c r="E931" s="9" t="n">
        <x:v>815.22</x:v>
      </x:c>
      <x:c r="F931" s="8" t="n">
        <x:f>C931*D931</x:f>
        <x:v>15990</x:v>
      </x:c>
      <x:c r="G931" s="8" t="n">
        <x:f>C931*E931</x:f>
        <x:v>8152.200000000001</x:v>
      </x:c>
      <x:c r="H931" s="8" t="n">
        <x:f>F931-G931</x:f>
        <x:v>7837.799999999999</x:v>
      </x:c>
      <x:c r="I931" s="10" t="n">
        <x:f>H931/F931</x:f>
        <x:v>0.4901688555347091</x:v>
      </x:c>
    </x:row>
    <x:row r="932" ht="22" customHeight="1">
      <x:c r="A932" s="11" t="str">
        <x:v>1831</x:v>
      </x:c>
      <x:c r="B932" s="8" t="str">
        <x:v>Litware Washer &amp; Dryer 15.5in E150 White</x:v>
      </x:c>
      <x:c r="C932" s="8" t="n">
        <x:v>22</x:v>
      </x:c>
      <x:c r="D932" s="9" t="n">
        <x:v>999</x:v>
      </x:c>
      <x:c r="E932" s="9" t="n">
        <x:v>509.32</x:v>
      </x:c>
      <x:c r="F932" s="8" t="n">
        <x:f>C932*D932</x:f>
        <x:v>21978</x:v>
      </x:c>
      <x:c r="G932" s="8" t="n">
        <x:f>C932*E932</x:f>
        <x:v>11205.039999999999</x:v>
      </x:c>
      <x:c r="H932" s="8" t="n">
        <x:f>F932-G932</x:f>
        <x:v>10772.960000000001</x:v>
      </x:c>
      <x:c r="I932" s="10" t="n">
        <x:f>H932/F932</x:f>
        <x:v>0.4901701701701702</x:v>
      </x:c>
    </x:row>
    <x:row r="933" ht="22" customHeight="1">
      <x:c r="A933" s="11" t="str">
        <x:v>1832</x:v>
      </x:c>
      <x:c r="B933" s="8" t="str">
        <x:v>Litware Washer &amp; Dryer 27in L420 Silver</x:v>
      </x:c>
      <x:c r="C933" s="8" t="n">
        <x:v>8</x:v>
      </x:c>
      <x:c r="D933" s="9" t="n">
        <x:v>2652</x:v>
      </x:c>
      <x:c r="E933" s="9" t="n">
        <x:v>878.66</x:v>
      </x:c>
      <x:c r="F933" s="8" t="n">
        <x:f>C933*D933</x:f>
        <x:v>21216</x:v>
      </x:c>
      <x:c r="G933" s="8" t="n">
        <x:f>C933*E933</x:f>
        <x:v>7029.28</x:v>
      </x:c>
      <x:c r="H933" s="8" t="n">
        <x:f>F933-G933</x:f>
        <x:v>14186.720000000001</x:v>
      </x:c>
      <x:c r="I933" s="10" t="n">
        <x:f>H933/F933</x:f>
        <x:v>0.6686802413273002</x:v>
      </x:c>
    </x:row>
    <x:row r="934" ht="22" customHeight="1">
      <x:c r="A934" s="11" t="str">
        <x:v>1833</x:v>
      </x:c>
      <x:c r="B934" s="8" t="str">
        <x:v>Litware Washer &amp; Dryer 25.5in M350 Silver</x:v>
      </x:c>
      <x:c r="C934" s="8" t="n">
        <x:v>13</x:v>
      </x:c>
      <x:c r="D934" s="9" t="n">
        <x:v>1989</x:v>
      </x:c>
      <x:c r="E934" s="9" t="n">
        <x:v>914.67</x:v>
      </x:c>
      <x:c r="F934" s="8" t="n">
        <x:f>C934*D934</x:f>
        <x:v>25857</x:v>
      </x:c>
      <x:c r="G934" s="8" t="n">
        <x:f>C934*E934</x:f>
        <x:v>11890.71</x:v>
      </x:c>
      <x:c r="H934" s="8" t="n">
        <x:f>F934-G934</x:f>
        <x:v>13966.29</x:v>
      </x:c>
      <x:c r="I934" s="10" t="n">
        <x:f>H934/F934</x:f>
        <x:v>0.5401357466063349</x:v>
      </x:c>
    </x:row>
    <x:row r="935" ht="22" customHeight="1">
      <x:c r="A935" s="11" t="str">
        <x:v>1834</x:v>
      </x:c>
      <x:c r="B935" s="8" t="str">
        <x:v>Litware Washer &amp; Dryer 24in M260 Silver</x:v>
      </x:c>
      <x:c r="C935" s="8" t="n">
        <x:v>36</x:v>
      </x:c>
      <x:c r="D935" s="9" t="n">
        <x:v>1818</x:v>
      </x:c>
      <x:c r="E935" s="9" t="n">
        <x:v>836.03</x:v>
      </x:c>
      <x:c r="F935" s="8" t="n">
        <x:f>C935*D935</x:f>
        <x:v>65448</x:v>
      </x:c>
      <x:c r="G935" s="8" t="n">
        <x:f>C935*E935</x:f>
        <x:v>30097.079999999998</x:v>
      </x:c>
      <x:c r="H935" s="8" t="n">
        <x:f>F935-G935</x:f>
        <x:v>35350.92</x:v>
      </x:c>
      <x:c r="I935" s="10" t="n">
        <x:f>H935/F935</x:f>
        <x:v>0.5401375137513751</x:v>
      </x:c>
    </x:row>
    <x:row r="936" ht="22" customHeight="1">
      <x:c r="A936" s="11" t="str">
        <x:v>1835</x:v>
      </x:c>
      <x:c r="B936" s="8" t="str">
        <x:v>Litware Washer &amp; Dryer 21in E214 Silver</x:v>
      </x:c>
      <x:c r="C936" s="8" t="n">
        <x:v>17</x:v>
      </x:c>
      <x:c r="D936" s="9" t="n">
        <x:v>1599</x:v>
      </x:c>
      <x:c r="E936" s="9" t="n">
        <x:v>815.22</x:v>
      </x:c>
      <x:c r="F936" s="8" t="n">
        <x:f>C936*D936</x:f>
        <x:v>27183</x:v>
      </x:c>
      <x:c r="G936" s="8" t="n">
        <x:f>C936*E936</x:f>
        <x:v>13858.74</x:v>
      </x:c>
      <x:c r="H936" s="8" t="n">
        <x:f>F936-G936</x:f>
        <x:v>13324.26</x:v>
      </x:c>
      <x:c r="I936" s="10" t="n">
        <x:f>H936/F936</x:f>
        <x:v>0.4901688555347092</x:v>
      </x:c>
    </x:row>
    <x:row r="937" ht="22" customHeight="1">
      <x:c r="A937" s="11" t="str">
        <x:v>1836</x:v>
      </x:c>
      <x:c r="B937" s="8" t="str">
        <x:v>Litware Washer &amp; Dryer 15.5in E150 Silver</x:v>
      </x:c>
      <x:c r="C937" s="8" t="n">
        <x:v>22</x:v>
      </x:c>
      <x:c r="D937" s="9" t="n">
        <x:v>999</x:v>
      </x:c>
      <x:c r="E937" s="9" t="n">
        <x:v>509.32</x:v>
      </x:c>
      <x:c r="F937" s="8" t="n">
        <x:f>C937*D937</x:f>
        <x:v>21978</x:v>
      </x:c>
      <x:c r="G937" s="8" t="n">
        <x:f>C937*E937</x:f>
        <x:v>11205.039999999999</x:v>
      </x:c>
      <x:c r="H937" s="8" t="n">
        <x:f>F937-G937</x:f>
        <x:v>10772.960000000001</x:v>
      </x:c>
      <x:c r="I937" s="10" t="n">
        <x:f>H937/F937</x:f>
        <x:v>0.4901701701701702</x:v>
      </x:c>
    </x:row>
    <x:row r="938" ht="22" customHeight="1">
      <x:c r="A938" s="11" t="str">
        <x:v>1837</x:v>
      </x:c>
      <x:c r="B938" s="8" t="str">
        <x:v>Litware Washer &amp; Dryer 27in L420 Blue</x:v>
      </x:c>
      <x:c r="C938" s="8" t="n">
        <x:v>12</x:v>
      </x:c>
      <x:c r="D938" s="9" t="n">
        <x:v>2652</x:v>
      </x:c>
      <x:c r="E938" s="9" t="n">
        <x:v>878.66</x:v>
      </x:c>
      <x:c r="F938" s="8" t="n">
        <x:f>C938*D938</x:f>
        <x:v>31824</x:v>
      </x:c>
      <x:c r="G938" s="8" t="n">
        <x:f>C938*E938</x:f>
        <x:v>10543.92</x:v>
      </x:c>
      <x:c r="H938" s="8" t="n">
        <x:f>F938-G938</x:f>
        <x:v>21280.08</x:v>
      </x:c>
      <x:c r="I938" s="10" t="n">
        <x:f>H938/F938</x:f>
        <x:v>0.6686802413273002</x:v>
      </x:c>
    </x:row>
    <x:row r="939" ht="22" customHeight="1">
      <x:c r="A939" s="11" t="str">
        <x:v>1838</x:v>
      </x:c>
      <x:c r="B939" s="8" t="str">
        <x:v>Litware Washer &amp; Dryer 25.5in M350 Blue</x:v>
      </x:c>
      <x:c r="C939" s="8" t="n">
        <x:v>7</x:v>
      </x:c>
      <x:c r="D939" s="9" t="n">
        <x:v>1989</x:v>
      </x:c>
      <x:c r="E939" s="9" t="n">
        <x:v>914.67</x:v>
      </x:c>
      <x:c r="F939" s="8" t="n">
        <x:f>C939*D939</x:f>
        <x:v>13923</x:v>
      </x:c>
      <x:c r="G939" s="8" t="n">
        <x:f>C939*E939</x:f>
        <x:v>6402.69</x:v>
      </x:c>
      <x:c r="H939" s="8" t="n">
        <x:f>F939-G939</x:f>
        <x:v>7520.31</x:v>
      </x:c>
      <x:c r="I939" s="10" t="n">
        <x:f>H939/F939</x:f>
        <x:v>0.5401357466063349</x:v>
      </x:c>
    </x:row>
    <x:row r="940" ht="22" customHeight="1">
      <x:c r="A940" s="11" t="str">
        <x:v>1839</x:v>
      </x:c>
      <x:c r="B940" s="8" t="str">
        <x:v>Litware Washer &amp; Dryer 24in M260 Blue</x:v>
      </x:c>
      <x:c r="C940" s="8" t="n">
        <x:v>17</x:v>
      </x:c>
      <x:c r="D940" s="9" t="n">
        <x:v>1818</x:v>
      </x:c>
      <x:c r="E940" s="9" t="n">
        <x:v>836.03</x:v>
      </x:c>
      <x:c r="F940" s="8" t="n">
        <x:f>C940*D940</x:f>
        <x:v>30906</x:v>
      </x:c>
      <x:c r="G940" s="8" t="n">
        <x:f>C940*E940</x:f>
        <x:v>14212.51</x:v>
      </x:c>
      <x:c r="H940" s="8" t="n">
        <x:f>F940-G940</x:f>
        <x:v>16693.489999999998</x:v>
      </x:c>
      <x:c r="I940" s="10" t="n">
        <x:f>H940/F940</x:f>
        <x:v>0.5401375137513751</x:v>
      </x:c>
    </x:row>
    <x:row r="941" ht="22" customHeight="1">
      <x:c r="A941" s="11" t="str">
        <x:v>184</x:v>
      </x:c>
      <x:c r="B941" s="8" t="str">
        <x:v>SV 16xDVD E340 Silver</x:v>
      </x:c>
      <x:c r="C941" s="8" t="n">
        <x:v>136</x:v>
      </x:c>
      <x:c r="D941" s="9" t="n">
        <x:v>99</x:v>
      </x:c>
      <x:c r="E941" s="9" t="n">
        <x:v>45.53</x:v>
      </x:c>
      <x:c r="F941" s="8" t="n">
        <x:f>C941*D941</x:f>
        <x:v>13464</x:v>
      </x:c>
      <x:c r="G941" s="8" t="n">
        <x:f>C941*E941</x:f>
        <x:v>6192.08</x:v>
      </x:c>
      <x:c r="H941" s="8" t="n">
        <x:f>F941-G941</x:f>
        <x:v>7271.92</x:v>
      </x:c>
      <x:c r="I941" s="10" t="n">
        <x:f>H941/F941</x:f>
        <x:v>0.5401010101010101</x:v>
      </x:c>
    </x:row>
    <x:row r="942" ht="22" customHeight="1">
      <x:c r="A942" s="11" t="str">
        <x:v>1840</x:v>
      </x:c>
      <x:c r="B942" s="8" t="str">
        <x:v>Litware Washer &amp; Dryer 21in E214 Blue</x:v>
      </x:c>
      <x:c r="C942" s="8" t="n">
        <x:v>20</x:v>
      </x:c>
      <x:c r="D942" s="9" t="n">
        <x:v>1599</x:v>
      </x:c>
      <x:c r="E942" s="9" t="n">
        <x:v>815.22</x:v>
      </x:c>
      <x:c r="F942" s="8" t="n">
        <x:f>C942*D942</x:f>
        <x:v>31980</x:v>
      </x:c>
      <x:c r="G942" s="8" t="n">
        <x:f>C942*E942</x:f>
        <x:v>16304.400000000001</x:v>
      </x:c>
      <x:c r="H942" s="8" t="n">
        <x:f>F942-G942</x:f>
        <x:v>15675.599999999999</x:v>
      </x:c>
      <x:c r="I942" s="10" t="n">
        <x:f>H942/F942</x:f>
        <x:v>0.4901688555347091</x:v>
      </x:c>
    </x:row>
    <x:row r="943" ht="22" customHeight="1">
      <x:c r="A943" s="11" t="str">
        <x:v>1841</x:v>
      </x:c>
      <x:c r="B943" s="8" t="str">
        <x:v>Litware Washer &amp; Dryer 15.5in E150 Blue</x:v>
      </x:c>
      <x:c r="C943" s="8" t="n">
        <x:v>19</x:v>
      </x:c>
      <x:c r="D943" s="9" t="n">
        <x:v>999</x:v>
      </x:c>
      <x:c r="E943" s="9" t="n">
        <x:v>509.32</x:v>
      </x:c>
      <x:c r="F943" s="8" t="n">
        <x:f>C943*D943</x:f>
        <x:v>18981</x:v>
      </x:c>
      <x:c r="G943" s="8" t="n">
        <x:f>C943*E943</x:f>
        <x:v>9677.08</x:v>
      </x:c>
      <x:c r="H943" s="8" t="n">
        <x:f>F943-G943</x:f>
        <x:v>9303.92</x:v>
      </x:c>
      <x:c r="I943" s="10" t="n">
        <x:f>H943/F943</x:f>
        <x:v>0.49017017017017017</x:v>
      </x:c>
    </x:row>
    <x:row r="944" ht="22" customHeight="1">
      <x:c r="A944" s="11" t="str">
        <x:v>1842</x:v>
      </x:c>
      <x:c r="B944" s="8" t="str">
        <x:v>Litware Washer &amp; Dryer 27in L420 Green</x:v>
      </x:c>
      <x:c r="C944" s="8" t="n">
        <x:v>31</x:v>
      </x:c>
      <x:c r="D944" s="9" t="n">
        <x:v>2652</x:v>
      </x:c>
      <x:c r="E944" s="9" t="n">
        <x:v>878.66</x:v>
      </x:c>
      <x:c r="F944" s="8" t="n">
        <x:f>C944*D944</x:f>
        <x:v>82212</x:v>
      </x:c>
      <x:c r="G944" s="8" t="n">
        <x:f>C944*E944</x:f>
        <x:v>27238.46</x:v>
      </x:c>
      <x:c r="H944" s="8" t="n">
        <x:f>F944-G944</x:f>
        <x:v>54973.54</x:v>
      </x:c>
      <x:c r="I944" s="10" t="n">
        <x:f>H944/F944</x:f>
        <x:v>0.6686802413273002</x:v>
      </x:c>
    </x:row>
    <x:row r="945" ht="22" customHeight="1">
      <x:c r="A945" s="11" t="str">
        <x:v>1843</x:v>
      </x:c>
      <x:c r="B945" s="8" t="str">
        <x:v>Litware Washer &amp; Dryer 25.5in M350 Green</x:v>
      </x:c>
      <x:c r="C945" s="8" t="n">
        <x:v>34</x:v>
      </x:c>
      <x:c r="D945" s="9" t="n">
        <x:v>1989</x:v>
      </x:c>
      <x:c r="E945" s="9" t="n">
        <x:v>914.67</x:v>
      </x:c>
      <x:c r="F945" s="8" t="n">
        <x:f>C945*D945</x:f>
        <x:v>67626</x:v>
      </x:c>
      <x:c r="G945" s="8" t="n">
        <x:f>C945*E945</x:f>
        <x:v>31098.78</x:v>
      </x:c>
      <x:c r="H945" s="8" t="n">
        <x:f>F945-G945</x:f>
        <x:v>36527.22</x:v>
      </x:c>
      <x:c r="I945" s="10" t="n">
        <x:f>H945/F945</x:f>
        <x:v>0.5401357466063349</x:v>
      </x:c>
    </x:row>
    <x:row r="946" ht="22" customHeight="1">
      <x:c r="A946" s="11" t="str">
        <x:v>1844</x:v>
      </x:c>
      <x:c r="B946" s="8" t="str">
        <x:v>Litware Washer &amp; Dryer 24in M260 Green</x:v>
      </x:c>
      <x:c r="C946" s="8" t="n">
        <x:v>19</x:v>
      </x:c>
      <x:c r="D946" s="9" t="n">
        <x:v>1818</x:v>
      </x:c>
      <x:c r="E946" s="9" t="n">
        <x:v>836.03</x:v>
      </x:c>
      <x:c r="F946" s="8" t="n">
        <x:f>C946*D946</x:f>
        <x:v>34542</x:v>
      </x:c>
      <x:c r="G946" s="8" t="n">
        <x:f>C946*E946</x:f>
        <x:v>15884.57</x:v>
      </x:c>
      <x:c r="H946" s="8" t="n">
        <x:f>F946-G946</x:f>
        <x:v>18657.43</x:v>
      </x:c>
      <x:c r="I946" s="10" t="n">
        <x:f>H946/F946</x:f>
        <x:v>0.5401375137513752</x:v>
      </x:c>
    </x:row>
    <x:row r="947" ht="22" customHeight="1">
      <x:c r="A947" s="11" t="str">
        <x:v>1845</x:v>
      </x:c>
      <x:c r="B947" s="8" t="str">
        <x:v>Litware Washer &amp; Dryer 21in E214 Green</x:v>
      </x:c>
      <x:c r="C947" s="8" t="n">
        <x:v>13</x:v>
      </x:c>
      <x:c r="D947" s="9" t="n">
        <x:v>1599</x:v>
      </x:c>
      <x:c r="E947" s="9" t="n">
        <x:v>815.22</x:v>
      </x:c>
      <x:c r="F947" s="8" t="n">
        <x:f>C947*D947</x:f>
        <x:v>20787</x:v>
      </x:c>
      <x:c r="G947" s="8" t="n">
        <x:f>C947*E947</x:f>
        <x:v>10597.86</x:v>
      </x:c>
      <x:c r="H947" s="8" t="n">
        <x:f>F947-G947</x:f>
        <x:v>10189.14</x:v>
      </x:c>
      <x:c r="I947" s="10" t="n">
        <x:f>H947/F947</x:f>
        <x:v>0.4901688555347092</x:v>
      </x:c>
    </x:row>
    <x:row r="948" ht="22" customHeight="1">
      <x:c r="A948" s="11" t="str">
        <x:v>1846</x:v>
      </x:c>
      <x:c r="B948" s="8" t="str">
        <x:v>Litware Washer &amp; Dryer 15.5in E150 Green</x:v>
      </x:c>
      <x:c r="C948" s="8" t="n">
        <x:v>35</x:v>
      </x:c>
      <x:c r="D948" s="9" t="n">
        <x:v>999</x:v>
      </x:c>
      <x:c r="E948" s="9" t="n">
        <x:v>509.32</x:v>
      </x:c>
      <x:c r="F948" s="8" t="n">
        <x:f>C948*D948</x:f>
        <x:v>34965</x:v>
      </x:c>
      <x:c r="G948" s="8" t="n">
        <x:f>C948*E948</x:f>
        <x:v>17826.2</x:v>
      </x:c>
      <x:c r="H948" s="8" t="n">
        <x:f>F948-G948</x:f>
        <x:v>17138.8</x:v>
      </x:c>
      <x:c r="I948" s="10" t="n">
        <x:f>H948/F948</x:f>
        <x:v>0.49017017017017017</x:v>
      </x:c>
    </x:row>
    <x:row r="949" ht="22" customHeight="1">
      <x:c r="A949" s="11" t="str">
        <x:v>1847</x:v>
      </x:c>
      <x:c r="B949" s="8" t="str">
        <x:v>NT Washer &amp; Dryer 27in L2700 White</x:v>
      </x:c>
      <x:c r="C949" s="8" t="n">
        <x:v>21</x:v>
      </x:c>
      <x:c r="D949" s="9" t="n">
        <x:v>2652.9</x:v>
      </x:c>
      <x:c r="E949" s="9" t="n">
        <x:v>878.96</x:v>
      </x:c>
      <x:c r="F949" s="8" t="n">
        <x:f>C949*D949</x:f>
        <x:v>55710.9</x:v>
      </x:c>
      <x:c r="G949" s="8" t="n">
        <x:f>C949*E949</x:f>
        <x:v>18458.16</x:v>
      </x:c>
      <x:c r="H949" s="8" t="n">
        <x:f>F949-G949</x:f>
        <x:v>37252.740000000005</x:v>
      </x:c>
      <x:c r="I949" s="10" t="n">
        <x:f>H949/F949</x:f>
        <x:v>0.6686795582193072</x:v>
      </x:c>
    </x:row>
    <x:row r="950" ht="22" customHeight="1">
      <x:c r="A950" s="11" t="str">
        <x:v>1848</x:v>
      </x:c>
      <x:c r="B950" s="8" t="str">
        <x:v>NT Washer &amp; Dryer 25.5in M2550 White</x:v>
      </x:c>
      <x:c r="C950" s="8" t="n">
        <x:v>29</x:v>
      </x:c>
      <x:c r="D950" s="9" t="n">
        <x:v>1989.9</x:v>
      </x:c>
      <x:c r="E950" s="9" t="n">
        <x:v>915.08</x:v>
      </x:c>
      <x:c r="F950" s="8" t="n">
        <x:f>C950*D950</x:f>
        <x:v>57707.100000000006</x:v>
      </x:c>
      <x:c r="G950" s="8" t="n">
        <x:f>C950*E950</x:f>
        <x:v>26537.32</x:v>
      </x:c>
      <x:c r="H950" s="8" t="n">
        <x:f>F950-G950</x:f>
        <x:v>31169.780000000006</x:v>
      </x:c>
      <x:c r="I950" s="10" t="n">
        <x:f>H950/F950</x:f>
        <x:v>0.540137695361576</x:v>
      </x:c>
    </x:row>
    <x:row r="951" ht="22" customHeight="1">
      <x:c r="A951" s="11" t="str">
        <x:v>1849</x:v>
      </x:c>
      <x:c r="B951" s="8" t="str">
        <x:v>NT Washer &amp; Dryer 24in M2400 White</x:v>
      </x:c>
      <x:c r="C951" s="8" t="n">
        <x:v>6</x:v>
      </x:c>
      <x:c r="D951" s="9" t="n">
        <x:v>1818.9</x:v>
      </x:c>
      <x:c r="E951" s="9" t="n">
        <x:v>836.45</x:v>
      </x:c>
      <x:c r="F951" s="8" t="n">
        <x:f>C951*D951</x:f>
        <x:v>10913.400000000001</x:v>
      </x:c>
      <x:c r="G951" s="8" t="n">
        <x:f>C951*E951</x:f>
        <x:v>5018.700000000001</x:v>
      </x:c>
      <x:c r="H951" s="8" t="n">
        <x:f>F951-G951</x:f>
        <x:v>5894.700000000001</x:v>
      </x:c>
      <x:c r="I951" s="10" t="n">
        <x:f>H951/F951</x:f>
        <x:v>0.5401341470119303</x:v>
      </x:c>
    </x:row>
    <x:row r="952" ht="22" customHeight="1">
      <x:c r="A952" s="11" t="str">
        <x:v>185</x:v>
      </x:c>
      <x:c r="B952" s="8" t="str">
        <x:v>SV 22xDVD X680 Silver</x:v>
      </x:c>
      <x:c r="C952" s="8" t="n">
        <x:v>94</x:v>
      </x:c>
      <x:c r="D952" s="9" t="n">
        <x:v>169</x:v>
      </x:c>
      <x:c r="E952" s="9" t="n">
        <x:v>55.99</x:v>
      </x:c>
      <x:c r="F952" s="8" t="n">
        <x:f>C952*D952</x:f>
        <x:v>15886</x:v>
      </x:c>
      <x:c r="G952" s="8" t="n">
        <x:f>C952*E952</x:f>
        <x:v>5263.06</x:v>
      </x:c>
      <x:c r="H952" s="8" t="n">
        <x:f>F952-G952</x:f>
        <x:v>10622.939999999999</x:v>
      </x:c>
      <x:c r="I952" s="10" t="n">
        <x:f>H952/F952</x:f>
        <x:v>0.668698224852071</x:v>
      </x:c>
    </x:row>
    <x:row r="953" ht="22" customHeight="1">
      <x:c r="A953" s="11" t="str">
        <x:v>1850</x:v>
      </x:c>
      <x:c r="B953" s="8" t="str">
        <x:v>NT Washer &amp; Dryer 21in E2100 White</x:v>
      </x:c>
      <x:c r="C953" s="8" t="n">
        <x:v>8</x:v>
      </x:c>
      <x:c r="D953" s="9" t="n">
        <x:v>1599.9</x:v>
      </x:c>
      <x:c r="E953" s="9" t="n">
        <x:v>815.68</x:v>
      </x:c>
      <x:c r="F953" s="8" t="n">
        <x:f>C953*D953</x:f>
        <x:v>12799.2</x:v>
      </x:c>
      <x:c r="G953" s="8" t="n">
        <x:f>C953*E953</x:f>
        <x:v>6525.44</x:v>
      </x:c>
      <x:c r="H953" s="8" t="n">
        <x:f>F953-G953</x:f>
        <x:v>6273.760000000001</x:v>
      </x:c>
      <x:c r="I953" s="10" t="n">
        <x:f>H953/F953</x:f>
        <x:v>0.4901681355084693</x:v>
      </x:c>
    </x:row>
    <x:row r="954" ht="22" customHeight="1">
      <x:c r="A954" s="11" t="str">
        <x:v>1851</x:v>
      </x:c>
      <x:c r="B954" s="8" t="str">
        <x:v>NT Washer &amp; Dryer 15.5in E1550 White</x:v>
      </x:c>
      <x:c r="C954" s="8" t="n">
        <x:v>36</x:v>
      </x:c>
      <x:c r="D954" s="9" t="n">
        <x:v>999.9</x:v>
      </x:c>
      <x:c r="E954" s="9" t="n">
        <x:v>509.78</x:v>
      </x:c>
      <x:c r="F954" s="8" t="n">
        <x:f>C954*D954</x:f>
        <x:v>35996.4</x:v>
      </x:c>
      <x:c r="G954" s="8" t="n">
        <x:f>C954*E954</x:f>
        <x:v>18352.079999999998</x:v>
      </x:c>
      <x:c r="H954" s="8" t="n">
        <x:f>F954-G954</x:f>
        <x:v>17644.320000000003</x:v>
      </x:c>
      <x:c r="I954" s="10" t="n">
        <x:f>H954/F954</x:f>
        <x:v>0.49016901690169024</x:v>
      </x:c>
    </x:row>
    <x:row r="955" ht="22" customHeight="1">
      <x:c r="A955" s="11" t="str">
        <x:v>1852</x:v>
      </x:c>
      <x:c r="B955" s="8" t="str">
        <x:v>NT Washer &amp; Dryer 27in L2700 Silver</x:v>
      </x:c>
      <x:c r="C955" s="8" t="n">
        <x:v>24</x:v>
      </x:c>
      <x:c r="D955" s="9" t="n">
        <x:v>2652.9</x:v>
      </x:c>
      <x:c r="E955" s="9" t="n">
        <x:v>878.96</x:v>
      </x:c>
      <x:c r="F955" s="8" t="n">
        <x:f>C955*D955</x:f>
        <x:v>63669.600000000006</x:v>
      </x:c>
      <x:c r="G955" s="8" t="n">
        <x:f>C955*E955</x:f>
        <x:v>21095.04</x:v>
      </x:c>
      <x:c r="H955" s="8" t="n">
        <x:f>F955-G955</x:f>
        <x:v>42574.560000000005</x:v>
      </x:c>
      <x:c r="I955" s="10" t="n">
        <x:f>H955/F955</x:f>
        <x:v>0.6686795582193071</x:v>
      </x:c>
    </x:row>
    <x:row r="956" ht="22" customHeight="1">
      <x:c r="A956" s="11" t="str">
        <x:v>1853</x:v>
      </x:c>
      <x:c r="B956" s="8" t="str">
        <x:v>NT Washer &amp; Dryer 25.5in M2550 Silver</x:v>
      </x:c>
      <x:c r="C956" s="8" t="n">
        <x:v>9</x:v>
      </x:c>
      <x:c r="D956" s="9" t="n">
        <x:v>1989.9</x:v>
      </x:c>
      <x:c r="E956" s="9" t="n">
        <x:v>915.08</x:v>
      </x:c>
      <x:c r="F956" s="8" t="n">
        <x:f>C956*D956</x:f>
        <x:v>17909.100000000002</x:v>
      </x:c>
      <x:c r="G956" s="8" t="n">
        <x:f>C956*E956</x:f>
        <x:v>8235.720000000001</x:v>
      </x:c>
      <x:c r="H956" s="8" t="n">
        <x:f>F956-G956</x:f>
        <x:v>9673.380000000001</x:v>
      </x:c>
      <x:c r="I956" s="10" t="n">
        <x:f>H956/F956</x:f>
        <x:v>0.540137695361576</x:v>
      </x:c>
    </x:row>
    <x:row r="957" ht="22" customHeight="1">
      <x:c r="A957" s="11" t="str">
        <x:v>1854</x:v>
      </x:c>
      <x:c r="B957" s="8" t="str">
        <x:v>NT Washer &amp; Dryer 24in M2400 Silver</x:v>
      </x:c>
      <x:c r="C957" s="8" t="n">
        <x:v>6</x:v>
      </x:c>
      <x:c r="D957" s="9" t="n">
        <x:v>1818.9</x:v>
      </x:c>
      <x:c r="E957" s="9" t="n">
        <x:v>836.45</x:v>
      </x:c>
      <x:c r="F957" s="8" t="n">
        <x:f>C957*D957</x:f>
        <x:v>10913.400000000001</x:v>
      </x:c>
      <x:c r="G957" s="8" t="n">
        <x:f>C957*E957</x:f>
        <x:v>5018.700000000001</x:v>
      </x:c>
      <x:c r="H957" s="8" t="n">
        <x:f>F957-G957</x:f>
        <x:v>5894.700000000001</x:v>
      </x:c>
      <x:c r="I957" s="10" t="n">
        <x:f>H957/F957</x:f>
        <x:v>0.5401341470119303</x:v>
      </x:c>
    </x:row>
    <x:row r="958" ht="22" customHeight="1">
      <x:c r="A958" s="11" t="str">
        <x:v>1855</x:v>
      </x:c>
      <x:c r="B958" s="8" t="str">
        <x:v>NT Washer &amp; Dryer 21in E2100 Silver</x:v>
      </x:c>
      <x:c r="C958" s="8" t="n">
        <x:v>5</x:v>
      </x:c>
      <x:c r="D958" s="9" t="n">
        <x:v>1599.9</x:v>
      </x:c>
      <x:c r="E958" s="9" t="n">
        <x:v>815.68</x:v>
      </x:c>
      <x:c r="F958" s="8" t="n">
        <x:f>C958*D958</x:f>
        <x:v>7999.5</x:v>
      </x:c>
      <x:c r="G958" s="8" t="n">
        <x:f>C958*E958</x:f>
        <x:v>4078.3999999999996</x:v>
      </x:c>
      <x:c r="H958" s="8" t="n">
        <x:f>F958-G958</x:f>
        <x:v>3921.1000000000004</x:v>
      </x:c>
      <x:c r="I958" s="10" t="n">
        <x:f>H958/F958</x:f>
        <x:v>0.4901681355084693</x:v>
      </x:c>
    </x:row>
    <x:row r="959" ht="22" customHeight="1">
      <x:c r="A959" s="11" t="str">
        <x:v>1856</x:v>
      </x:c>
      <x:c r="B959" s="8" t="str">
        <x:v>NT Washer &amp; Dryer 15.5in E1550 Silver</x:v>
      </x:c>
      <x:c r="C959" s="8" t="n">
        <x:v>14</x:v>
      </x:c>
      <x:c r="D959" s="9" t="n">
        <x:v>999.9</x:v>
      </x:c>
      <x:c r="E959" s="9" t="n">
        <x:v>509.78</x:v>
      </x:c>
      <x:c r="F959" s="8" t="n">
        <x:f>C959*D959</x:f>
        <x:v>13998.6</x:v>
      </x:c>
      <x:c r="G959" s="8" t="n">
        <x:f>C959*E959</x:f>
        <x:v>7136.92</x:v>
      </x:c>
      <x:c r="H959" s="8" t="n">
        <x:f>F959-G959</x:f>
        <x:v>6861.68</x:v>
      </x:c>
      <x:c r="I959" s="10" t="n">
        <x:f>H959/F959</x:f>
        <x:v>0.4901690169016902</x:v>
      </x:c>
    </x:row>
    <x:row r="960" ht="22" customHeight="1">
      <x:c r="A960" s="11" t="str">
        <x:v>1857</x:v>
      </x:c>
      <x:c r="B960" s="8" t="str">
        <x:v>NT Washer &amp; Dryer 27in L2700 Blue</x:v>
      </x:c>
      <x:c r="C960" s="8" t="n">
        <x:v>13</x:v>
      </x:c>
      <x:c r="D960" s="9" t="n">
        <x:v>2652.9</x:v>
      </x:c>
      <x:c r="E960" s="9" t="n">
        <x:v>878.96</x:v>
      </x:c>
      <x:c r="F960" s="8" t="n">
        <x:f>C960*D960</x:f>
        <x:v>34487.700000000004</x:v>
      </x:c>
      <x:c r="G960" s="8" t="n">
        <x:f>C960*E960</x:f>
        <x:v>11426.48</x:v>
      </x:c>
      <x:c r="H960" s="8" t="n">
        <x:f>F960-G960</x:f>
        <x:v>23061.220000000005</x:v>
      </x:c>
      <x:c r="I960" s="10" t="n">
        <x:f>H960/F960</x:f>
        <x:v>0.6686795582193072</x:v>
      </x:c>
    </x:row>
    <x:row r="961" ht="22" customHeight="1">
      <x:c r="A961" s="11" t="str">
        <x:v>1858</x:v>
      </x:c>
      <x:c r="B961" s="8" t="str">
        <x:v>NT Washer &amp; Dryer 25.5in M2550 Blue</x:v>
      </x:c>
      <x:c r="C961" s="8" t="n">
        <x:v>33</x:v>
      </x:c>
      <x:c r="D961" s="9" t="n">
        <x:v>1989.9</x:v>
      </x:c>
      <x:c r="E961" s="9" t="n">
        <x:v>915.08</x:v>
      </x:c>
      <x:c r="F961" s="8" t="n">
        <x:f>C961*D961</x:f>
        <x:v>65666.7</x:v>
      </x:c>
      <x:c r="G961" s="8" t="n">
        <x:f>C961*E961</x:f>
        <x:v>30197.640000000003</x:v>
      </x:c>
      <x:c r="H961" s="8" t="n">
        <x:f>F961-G961</x:f>
        <x:v>35469.06</x:v>
      </x:c>
      <x:c r="I961" s="10" t="n">
        <x:f>H961/F961</x:f>
        <x:v>0.540137695361576</x:v>
      </x:c>
    </x:row>
    <x:row r="962" ht="22" customHeight="1">
      <x:c r="A962" s="11" t="str">
        <x:v>1859</x:v>
      </x:c>
      <x:c r="B962" s="8" t="str">
        <x:v>NT Washer &amp; Dryer 24in M2400 Blue</x:v>
      </x:c>
      <x:c r="C962" s="8" t="n">
        <x:v>19</x:v>
      </x:c>
      <x:c r="D962" s="9" t="n">
        <x:v>1818.9</x:v>
      </x:c>
      <x:c r="E962" s="9" t="n">
        <x:v>836.45</x:v>
      </x:c>
      <x:c r="F962" s="8" t="n">
        <x:f>C962*D962</x:f>
        <x:v>34559.1</x:v>
      </x:c>
      <x:c r="G962" s="8" t="n">
        <x:f>C962*E962</x:f>
        <x:v>15892.550000000001</x:v>
      </x:c>
      <x:c r="H962" s="8" t="n">
        <x:f>F962-G962</x:f>
        <x:v>18666.549999999996</x:v>
      </x:c>
      <x:c r="I962" s="10" t="n">
        <x:f>H962/F962</x:f>
        <x:v>0.5401341470119302</x:v>
      </x:c>
    </x:row>
    <x:row r="963" ht="22" customHeight="1">
      <x:c r="A963" s="11" t="str">
        <x:v>186</x:v>
      </x:c>
      <x:c r="B963" s="8" t="str">
        <x:v>SV 8xDVD E120 Silver</x:v>
      </x:c>
      <x:c r="C963" s="8" t="n">
        <x:v>120</x:v>
      </x:c>
      <x:c r="D963" s="9" t="n">
        <x:v>89.9</x:v>
      </x:c>
      <x:c r="E963" s="9" t="n">
        <x:v>45.83</x:v>
      </x:c>
      <x:c r="F963" s="8" t="n">
        <x:f>C963*D963</x:f>
        <x:v>10788</x:v>
      </x:c>
      <x:c r="G963" s="8" t="n">
        <x:f>C963*E963</x:f>
        <x:v>5499.599999999999</x:v>
      </x:c>
      <x:c r="H963" s="8" t="n">
        <x:f>F963-G963</x:f>
        <x:v>5288.400000000001</x:v>
      </x:c>
      <x:c r="I963" s="10" t="n">
        <x:f>H963/F963</x:f>
        <x:v>0.4902113459399333</x:v>
      </x:c>
    </x:row>
    <x:row r="964" ht="22" customHeight="1">
      <x:c r="A964" s="11" t="str">
        <x:v>1860</x:v>
      </x:c>
      <x:c r="B964" s="8" t="str">
        <x:v>NT Washer &amp; Dryer 21in E2100 Blue</x:v>
      </x:c>
      <x:c r="C964" s="8" t="n">
        <x:v>10</x:v>
      </x:c>
      <x:c r="D964" s="9" t="n">
        <x:v>1599.9</x:v>
      </x:c>
      <x:c r="E964" s="9" t="n">
        <x:v>815.68</x:v>
      </x:c>
      <x:c r="F964" s="8" t="n">
        <x:f>C964*D964</x:f>
        <x:v>15999</x:v>
      </x:c>
      <x:c r="G964" s="8" t="n">
        <x:f>C964*E964</x:f>
        <x:v>8156.799999999999</x:v>
      </x:c>
      <x:c r="H964" s="8" t="n">
        <x:f>F964-G964</x:f>
        <x:v>7842.200000000001</x:v>
      </x:c>
      <x:c r="I964" s="10" t="n">
        <x:f>H964/F964</x:f>
        <x:v>0.4901681355084693</x:v>
      </x:c>
    </x:row>
    <x:row r="965" ht="22" customHeight="1">
      <x:c r="A965" s="11" t="str">
        <x:v>1861</x:v>
      </x:c>
      <x:c r="B965" s="8" t="str">
        <x:v>NT Washer &amp; Dryer 15.5in E1550 Blue</x:v>
      </x:c>
      <x:c r="C965" s="8" t="n">
        <x:v>37</x:v>
      </x:c>
      <x:c r="D965" s="9" t="n">
        <x:v>999.9</x:v>
      </x:c>
      <x:c r="E965" s="9" t="n">
        <x:v>509.78</x:v>
      </x:c>
      <x:c r="F965" s="8" t="n">
        <x:f>C965*D965</x:f>
        <x:v>36996.299999999996</x:v>
      </x:c>
      <x:c r="G965" s="8" t="n">
        <x:f>C965*E965</x:f>
        <x:v>18861.86</x:v>
      </x:c>
      <x:c r="H965" s="8" t="n">
        <x:f>F965-G965</x:f>
        <x:v>18134.439999999995</x:v>
      </x:c>
      <x:c r="I965" s="10" t="n">
        <x:f>H965/F965</x:f>
        <x:v>0.49016901690169007</x:v>
      </x:c>
    </x:row>
    <x:row r="966" ht="22" customHeight="1">
      <x:c r="A966" s="11" t="str">
        <x:v>1862</x:v>
      </x:c>
      <x:c r="B966" s="8" t="str">
        <x:v>NT Washer &amp; Dryer 27in L2700 Green</x:v>
      </x:c>
      <x:c r="C966" s="8" t="n">
        <x:v>19</x:v>
      </x:c>
      <x:c r="D966" s="9" t="n">
        <x:v>2652.9</x:v>
      </x:c>
      <x:c r="E966" s="9" t="n">
        <x:v>878.96</x:v>
      </x:c>
      <x:c r="F966" s="8" t="n">
        <x:f>C966*D966</x:f>
        <x:v>50405.1</x:v>
      </x:c>
      <x:c r="G966" s="8" t="n">
        <x:f>C966*E966</x:f>
        <x:v>16700.24</x:v>
      </x:c>
      <x:c r="H966" s="8" t="n">
        <x:f>F966-G966</x:f>
        <x:v>33704.86</x:v>
      </x:c>
      <x:c r="I966" s="10" t="n">
        <x:f>H966/F966</x:f>
        <x:v>0.6686795582193072</x:v>
      </x:c>
    </x:row>
    <x:row r="967" ht="22" customHeight="1">
      <x:c r="A967" s="11" t="str">
        <x:v>1863</x:v>
      </x:c>
      <x:c r="B967" s="8" t="str">
        <x:v>NT Washer &amp; Dryer 25.5in M2550 Green</x:v>
      </x:c>
      <x:c r="C967" s="8" t="n">
        <x:v>16</x:v>
      </x:c>
      <x:c r="D967" s="9" t="n">
        <x:v>1989.9</x:v>
      </x:c>
      <x:c r="E967" s="9" t="n">
        <x:v>915.08</x:v>
      </x:c>
      <x:c r="F967" s="8" t="n">
        <x:f>C967*D967</x:f>
        <x:v>31838.4</x:v>
      </x:c>
      <x:c r="G967" s="8" t="n">
        <x:f>C967*E967</x:f>
        <x:v>14641.28</x:v>
      </x:c>
      <x:c r="H967" s="8" t="n">
        <x:f>F967-G967</x:f>
        <x:v>17197.120000000003</x:v>
      </x:c>
      <x:c r="I967" s="10" t="n">
        <x:f>H967/F967</x:f>
        <x:v>0.540137695361576</x:v>
      </x:c>
    </x:row>
    <x:row r="968" ht="22" customHeight="1">
      <x:c r="A968" s="11" t="str">
        <x:v>1864</x:v>
      </x:c>
      <x:c r="B968" s="8" t="str">
        <x:v>NT Washer &amp; Dryer 24in M2400 Green</x:v>
      </x:c>
      <x:c r="C968" s="8" t="n">
        <x:v>17</x:v>
      </x:c>
      <x:c r="D968" s="9" t="n">
        <x:v>1818.9</x:v>
      </x:c>
      <x:c r="E968" s="9" t="n">
        <x:v>836.45</x:v>
      </x:c>
      <x:c r="F968" s="8" t="n">
        <x:f>C968*D968</x:f>
        <x:v>30921.300000000003</x:v>
      </x:c>
      <x:c r="G968" s="8" t="n">
        <x:f>C968*E968</x:f>
        <x:v>14219.650000000001</x:v>
      </x:c>
      <x:c r="H968" s="8" t="n">
        <x:f>F968-G968</x:f>
        <x:v>16701.65</x:v>
      </x:c>
      <x:c r="I968" s="10" t="n">
        <x:f>H968/F968</x:f>
        <x:v>0.5401341470119303</x:v>
      </x:c>
    </x:row>
    <x:row r="969" ht="22" customHeight="1">
      <x:c r="A969" s="11" t="str">
        <x:v>1865</x:v>
      </x:c>
      <x:c r="B969" s="8" t="str">
        <x:v>NT Washer &amp; Dryer 21in E2100 Green</x:v>
      </x:c>
      <x:c r="C969" s="8" t="n">
        <x:v>15</x:v>
      </x:c>
      <x:c r="D969" s="9" t="n">
        <x:v>1599.9</x:v>
      </x:c>
      <x:c r="E969" s="9" t="n">
        <x:v>815.68</x:v>
      </x:c>
      <x:c r="F969" s="8" t="n">
        <x:f>C969*D969</x:f>
        <x:v>23998.5</x:v>
      </x:c>
      <x:c r="G969" s="8" t="n">
        <x:f>C969*E969</x:f>
        <x:v>12235.199999999999</x:v>
      </x:c>
      <x:c r="H969" s="8" t="n">
        <x:f>F969-G969</x:f>
        <x:v>11763.300000000001</x:v>
      </x:c>
      <x:c r="I969" s="10" t="n">
        <x:f>H969/F969</x:f>
        <x:v>0.4901681355084693</x:v>
      </x:c>
    </x:row>
    <x:row r="970" ht="22" customHeight="1">
      <x:c r="A970" s="11" t="str">
        <x:v>1866</x:v>
      </x:c>
      <x:c r="B970" s="8" t="str">
        <x:v>NT Washer &amp; Dryer 15.5in E1550 Green</x:v>
      </x:c>
      <x:c r="C970" s="8" t="n">
        <x:v>9</x:v>
      </x:c>
      <x:c r="D970" s="9" t="n">
        <x:v>999.9</x:v>
      </x:c>
      <x:c r="E970" s="9" t="n">
        <x:v>509.78</x:v>
      </x:c>
      <x:c r="F970" s="8" t="n">
        <x:f>C970*D970</x:f>
        <x:v>8999.1</x:v>
      </x:c>
      <x:c r="G970" s="8" t="n">
        <x:f>C970*E970</x:f>
        <x:v>4588.0199999999995</x:v>
      </x:c>
      <x:c r="H970" s="8" t="n">
        <x:f>F970-G970</x:f>
        <x:v>4411.080000000001</x:v>
      </x:c>
      <x:c r="I970" s="10" t="n">
        <x:f>H970/F970</x:f>
        <x:v>0.49016901690169024</x:v>
      </x:c>
    </x:row>
    <x:row r="971" ht="22" customHeight="1">
      <x:c r="A971" s="11" t="str">
        <x:v>1867</x:v>
      </x:c>
      <x:c r="B971" s="8" t="str">
        <x:v>Contoso Washer &amp; Dryer 27in L270 White</x:v>
      </x:c>
      <x:c r="C971" s="8" t="n">
        <x:v>10</x:v>
      </x:c>
      <x:c r="D971" s="9" t="n">
        <x:v>2652</x:v>
      </x:c>
      <x:c r="E971" s="9" t="n">
        <x:v>878.66</x:v>
      </x:c>
      <x:c r="F971" s="8" t="n">
        <x:f>C971*D971</x:f>
        <x:v>26520</x:v>
      </x:c>
      <x:c r="G971" s="8" t="n">
        <x:f>C971*E971</x:f>
        <x:v>8786.6</x:v>
      </x:c>
      <x:c r="H971" s="8" t="n">
        <x:f>F971-G971</x:f>
        <x:v>17733.4</x:v>
      </x:c>
      <x:c r="I971" s="10" t="n">
        <x:f>H971/F971</x:f>
        <x:v>0.6686802413273002</x:v>
      </x:c>
    </x:row>
    <x:row r="972" ht="22" customHeight="1">
      <x:c r="A972" s="11" t="str">
        <x:v>1868</x:v>
      </x:c>
      <x:c r="B972" s="8" t="str">
        <x:v>Contoso Washer &amp; Dryer 25.5in M255 White</x:v>
      </x:c>
      <x:c r="C972" s="8" t="n">
        <x:v>11</x:v>
      </x:c>
      <x:c r="D972" s="9" t="n">
        <x:v>1989</x:v>
      </x:c>
      <x:c r="E972" s="9" t="n">
        <x:v>914.67</x:v>
      </x:c>
      <x:c r="F972" s="8" t="n">
        <x:f>C972*D972</x:f>
        <x:v>21879</x:v>
      </x:c>
      <x:c r="G972" s="8" t="n">
        <x:f>C972*E972</x:f>
        <x:v>10061.369999999999</x:v>
      </x:c>
      <x:c r="H972" s="8" t="n">
        <x:f>F972-G972</x:f>
        <x:v>11817.630000000001</x:v>
      </x:c>
      <x:c r="I972" s="10" t="n">
        <x:f>H972/F972</x:f>
        <x:v>0.5401357466063349</x:v>
      </x:c>
    </x:row>
    <x:row r="973" ht="22" customHeight="1">
      <x:c r="A973" s="11" t="str">
        <x:v>1869</x:v>
      </x:c>
      <x:c r="B973" s="8" t="str">
        <x:v>Contoso Washer &amp; Dryer 24in M240 White</x:v>
      </x:c>
      <x:c r="C973" s="8" t="n">
        <x:v>4</x:v>
      </x:c>
      <x:c r="D973" s="9" t="n">
        <x:v>1818</x:v>
      </x:c>
      <x:c r="E973" s="9" t="n">
        <x:v>836.03</x:v>
      </x:c>
      <x:c r="F973" s="8" t="n">
        <x:f>C973*D973</x:f>
        <x:v>7272</x:v>
      </x:c>
      <x:c r="G973" s="8" t="n">
        <x:f>C973*E973</x:f>
        <x:v>3344.12</x:v>
      </x:c>
      <x:c r="H973" s="8" t="n">
        <x:f>F973-G973</x:f>
        <x:v>3927.88</x:v>
      </x:c>
      <x:c r="I973" s="10" t="n">
        <x:f>H973/F973</x:f>
        <x:v>0.5401375137513752</x:v>
      </x:c>
    </x:row>
    <x:row r="974" ht="22" customHeight="1">
      <x:c r="A974" s="11" t="str">
        <x:v>187</x:v>
      </x:c>
      <x:c r="B974" s="8" t="str">
        <x:v>SV 22xDVD M600 Silver</x:v>
      </x:c>
      <x:c r="C974" s="8" t="n">
        <x:v>136</x:v>
      </x:c>
      <x:c r="D974" s="9" t="n">
        <x:v>129.9</x:v>
      </x:c>
      <x:c r="E974" s="9" t="n">
        <x:v>43.04</x:v>
      </x:c>
      <x:c r="F974" s="8" t="n">
        <x:f>C974*D974</x:f>
        <x:v>17666.4</x:v>
      </x:c>
      <x:c r="G974" s="8" t="n">
        <x:f>C974*E974</x:f>
        <x:v>5853.44</x:v>
      </x:c>
      <x:c r="H974" s="8" t="n">
        <x:f>F974-G974</x:f>
        <x:v>11812.960000000003</x:v>
      </x:c>
      <x:c r="I974" s="10" t="n">
        <x:f>H974/F974</x:f>
        <x:v>0.6686682063125482</x:v>
      </x:c>
    </x:row>
    <x:row r="975" ht="22" customHeight="1">
      <x:c r="A975" s="11" t="str">
        <x:v>1870</x:v>
      </x:c>
      <x:c r="B975" s="8" t="str">
        <x:v>Contoso Washer &amp; Dryer 21in E210 White</x:v>
      </x:c>
      <x:c r="C975" s="8" t="n">
        <x:v>31</x:v>
      </x:c>
      <x:c r="D975" s="9" t="n">
        <x:v>1599</x:v>
      </x:c>
      <x:c r="E975" s="9" t="n">
        <x:v>815.22</x:v>
      </x:c>
      <x:c r="F975" s="8" t="n">
        <x:f>C975*D975</x:f>
        <x:v>49569</x:v>
      </x:c>
      <x:c r="G975" s="8" t="n">
        <x:f>C975*E975</x:f>
        <x:v>25271.82</x:v>
      </x:c>
      <x:c r="H975" s="8" t="n">
        <x:f>F975-G975</x:f>
        <x:v>24297.18</x:v>
      </x:c>
      <x:c r="I975" s="10" t="n">
        <x:f>H975/F975</x:f>
        <x:v>0.4901688555347092</x:v>
      </x:c>
    </x:row>
    <x:row r="976" ht="22" customHeight="1">
      <x:c r="A976" s="11" t="str">
        <x:v>1871</x:v>
      </x:c>
      <x:c r="B976" s="8" t="str">
        <x:v>Contoso Washer &amp; Dryer 15.5in E155 White</x:v>
      </x:c>
      <x:c r="C976" s="8" t="n">
        <x:v>17</x:v>
      </x:c>
      <x:c r="D976" s="9" t="n">
        <x:v>999</x:v>
      </x:c>
      <x:c r="E976" s="9" t="n">
        <x:v>509.32</x:v>
      </x:c>
      <x:c r="F976" s="8" t="n">
        <x:f>C976*D976</x:f>
        <x:v>16983</x:v>
      </x:c>
      <x:c r="G976" s="8" t="n">
        <x:f>C976*E976</x:f>
        <x:v>8658.44</x:v>
      </x:c>
      <x:c r="H976" s="8" t="n">
        <x:f>F976-G976</x:f>
        <x:v>8324.56</x:v>
      </x:c>
      <x:c r="I976" s="10" t="n">
        <x:f>H976/F976</x:f>
        <x:v>0.4901701701701701</x:v>
      </x:c>
    </x:row>
    <x:row r="977" ht="22" customHeight="1">
      <x:c r="A977" s="11" t="str">
        <x:v>1872</x:v>
      </x:c>
      <x:c r="B977" s="8" t="str">
        <x:v>Contoso Washer &amp; Dryer 27in L270 Silver</x:v>
      </x:c>
      <x:c r="C977" s="8" t="n">
        <x:v>10</x:v>
      </x:c>
      <x:c r="D977" s="9" t="n">
        <x:v>2652</x:v>
      </x:c>
      <x:c r="E977" s="9" t="n">
        <x:v>878.66</x:v>
      </x:c>
      <x:c r="F977" s="8" t="n">
        <x:f>C977*D977</x:f>
        <x:v>26520</x:v>
      </x:c>
      <x:c r="G977" s="8" t="n">
        <x:f>C977*E977</x:f>
        <x:v>8786.6</x:v>
      </x:c>
      <x:c r="H977" s="8" t="n">
        <x:f>F977-G977</x:f>
        <x:v>17733.4</x:v>
      </x:c>
      <x:c r="I977" s="10" t="n">
        <x:f>H977/F977</x:f>
        <x:v>0.6686802413273002</x:v>
      </x:c>
    </x:row>
    <x:row r="978" ht="22" customHeight="1">
      <x:c r="A978" s="11" t="str">
        <x:v>1873</x:v>
      </x:c>
      <x:c r="B978" s="8" t="str">
        <x:v>Contoso Washer &amp; Dryer 25.5in M255 Silver</x:v>
      </x:c>
      <x:c r="C978" s="8" t="n">
        <x:v>20</x:v>
      </x:c>
      <x:c r="D978" s="9" t="n">
        <x:v>1989</x:v>
      </x:c>
      <x:c r="E978" s="9" t="n">
        <x:v>914.67</x:v>
      </x:c>
      <x:c r="F978" s="8" t="n">
        <x:f>C978*D978</x:f>
        <x:v>39780</x:v>
      </x:c>
      <x:c r="G978" s="8" t="n">
        <x:f>C978*E978</x:f>
        <x:v>18293.399999999998</x:v>
      </x:c>
      <x:c r="H978" s="8" t="n">
        <x:f>F978-G978</x:f>
        <x:v>21486.600000000002</x:v>
      </x:c>
      <x:c r="I978" s="10" t="n">
        <x:f>H978/F978</x:f>
        <x:v>0.5401357466063349</x:v>
      </x:c>
    </x:row>
    <x:row r="979" ht="22" customHeight="1">
      <x:c r="A979" s="11" t="str">
        <x:v>1874</x:v>
      </x:c>
      <x:c r="B979" s="8" t="str">
        <x:v>Contoso Washer &amp; Dryer 24in M240 Silver</x:v>
      </x:c>
      <x:c r="C979" s="8" t="n">
        <x:v>32</x:v>
      </x:c>
      <x:c r="D979" s="9" t="n">
        <x:v>1818</x:v>
      </x:c>
      <x:c r="E979" s="9" t="n">
        <x:v>836.03</x:v>
      </x:c>
      <x:c r="F979" s="8" t="n">
        <x:f>C979*D979</x:f>
        <x:v>58176</x:v>
      </x:c>
      <x:c r="G979" s="8" t="n">
        <x:f>C979*E979</x:f>
        <x:v>26752.96</x:v>
      </x:c>
      <x:c r="H979" s="8" t="n">
        <x:f>F979-G979</x:f>
        <x:v>31423.04</x:v>
      </x:c>
      <x:c r="I979" s="10" t="n">
        <x:f>H979/F979</x:f>
        <x:v>0.5401375137513752</x:v>
      </x:c>
    </x:row>
    <x:row r="980" ht="22" customHeight="1">
      <x:c r="A980" s="11" t="str">
        <x:v>1875</x:v>
      </x:c>
      <x:c r="B980" s="8" t="str">
        <x:v>Contoso Washer &amp; Dryer 21in E210 Silver</x:v>
      </x:c>
      <x:c r="C980" s="8" t="n">
        <x:v>13</x:v>
      </x:c>
      <x:c r="D980" s="9" t="n">
        <x:v>1599</x:v>
      </x:c>
      <x:c r="E980" s="9" t="n">
        <x:v>815.22</x:v>
      </x:c>
      <x:c r="F980" s="8" t="n">
        <x:f>C980*D980</x:f>
        <x:v>20787</x:v>
      </x:c>
      <x:c r="G980" s="8" t="n">
        <x:f>C980*E980</x:f>
        <x:v>10597.86</x:v>
      </x:c>
      <x:c r="H980" s="8" t="n">
        <x:f>F980-G980</x:f>
        <x:v>10189.14</x:v>
      </x:c>
      <x:c r="I980" s="10" t="n">
        <x:f>H980/F980</x:f>
        <x:v>0.4901688555347092</x:v>
      </x:c>
    </x:row>
    <x:row r="981" ht="22" customHeight="1">
      <x:c r="A981" s="11" t="str">
        <x:v>1876</x:v>
      </x:c>
      <x:c r="B981" s="8" t="str">
        <x:v>Contoso Washer &amp; Dryer 15.5in E155 Silver</x:v>
      </x:c>
      <x:c r="C981" s="8" t="n">
        <x:v>17</x:v>
      </x:c>
      <x:c r="D981" s="9" t="n">
        <x:v>999</x:v>
      </x:c>
      <x:c r="E981" s="9" t="n">
        <x:v>509.32</x:v>
      </x:c>
      <x:c r="F981" s="8" t="n">
        <x:f>C981*D981</x:f>
        <x:v>16983</x:v>
      </x:c>
      <x:c r="G981" s="8" t="n">
        <x:f>C981*E981</x:f>
        <x:v>8658.44</x:v>
      </x:c>
      <x:c r="H981" s="8" t="n">
        <x:f>F981-G981</x:f>
        <x:v>8324.56</x:v>
      </x:c>
      <x:c r="I981" s="10" t="n">
        <x:f>H981/F981</x:f>
        <x:v>0.4901701701701701</x:v>
      </x:c>
    </x:row>
    <x:row r="982" ht="22" customHeight="1">
      <x:c r="A982" s="11" t="str">
        <x:v>1877</x:v>
      </x:c>
      <x:c r="B982" s="8" t="str">
        <x:v>Contoso Washer &amp; Dryer 27in L270 Blue</x:v>
      </x:c>
      <x:c r="C982" s="8" t="n">
        <x:v>18</x:v>
      </x:c>
      <x:c r="D982" s="9" t="n">
        <x:v>2652</x:v>
      </x:c>
      <x:c r="E982" s="9" t="n">
        <x:v>878.66</x:v>
      </x:c>
      <x:c r="F982" s="8" t="n">
        <x:f>C982*D982</x:f>
        <x:v>47736</x:v>
      </x:c>
      <x:c r="G982" s="8" t="n">
        <x:f>C982*E982</x:f>
        <x:v>15815.88</x:v>
      </x:c>
      <x:c r="H982" s="8" t="n">
        <x:f>F982-G982</x:f>
        <x:v>31920.120000000003</x:v>
      </x:c>
      <x:c r="I982" s="10" t="n">
        <x:f>H982/F982</x:f>
        <x:v>0.6686802413273002</x:v>
      </x:c>
    </x:row>
    <x:row r="983" ht="22" customHeight="1">
      <x:c r="A983" s="11" t="str">
        <x:v>1878</x:v>
      </x:c>
      <x:c r="B983" s="8" t="str">
        <x:v>Contoso Washer &amp; Dryer 25.5in M255 Blue</x:v>
      </x:c>
      <x:c r="C983" s="8" t="n">
        <x:v>13</x:v>
      </x:c>
      <x:c r="D983" s="9" t="n">
        <x:v>1989</x:v>
      </x:c>
      <x:c r="E983" s="9" t="n">
        <x:v>914.67</x:v>
      </x:c>
      <x:c r="F983" s="8" t="n">
        <x:f>C983*D983</x:f>
        <x:v>25857</x:v>
      </x:c>
      <x:c r="G983" s="8" t="n">
        <x:f>C983*E983</x:f>
        <x:v>11890.71</x:v>
      </x:c>
      <x:c r="H983" s="8" t="n">
        <x:f>F983-G983</x:f>
        <x:v>13966.29</x:v>
      </x:c>
      <x:c r="I983" s="10" t="n">
        <x:f>H983/F983</x:f>
        <x:v>0.5401357466063349</x:v>
      </x:c>
    </x:row>
    <x:row r="984" ht="22" customHeight="1">
      <x:c r="A984" s="11" t="str">
        <x:v>1879</x:v>
      </x:c>
      <x:c r="B984" s="8" t="str">
        <x:v>Contoso Washer &amp; Dryer 24in M240 Blue</x:v>
      </x:c>
      <x:c r="C984" s="8" t="n">
        <x:v>8</x:v>
      </x:c>
      <x:c r="D984" s="9" t="n">
        <x:v>1818</x:v>
      </x:c>
      <x:c r="E984" s="9" t="n">
        <x:v>836.03</x:v>
      </x:c>
      <x:c r="F984" s="8" t="n">
        <x:f>C984*D984</x:f>
        <x:v>14544</x:v>
      </x:c>
      <x:c r="G984" s="8" t="n">
        <x:f>C984*E984</x:f>
        <x:v>6688.24</x:v>
      </x:c>
      <x:c r="H984" s="8" t="n">
        <x:f>F984-G984</x:f>
        <x:v>7855.76</x:v>
      </x:c>
      <x:c r="I984" s="10" t="n">
        <x:f>H984/F984</x:f>
        <x:v>0.5401375137513752</x:v>
      </x:c>
    </x:row>
    <x:row r="985" ht="22" customHeight="1">
      <x:c r="A985" s="11" t="str">
        <x:v>188</x:v>
      </x:c>
      <x:c r="B985" s="8" t="str">
        <x:v>SV 16xDVD M350 Silver</x:v>
      </x:c>
      <x:c r="C985" s="8" t="n">
        <x:v>122</x:v>
      </x:c>
      <x:c r="D985" s="9" t="n">
        <x:v>116.9</x:v>
      </x:c>
      <x:c r="E985" s="9" t="n">
        <x:v>53.76</x:v>
      </x:c>
      <x:c r="F985" s="8" t="n">
        <x:f>C985*D985</x:f>
        <x:v>14261.800000000001</x:v>
      </x:c>
      <x:c r="G985" s="8" t="n">
        <x:f>C985*E985</x:f>
        <x:v>6558.719999999999</x:v>
      </x:c>
      <x:c r="H985" s="8" t="n">
        <x:f>F985-G985</x:f>
        <x:v>7703.080000000002</x:v>
      </x:c>
      <x:c r="I985" s="10" t="n">
        <x:f>H985/F985</x:f>
        <x:v>0.540119760479042</x:v>
      </x:c>
    </x:row>
    <x:row r="986" ht="22" customHeight="1">
      <x:c r="A986" s="11" t="str">
        <x:v>1880</x:v>
      </x:c>
      <x:c r="B986" s="8" t="str">
        <x:v>Contoso Washer &amp; Dryer 21in E210 Blue</x:v>
      </x:c>
      <x:c r="C986" s="8" t="n">
        <x:v>20</x:v>
      </x:c>
      <x:c r="D986" s="9" t="n">
        <x:v>1599</x:v>
      </x:c>
      <x:c r="E986" s="9" t="n">
        <x:v>815.22</x:v>
      </x:c>
      <x:c r="F986" s="8" t="n">
        <x:f>C986*D986</x:f>
        <x:v>31980</x:v>
      </x:c>
      <x:c r="G986" s="8" t="n">
        <x:f>C986*E986</x:f>
        <x:v>16304.400000000001</x:v>
      </x:c>
      <x:c r="H986" s="8" t="n">
        <x:f>F986-G986</x:f>
        <x:v>15675.599999999999</x:v>
      </x:c>
      <x:c r="I986" s="10" t="n">
        <x:f>H986/F986</x:f>
        <x:v>0.4901688555347091</x:v>
      </x:c>
    </x:row>
    <x:row r="987" ht="22" customHeight="1">
      <x:c r="A987" s="11" t="str">
        <x:v>1881</x:v>
      </x:c>
      <x:c r="B987" s="8" t="str">
        <x:v>Contoso Washer &amp; Dryer 15.5in E155 Blue</x:v>
      </x:c>
      <x:c r="C987" s="8" t="n">
        <x:v>10</x:v>
      </x:c>
      <x:c r="D987" s="9" t="n">
        <x:v>999</x:v>
      </x:c>
      <x:c r="E987" s="9" t="n">
        <x:v>509.32</x:v>
      </x:c>
      <x:c r="F987" s="8" t="n">
        <x:f>C987*D987</x:f>
        <x:v>9990</x:v>
      </x:c>
      <x:c r="G987" s="8" t="n">
        <x:f>C987*E987</x:f>
        <x:v>5093.2</x:v>
      </x:c>
      <x:c r="H987" s="8" t="n">
        <x:f>F987-G987</x:f>
        <x:v>4896.8</x:v>
      </x:c>
      <x:c r="I987" s="10" t="n">
        <x:f>H987/F987</x:f>
        <x:v>0.49017017017017017</x:v>
      </x:c>
    </x:row>
    <x:row r="988" ht="22" customHeight="1">
      <x:c r="A988" s="11" t="str">
        <x:v>1882</x:v>
      </x:c>
      <x:c r="B988" s="8" t="str">
        <x:v>Contoso Washer &amp; Dryer 27in L270 Green</x:v>
      </x:c>
      <x:c r="C988" s="8" t="n">
        <x:v>14</x:v>
      </x:c>
      <x:c r="D988" s="9" t="n">
        <x:v>2652</x:v>
      </x:c>
      <x:c r="E988" s="9" t="n">
        <x:v>878.66</x:v>
      </x:c>
      <x:c r="F988" s="8" t="n">
        <x:f>C988*D988</x:f>
        <x:v>37128</x:v>
      </x:c>
      <x:c r="G988" s="8" t="n">
        <x:f>C988*E988</x:f>
        <x:v>12301.24</x:v>
      </x:c>
      <x:c r="H988" s="8" t="n">
        <x:f>F988-G988</x:f>
        <x:v>24826.760000000002</x:v>
      </x:c>
      <x:c r="I988" s="10" t="n">
        <x:f>H988/F988</x:f>
        <x:v>0.6686802413273002</x:v>
      </x:c>
    </x:row>
    <x:row r="989" ht="22" customHeight="1">
      <x:c r="A989" s="11" t="str">
        <x:v>1883</x:v>
      </x:c>
      <x:c r="B989" s="8" t="str">
        <x:v>Contoso Washer &amp; Dryer 25.5in M255 Green</x:v>
      </x:c>
      <x:c r="C989" s="8" t="n">
        <x:v>22</x:v>
      </x:c>
      <x:c r="D989" s="9" t="n">
        <x:v>1989</x:v>
      </x:c>
      <x:c r="E989" s="9" t="n">
        <x:v>914.67</x:v>
      </x:c>
      <x:c r="F989" s="8" t="n">
        <x:f>C989*D989</x:f>
        <x:v>43758</x:v>
      </x:c>
      <x:c r="G989" s="8" t="n">
        <x:f>C989*E989</x:f>
        <x:v>20122.739999999998</x:v>
      </x:c>
      <x:c r="H989" s="8" t="n">
        <x:f>F989-G989</x:f>
        <x:v>23635.260000000002</x:v>
      </x:c>
      <x:c r="I989" s="10" t="n">
        <x:f>H989/F989</x:f>
        <x:v>0.5401357466063349</x:v>
      </x:c>
    </x:row>
    <x:row r="990" ht="22" customHeight="1">
      <x:c r="A990" s="11" t="str">
        <x:v>1884</x:v>
      </x:c>
      <x:c r="B990" s="8" t="str">
        <x:v>Contoso Washer &amp; Dryer 24in M240 Green</x:v>
      </x:c>
      <x:c r="C990" s="8" t="n">
        <x:v>21</x:v>
      </x:c>
      <x:c r="D990" s="9" t="n">
        <x:v>1818</x:v>
      </x:c>
      <x:c r="E990" s="9" t="n">
        <x:v>836.03</x:v>
      </x:c>
      <x:c r="F990" s="8" t="n">
        <x:f>C990*D990</x:f>
        <x:v>38178</x:v>
      </x:c>
      <x:c r="G990" s="8" t="n">
        <x:f>C990*E990</x:f>
        <x:v>17556.63</x:v>
      </x:c>
      <x:c r="H990" s="8" t="n">
        <x:f>F990-G990</x:f>
        <x:v>20621.37</x:v>
      </x:c>
      <x:c r="I990" s="10" t="n">
        <x:f>H990/F990</x:f>
        <x:v>0.5401375137513751</x:v>
      </x:c>
    </x:row>
    <x:row r="991" ht="22" customHeight="1">
      <x:c r="A991" s="11" t="str">
        <x:v>1886</x:v>
      </x:c>
      <x:c r="B991" s="8" t="str">
        <x:v>Contoso Washer &amp; Dryer 15.5in E155 Green</x:v>
      </x:c>
      <x:c r="C991" s="8" t="n">
        <x:v>12</x:v>
      </x:c>
      <x:c r="D991" s="9" t="n">
        <x:v>999</x:v>
      </x:c>
      <x:c r="E991" s="9" t="n">
        <x:v>509.32</x:v>
      </x:c>
      <x:c r="F991" s="8" t="n">
        <x:f>C991*D991</x:f>
        <x:v>11988</x:v>
      </x:c>
      <x:c r="G991" s="8" t="n">
        <x:f>C991*E991</x:f>
        <x:v>6111.84</x:v>
      </x:c>
      <x:c r="H991" s="8" t="n">
        <x:f>F991-G991</x:f>
        <x:v>5876.16</x:v>
      </x:c>
      <x:c r="I991" s="10" t="n">
        <x:f>H991/F991</x:f>
        <x:v>0.49017017017017017</x:v>
      </x:c>
    </x:row>
    <x:row r="992" ht="22" customHeight="1">
      <x:c r="A992" s="11" t="str">
        <x:v>1887</x:v>
      </x:c>
      <x:c r="B992" s="8" t="str">
        <x:v>Contoso Washer &amp; Dryer 27in L270 Red</x:v>
      </x:c>
      <x:c r="C992" s="8" t="n">
        <x:v>17</x:v>
      </x:c>
      <x:c r="D992" s="9" t="n">
        <x:v>2652</x:v>
      </x:c>
      <x:c r="E992" s="9" t="n">
        <x:v>878.66</x:v>
      </x:c>
      <x:c r="F992" s="8" t="n">
        <x:f>C992*D992</x:f>
        <x:v>45084</x:v>
      </x:c>
      <x:c r="G992" s="8" t="n">
        <x:f>C992*E992</x:f>
        <x:v>14937.22</x:v>
      </x:c>
      <x:c r="H992" s="8" t="n">
        <x:f>F992-G992</x:f>
        <x:v>30146.78</x:v>
      </x:c>
      <x:c r="I992" s="10" t="n">
        <x:f>H992/F992</x:f>
        <x:v>0.6686802413273001</x:v>
      </x:c>
    </x:row>
    <x:row r="993" ht="22" customHeight="1">
      <x:c r="A993" s="11" t="str">
        <x:v>1888</x:v>
      </x:c>
      <x:c r="B993" s="8" t="str">
        <x:v>Contoso Washer &amp; Dryer 25.5in M255 Red</x:v>
      </x:c>
      <x:c r="C993" s="8" t="n">
        <x:v>20</x:v>
      </x:c>
      <x:c r="D993" s="9" t="n">
        <x:v>1989</x:v>
      </x:c>
      <x:c r="E993" s="9" t="n">
        <x:v>914.67</x:v>
      </x:c>
      <x:c r="F993" s="8" t="n">
        <x:f>C993*D993</x:f>
        <x:v>39780</x:v>
      </x:c>
      <x:c r="G993" s="8" t="n">
        <x:f>C993*E993</x:f>
        <x:v>18293.399999999998</x:v>
      </x:c>
      <x:c r="H993" s="8" t="n">
        <x:f>F993-G993</x:f>
        <x:v>21486.600000000002</x:v>
      </x:c>
      <x:c r="I993" s="10" t="n">
        <x:f>H993/F993</x:f>
        <x:v>0.5401357466063349</x:v>
      </x:c>
    </x:row>
    <x:row r="994" ht="22" customHeight="1">
      <x:c r="A994" s="11" t="str">
        <x:v>1889</x:v>
      </x:c>
      <x:c r="B994" s="8" t="str">
        <x:v>Contoso Washer &amp; Dryer 24in M240 Red</x:v>
      </x:c>
      <x:c r="C994" s="8" t="n">
        <x:v>10</x:v>
      </x:c>
      <x:c r="D994" s="9" t="n">
        <x:v>1818</x:v>
      </x:c>
      <x:c r="E994" s="9" t="n">
        <x:v>836.03</x:v>
      </x:c>
      <x:c r="F994" s="8" t="n">
        <x:f>C994*D994</x:f>
        <x:v>18180</x:v>
      </x:c>
      <x:c r="G994" s="8" t="n">
        <x:f>C994*E994</x:f>
        <x:v>8360.3</x:v>
      </x:c>
      <x:c r="H994" s="8" t="n">
        <x:f>F994-G994</x:f>
        <x:v>9819.7</x:v>
      </x:c>
      <x:c r="I994" s="10" t="n">
        <x:f>H994/F994</x:f>
        <x:v>0.5401375137513752</x:v>
      </x:c>
    </x:row>
    <x:row r="995" ht="22" customHeight="1">
      <x:c r="A995" s="11" t="str">
        <x:v>189</x:v>
      </x:c>
      <x:c r="B995" s="8" t="str">
        <x:v>SV 16xDVD M360 Silver</x:v>
      </x:c>
      <x:c r="C995" s="8" t="n">
        <x:v>125</x:v>
      </x:c>
      <x:c r="D995" s="9" t="n">
        <x:v>126.9</x:v>
      </x:c>
      <x:c r="E995" s="9" t="n">
        <x:v>58.36</x:v>
      </x:c>
      <x:c r="F995" s="8" t="n">
        <x:f>C995*D995</x:f>
        <x:v>15862.5</x:v>
      </x:c>
      <x:c r="G995" s="8" t="n">
        <x:f>C995*E995</x:f>
        <x:v>7295</x:v>
      </x:c>
      <x:c r="H995" s="8" t="n">
        <x:f>F995-G995</x:f>
        <x:v>8567.5</x:v>
      </x:c>
      <x:c r="I995" s="10" t="n">
        <x:f>H995/F995</x:f>
        <x:v>0.5401103230890465</x:v>
      </x:c>
    </x:row>
    <x:row r="996" ht="22" customHeight="1">
      <x:c r="A996" s="11" t="str">
        <x:v>1890</x:v>
      </x:c>
      <x:c r="B996" s="8" t="str">
        <x:v>Contoso Washer &amp; Dryer 21in E210 Red</x:v>
      </x:c>
      <x:c r="C996" s="8" t="n">
        <x:v>17</x:v>
      </x:c>
      <x:c r="D996" s="9" t="n">
        <x:v>1599</x:v>
      </x:c>
      <x:c r="E996" s="9" t="n">
        <x:v>815.22</x:v>
      </x:c>
      <x:c r="F996" s="8" t="n">
        <x:f>C996*D996</x:f>
        <x:v>27183</x:v>
      </x:c>
      <x:c r="G996" s="8" t="n">
        <x:f>C996*E996</x:f>
        <x:v>13858.74</x:v>
      </x:c>
      <x:c r="H996" s="8" t="n">
        <x:f>F996-G996</x:f>
        <x:v>13324.26</x:v>
      </x:c>
      <x:c r="I996" s="10" t="n">
        <x:f>H996/F996</x:f>
        <x:v>0.4901688555347092</x:v>
      </x:c>
    </x:row>
    <x:row r="997" ht="22" customHeight="1">
      <x:c r="A997" s="11" t="str">
        <x:v>1891</x:v>
      </x:c>
      <x:c r="B997" s="8" t="str">
        <x:v>Contoso Washer &amp; Dryer 15.5in E155 Red</x:v>
      </x:c>
      <x:c r="C997" s="8" t="n">
        <x:v>12</x:v>
      </x:c>
      <x:c r="D997" s="9" t="n">
        <x:v>999</x:v>
      </x:c>
      <x:c r="E997" s="9" t="n">
        <x:v>509.32</x:v>
      </x:c>
      <x:c r="F997" s="8" t="n">
        <x:f>C997*D997</x:f>
        <x:v>11988</x:v>
      </x:c>
      <x:c r="G997" s="8" t="n">
        <x:f>C997*E997</x:f>
        <x:v>6111.84</x:v>
      </x:c>
      <x:c r="H997" s="8" t="n">
        <x:f>F997-G997</x:f>
        <x:v>5876.16</x:v>
      </x:c>
      <x:c r="I997" s="10" t="n">
        <x:f>H997/F997</x:f>
        <x:v>0.49017017017017017</x:v>
      </x:c>
    </x:row>
    <x:row r="998" ht="22" customHeight="1">
      <x:c r="A998" s="11" t="str">
        <x:v>1892</x:v>
      </x:c>
      <x:c r="B998" s="8" t="str">
        <x:v>Contoso Washer &amp; Dryer 27in L270 Pink</x:v>
      </x:c>
      <x:c r="C998" s="8" t="n">
        <x:v>16</x:v>
      </x:c>
      <x:c r="D998" s="9" t="n">
        <x:v>2652</x:v>
      </x:c>
      <x:c r="E998" s="9" t="n">
        <x:v>878.66</x:v>
      </x:c>
      <x:c r="F998" s="8" t="n">
        <x:f>C998*D998</x:f>
        <x:v>42432</x:v>
      </x:c>
      <x:c r="G998" s="8" t="n">
        <x:f>C998*E998</x:f>
        <x:v>14058.56</x:v>
      </x:c>
      <x:c r="H998" s="8" t="n">
        <x:f>F998-G998</x:f>
        <x:v>28373.440000000002</x:v>
      </x:c>
      <x:c r="I998" s="10" t="n">
        <x:f>H998/F998</x:f>
        <x:v>0.6686802413273002</x:v>
      </x:c>
    </x:row>
    <x:row r="999" ht="22" customHeight="1">
      <x:c r="A999" s="11" t="str">
        <x:v>1893</x:v>
      </x:c>
      <x:c r="B999" s="8" t="str">
        <x:v>Contoso Washer &amp; Dryer 25.5in M255 Pink</x:v>
      </x:c>
      <x:c r="C999" s="8" t="n">
        <x:v>7</x:v>
      </x:c>
      <x:c r="D999" s="9" t="n">
        <x:v>1989</x:v>
      </x:c>
      <x:c r="E999" s="9" t="n">
        <x:v>914.67</x:v>
      </x:c>
      <x:c r="F999" s="8" t="n">
        <x:f>C999*D999</x:f>
        <x:v>13923</x:v>
      </x:c>
      <x:c r="G999" s="8" t="n">
        <x:f>C999*E999</x:f>
        <x:v>6402.69</x:v>
      </x:c>
      <x:c r="H999" s="8" t="n">
        <x:f>F999-G999</x:f>
        <x:v>7520.31</x:v>
      </x:c>
      <x:c r="I999" s="10" t="n">
        <x:f>H999/F999</x:f>
        <x:v>0.5401357466063349</x:v>
      </x:c>
    </x:row>
    <x:row r="1000" ht="22" customHeight="1">
      <x:c r="A1000" s="11" t="str">
        <x:v>1894</x:v>
      </x:c>
      <x:c r="B1000" s="8" t="str">
        <x:v>Contoso Washer &amp; Dryer 24in M240 Pink</x:v>
      </x:c>
      <x:c r="C1000" s="8" t="n">
        <x:v>23</x:v>
      </x:c>
      <x:c r="D1000" s="9" t="n">
        <x:v>1818</x:v>
      </x:c>
      <x:c r="E1000" s="9" t="n">
        <x:v>836.03</x:v>
      </x:c>
      <x:c r="F1000" s="8" t="n">
        <x:f>C1000*D1000</x:f>
        <x:v>41814</x:v>
      </x:c>
      <x:c r="G1000" s="8" t="n">
        <x:f>C1000*E1000</x:f>
        <x:v>19228.69</x:v>
      </x:c>
      <x:c r="H1000" s="8" t="n">
        <x:f>F1000-G1000</x:f>
        <x:v>22585.31</x:v>
      </x:c>
      <x:c r="I1000" s="10" t="n">
        <x:f>H1000/F1000</x:f>
        <x:v>0.5401375137513752</x:v>
      </x:c>
    </x:row>
    <x:row r="1001" ht="22" customHeight="1">
      <x:c r="A1001" s="11" t="str">
        <x:v>1895</x:v>
      </x:c>
      <x:c r="B1001" s="8" t="str">
        <x:v>Contoso Washer &amp; Dryer 21in E210 Pink</x:v>
      </x:c>
      <x:c r="C1001" s="8" t="n">
        <x:v>16</x:v>
      </x:c>
      <x:c r="D1001" s="9" t="n">
        <x:v>1599</x:v>
      </x:c>
      <x:c r="E1001" s="9" t="n">
        <x:v>815.22</x:v>
      </x:c>
      <x:c r="F1001" s="8" t="n">
        <x:f>C1001*D1001</x:f>
        <x:v>25584</x:v>
      </x:c>
      <x:c r="G1001" s="8" t="n">
        <x:f>C1001*E1001</x:f>
        <x:v>13043.52</x:v>
      </x:c>
      <x:c r="H1001" s="8" t="n">
        <x:f>F1001-G1001</x:f>
        <x:v>12540.48</x:v>
      </x:c>
      <x:c r="I1001" s="10" t="n">
        <x:f>H1001/F1001</x:f>
        <x:v>0.4901688555347092</x:v>
      </x:c>
    </x:row>
    <x:row r="1002" ht="22" customHeight="1">
      <x:c r="A1002" s="11" t="str">
        <x:v>1896</x:v>
      </x:c>
      <x:c r="B1002" s="8" t="str">
        <x:v>Contoso Washer &amp; Dryer 15.5in E155 Pink</x:v>
      </x:c>
      <x:c r="C1002" s="8" t="n">
        <x:v>13</x:v>
      </x:c>
      <x:c r="D1002" s="9" t="n">
        <x:v>999</x:v>
      </x:c>
      <x:c r="E1002" s="9" t="n">
        <x:v>509.32</x:v>
      </x:c>
      <x:c r="F1002" s="8" t="n">
        <x:f>C1002*D1002</x:f>
        <x:v>12987</x:v>
      </x:c>
      <x:c r="G1002" s="8" t="n">
        <x:f>C1002*E1002</x:f>
        <x:v>6621.16</x:v>
      </x:c>
      <x:c r="H1002" s="8" t="n">
        <x:f>F1002-G1002</x:f>
        <x:v>6365.84</x:v>
      </x:c>
      <x:c r="I1002" s="10" t="n">
        <x:f>H1002/F1002</x:f>
        <x:v>0.49017017017017017</x:v>
      </x:c>
    </x:row>
    <x:row r="1003" ht="22" customHeight="1">
      <x:c r="A1003" s="11" t="str">
        <x:v>1897</x:v>
      </x:c>
      <x:c r="B1003" s="8" t="str">
        <x:v>Fabrikam Refrigerator 24.7CuFt X9800 White</x:v>
      </x:c>
      <x:c r="C1003" s="8" t="n">
        <x:v>46</x:v>
      </x:c>
      <x:c r="D1003" s="9" t="n">
        <x:v>3199.99</x:v>
      </x:c>
      <x:c r="E1003" s="9" t="n">
        <x:v>1060.22</x:v>
      </x:c>
      <x:c r="F1003" s="8" t="n">
        <x:f>C1003*D1003</x:f>
        <x:v>147199.53999999998</x:v>
      </x:c>
      <x:c r="G1003" s="8" t="n">
        <x:f>C1003*E1003</x:f>
        <x:v>48770.12</x:v>
      </x:c>
      <x:c r="H1003" s="8" t="n">
        <x:f>F1003-G1003</x:f>
        <x:v>98429.41999999998</x:v>
      </x:c>
      <x:c r="I1003" s="10" t="n">
        <x:f>H1003/F1003</x:f>
        <x:v>0.6686802146256707</x:v>
      </x:c>
    </x:row>
    <x:row r="1004" ht="22" customHeight="1">
      <x:c r="A1004" s="11" t="str">
        <x:v>1898</x:v>
      </x:c>
      <x:c r="B1004" s="8" t="str">
        <x:v>Fabrikam Refrigerator 19CuFt M7600 White</x:v>
      </x:c>
      <x:c r="C1004" s="8" t="n">
        <x:v>15</x:v>
      </x:c>
      <x:c r="D1004" s="9" t="n">
        <x:v>899</x:v>
      </x:c>
      <x:c r="E1004" s="9" t="n">
        <x:v>413.42</x:v>
      </x:c>
      <x:c r="F1004" s="8" t="n">
        <x:f>C1004*D1004</x:f>
        <x:v>13485</x:v>
      </x:c>
      <x:c r="G1004" s="8" t="n">
        <x:f>C1004*E1004</x:f>
        <x:v>6201.3</x:v>
      </x:c>
      <x:c r="H1004" s="8" t="n">
        <x:f>F1004-G1004</x:f>
        <x:v>7283.7</x:v>
      </x:c>
      <x:c r="I1004" s="10" t="n">
        <x:f>H1004/F1004</x:f>
        <x:v>0.5401334816462736</x:v>
      </x:c>
    </x:row>
    <x:row r="1005" ht="22" customHeight="1">
      <x:c r="A1005" s="11" t="str">
        <x:v>1899</x:v>
      </x:c>
      <x:c r="B1005" s="8" t="str">
        <x:v>Fabrikam Refrigerator 9.7CuFt M5600 White</x:v>
      </x:c>
      <x:c r="C1005" s="8" t="n">
        <x:v>22</x:v>
      </x:c>
      <x:c r="D1005" s="9" t="n">
        <x:v>493</x:v>
      </x:c>
      <x:c r="E1005" s="9" t="n">
        <x:v>226.71</x:v>
      </x:c>
      <x:c r="F1005" s="8" t="n">
        <x:f>C1005*D1005</x:f>
        <x:v>10846</x:v>
      </x:c>
      <x:c r="G1005" s="8" t="n">
        <x:f>C1005*E1005</x:f>
        <x:v>4987.62</x:v>
      </x:c>
      <x:c r="H1005" s="8" t="n">
        <x:f>F1005-G1005</x:f>
        <x:v>5858.38</x:v>
      </x:c>
      <x:c r="I1005" s="10" t="n">
        <x:f>H1005/F1005</x:f>
        <x:v>0.5401419878296146</x:v>
      </x:c>
    </x:row>
    <x:row r="1006" ht="22" customHeight="1">
      <x:c r="A1006" s="11" t="str">
        <x:v>19</x:v>
      </x:c>
      <x:c r="B1006" s="8" t="str">
        <x:v>Contoso 8GB Super-Slim MP3/Video Player M800 Pink</x:v>
      </x:c>
      <x:c r="C1006" s="8" t="n">
        <x:v>52</x:v>
      </x:c>
      <x:c r="D1006" s="9" t="n">
        <x:v>109.95</x:v>
      </x:c>
      <x:c r="E1006" s="9" t="n">
        <x:v>50.56</x:v>
      </x:c>
      <x:c r="F1006" s="8" t="n">
        <x:f>C1006*D1006</x:f>
        <x:v>5717.400000000001</x:v>
      </x:c>
      <x:c r="G1006" s="8" t="n">
        <x:f>C1006*E1006</x:f>
        <x:v>2629.12</x:v>
      </x:c>
      <x:c r="H1006" s="8" t="n">
        <x:f>F1006-G1006</x:f>
        <x:v>3088.2800000000007</x:v>
      </x:c>
      <x:c r="I1006" s="10" t="n">
        <x:f>H1006/F1006</x:f>
        <x:v>0.5401546157344248</x:v>
      </x:c>
    </x:row>
    <x:row r="1007" ht="22" customHeight="1">
      <x:c r="A1007" s="11" t="str">
        <x:v>190</x:v>
      </x:c>
      <x:c r="B1007" s="8" t="str">
        <x:v>SV 8xDVD E130 Silver</x:v>
      </x:c>
      <x:c r="C1007" s="8" t="n">
        <x:v>103</x:v>
      </x:c>
      <x:c r="D1007" s="9" t="n">
        <x:v>56.9</x:v>
      </x:c>
      <x:c r="E1007" s="9" t="n">
        <x:v>29.01</x:v>
      </x:c>
      <x:c r="F1007" s="8" t="n">
        <x:f>C1007*D1007</x:f>
        <x:v>5860.7</x:v>
      </x:c>
      <x:c r="G1007" s="8" t="n">
        <x:f>C1007*E1007</x:f>
        <x:v>2988.03</x:v>
      </x:c>
      <x:c r="H1007" s="8" t="n">
        <x:f>F1007-G1007</x:f>
        <x:v>2872.6699999999996</x:v>
      </x:c>
      <x:c r="I1007" s="10" t="n">
        <x:f>H1007/F1007</x:f>
        <x:v>0.4901581722319859</x:v>
      </x:c>
    </x:row>
    <x:row r="1008" ht="22" customHeight="1">
      <x:c r="A1008" s="11" t="str">
        <x:v>1900</x:v>
      </x:c>
      <x:c r="B1008" s="8" t="str">
        <x:v>Fabrikam Refrigerator 4.6CuFt E2800 White</x:v>
      </x:c>
      <x:c r="C1008" s="8" t="n">
        <x:v>42</x:v>
      </x:c>
      <x:c r="D1008" s="9" t="n">
        <x:v>299.99</x:v>
      </x:c>
      <x:c r="E1008" s="9" t="n">
        <x:v>152.94</x:v>
      </x:c>
      <x:c r="F1008" s="8" t="n">
        <x:f>C1008*D1008</x:f>
        <x:v>12599.58</x:v>
      </x:c>
      <x:c r="G1008" s="8" t="n">
        <x:f>C1008*E1008</x:f>
        <x:v>6423.48</x:v>
      </x:c>
      <x:c r="H1008" s="8" t="n">
        <x:f>F1008-G1008</x:f>
        <x:v>6176.1</x:v>
      </x:c>
      <x:c r="I1008" s="10" t="n">
        <x:f>H1008/F1008</x:f>
        <x:v>0.4901830061002034</x:v>
      </x:c>
    </x:row>
    <x:row r="1009" ht="22" customHeight="1">
      <x:c r="A1009" s="11" t="str">
        <x:v>1901</x:v>
      </x:c>
      <x:c r="B1009" s="8" t="str">
        <x:v>Fabrikam Refrigerator 3.2CuFt E1600 White</x:v>
      </x:c>
      <x:c r="C1009" s="8" t="n">
        <x:v>22</x:v>
      </x:c>
      <x:c r="D1009" s="9" t="n">
        <x:v>279.99</x:v>
      </x:c>
      <x:c r="E1009" s="9" t="n">
        <x:v>142.75</x:v>
      </x:c>
      <x:c r="F1009" s="8" t="n">
        <x:f>C1009*D1009</x:f>
        <x:v>6159.780000000001</x:v>
      </x:c>
      <x:c r="G1009" s="8" t="n">
        <x:f>C1009*E1009</x:f>
        <x:v>3140.5</x:v>
      </x:c>
      <x:c r="H1009" s="8" t="n">
        <x:f>F1009-G1009</x:f>
        <x:v>3019.2800000000007</x:v>
      </x:c>
      <x:c r="I1009" s="10" t="n">
        <x:f>H1009/F1009</x:f>
        <x:v>0.49016036287010256</x:v>
      </x:c>
    </x:row>
    <x:row r="1010" ht="22" customHeight="1">
      <x:c r="A1010" s="11" t="str">
        <x:v>1902</x:v>
      </x:c>
      <x:c r="B1010" s="8" t="str">
        <x:v>Fabrikam Refrigerator 1.7CuFt E1200 White</x:v>
      </x:c>
      <x:c r="C1010" s="8" t="n">
        <x:v>20</x:v>
      </x:c>
      <x:c r="D1010" s="9" t="n">
        <x:v>129.99</x:v>
      </x:c>
      <x:c r="E1010" s="9" t="n">
        <x:v>66.27</x:v>
      </x:c>
      <x:c r="F1010" s="8" t="n">
        <x:f>C1010*D1010</x:f>
        <x:v>2599.8</x:v>
      </x:c>
      <x:c r="G1010" s="8" t="n">
        <x:f>C1010*E1010</x:f>
        <x:v>1325.3999999999999</x:v>
      </x:c>
      <x:c r="H1010" s="8" t="n">
        <x:f>F1010-G1010</x:f>
        <x:v>1274.4000000000003</x:v>
      </x:c>
      <x:c r="I1010" s="10" t="n">
        <x:f>H1010/F1010</x:f>
        <x:v>0.4901915531963998</x:v>
      </x:c>
    </x:row>
    <x:row r="1011" ht="22" customHeight="1">
      <x:c r="A1011" s="11" t="str">
        <x:v>1903</x:v>
      </x:c>
      <x:c r="B1011" s="8" t="str">
        <x:v>Fabrikam Refrigerator 24.7CuFt X9800 Brown</x:v>
      </x:c>
      <x:c r="C1011" s="8" t="n">
        <x:v>23</x:v>
      </x:c>
      <x:c r="D1011" s="9" t="n">
        <x:v>3199.99</x:v>
      </x:c>
      <x:c r="E1011" s="9" t="n">
        <x:v>1060.22</x:v>
      </x:c>
      <x:c r="F1011" s="8" t="n">
        <x:f>C1011*D1011</x:f>
        <x:v>73599.76999999999</x:v>
      </x:c>
      <x:c r="G1011" s="8" t="n">
        <x:f>C1011*E1011</x:f>
        <x:v>24385.06</x:v>
      </x:c>
      <x:c r="H1011" s="8" t="n">
        <x:f>F1011-G1011</x:f>
        <x:v>49214.70999999999</x:v>
      </x:c>
      <x:c r="I1011" s="10" t="n">
        <x:f>H1011/F1011</x:f>
        <x:v>0.6686802146256707</x:v>
      </x:c>
    </x:row>
    <x:row r="1012" ht="22" customHeight="1">
      <x:c r="A1012" s="11" t="str">
        <x:v>1904</x:v>
      </x:c>
      <x:c r="B1012" s="8" t="str">
        <x:v>Fabrikam Refrigerator 19CuFt M7600 Brown</x:v>
      </x:c>
      <x:c r="C1012" s="8" t="n">
        <x:v>21</x:v>
      </x:c>
      <x:c r="D1012" s="9" t="n">
        <x:v>899</x:v>
      </x:c>
      <x:c r="E1012" s="9" t="n">
        <x:v>413.42</x:v>
      </x:c>
      <x:c r="F1012" s="8" t="n">
        <x:f>C1012*D1012</x:f>
        <x:v>18879</x:v>
      </x:c>
      <x:c r="G1012" s="8" t="n">
        <x:f>C1012*E1012</x:f>
        <x:v>8681.82</x:v>
      </x:c>
      <x:c r="H1012" s="8" t="n">
        <x:f>F1012-G1012</x:f>
        <x:v>10197.18</x:v>
      </x:c>
      <x:c r="I1012" s="10" t="n">
        <x:f>H1012/F1012</x:f>
        <x:v>0.5401334816462736</x:v>
      </x:c>
    </x:row>
    <x:row r="1013" ht="22" customHeight="1">
      <x:c r="A1013" s="11" t="str">
        <x:v>1905</x:v>
      </x:c>
      <x:c r="B1013" s="8" t="str">
        <x:v>Fabrikam Refrigerator 9.7CuFt M5600 Brown</x:v>
      </x:c>
      <x:c r="C1013" s="8" t="n">
        <x:v>18</x:v>
      </x:c>
      <x:c r="D1013" s="9" t="n">
        <x:v>493</x:v>
      </x:c>
      <x:c r="E1013" s="9" t="n">
        <x:v>226.71</x:v>
      </x:c>
      <x:c r="F1013" s="8" t="n">
        <x:f>C1013*D1013</x:f>
        <x:v>8874</x:v>
      </x:c>
      <x:c r="G1013" s="8" t="n">
        <x:f>C1013*E1013</x:f>
        <x:v>4080.78</x:v>
      </x:c>
      <x:c r="H1013" s="8" t="n">
        <x:f>F1013-G1013</x:f>
        <x:v>4793.219999999999</x:v>
      </x:c>
      <x:c r="I1013" s="10" t="n">
        <x:f>H1013/F1013</x:f>
        <x:v>0.5401419878296145</x:v>
      </x:c>
    </x:row>
    <x:row r="1014" ht="22" customHeight="1">
      <x:c r="A1014" s="11" t="str">
        <x:v>1906</x:v>
      </x:c>
      <x:c r="B1014" s="8" t="str">
        <x:v>Fabrikam Refrigerator 4.6CuFt E2800 Brown</x:v>
      </x:c>
      <x:c r="C1014" s="8" t="n">
        <x:v>14</x:v>
      </x:c>
      <x:c r="D1014" s="9" t="n">
        <x:v>299.99</x:v>
      </x:c>
      <x:c r="E1014" s="9" t="n">
        <x:v>152.94</x:v>
      </x:c>
      <x:c r="F1014" s="8" t="n">
        <x:f>C1014*D1014</x:f>
        <x:v>4199.860000000001</x:v>
      </x:c>
      <x:c r="G1014" s="8" t="n">
        <x:f>C1014*E1014</x:f>
        <x:v>2141.16</x:v>
      </x:c>
      <x:c r="H1014" s="8" t="n">
        <x:f>F1014-G1014</x:f>
        <x:v>2058.7000000000007</x:v>
      </x:c>
      <x:c r="I1014" s="10" t="n">
        <x:f>H1014/F1014</x:f>
        <x:v>0.49018300610020343</x:v>
      </x:c>
    </x:row>
    <x:row r="1015" ht="22" customHeight="1">
      <x:c r="A1015" s="11" t="str">
        <x:v>1907</x:v>
      </x:c>
      <x:c r="B1015" s="8" t="str">
        <x:v>Fabrikam Refrigerator 3.2CuFt E1600 Brown</x:v>
      </x:c>
      <x:c r="C1015" s="8" t="n">
        <x:v>29</x:v>
      </x:c>
      <x:c r="D1015" s="9" t="n">
        <x:v>279.99</x:v>
      </x:c>
      <x:c r="E1015" s="9" t="n">
        <x:v>142.75</x:v>
      </x:c>
      <x:c r="F1015" s="8" t="n">
        <x:f>C1015*D1015</x:f>
        <x:v>8119.71</x:v>
      </x:c>
      <x:c r="G1015" s="8" t="n">
        <x:f>C1015*E1015</x:f>
        <x:v>4139.75</x:v>
      </x:c>
      <x:c r="H1015" s="8" t="n">
        <x:f>F1015-G1015</x:f>
        <x:v>3979.96</x:v>
      </x:c>
      <x:c r="I1015" s="10" t="n">
        <x:f>H1015/F1015</x:f>
        <x:v>0.4901603628701025</x:v>
      </x:c>
    </x:row>
    <x:row r="1016" ht="22" customHeight="1">
      <x:c r="A1016" s="11" t="str">
        <x:v>1908</x:v>
      </x:c>
      <x:c r="B1016" s="8" t="str">
        <x:v>Fabrikam Refrigerator 1.7CuFt E1200 Brown</x:v>
      </x:c>
      <x:c r="C1016" s="8" t="n">
        <x:v>48</x:v>
      </x:c>
      <x:c r="D1016" s="9" t="n">
        <x:v>129.99</x:v>
      </x:c>
      <x:c r="E1016" s="9" t="n">
        <x:v>66.27</x:v>
      </x:c>
      <x:c r="F1016" s="8" t="n">
        <x:f>C1016*D1016</x:f>
        <x:v>6239.52</x:v>
      </x:c>
      <x:c r="G1016" s="8" t="n">
        <x:f>C1016*E1016</x:f>
        <x:v>3180.96</x:v>
      </x:c>
      <x:c r="H1016" s="8" t="n">
        <x:f>F1016-G1016</x:f>
        <x:v>3058.5600000000004</x:v>
      </x:c>
      <x:c r="I1016" s="10" t="n">
        <x:f>H1016/F1016</x:f>
        <x:v>0.49019155319639973</x:v>
      </x:c>
    </x:row>
    <x:row r="1017" ht="22" customHeight="1">
      <x:c r="A1017" s="11" t="str">
        <x:v>1909</x:v>
      </x:c>
      <x:c r="B1017" s="8" t="str">
        <x:v>Fabrikam Refrigerator 24.7CuFt X9800 Silver</x:v>
      </x:c>
      <x:c r="C1017" s="8" t="n">
        <x:v>34</x:v>
      </x:c>
      <x:c r="D1017" s="9" t="n">
        <x:v>3199.99</x:v>
      </x:c>
      <x:c r="E1017" s="9" t="n">
        <x:v>1060.22</x:v>
      </x:c>
      <x:c r="F1017" s="8" t="n">
        <x:f>C1017*D1017</x:f>
        <x:v>108799.65999999999</x:v>
      </x:c>
      <x:c r="G1017" s="8" t="n">
        <x:f>C1017*E1017</x:f>
        <x:v>36047.48</x:v>
      </x:c>
      <x:c r="H1017" s="8" t="n">
        <x:f>F1017-G1017</x:f>
        <x:v>72752.18</x:v>
      </x:c>
      <x:c r="I1017" s="10" t="n">
        <x:f>H1017/F1017</x:f>
        <x:v>0.6686802146256707</x:v>
      </x:c>
    </x:row>
    <x:row r="1018" ht="22" customHeight="1">
      <x:c r="A1018" s="11" t="str">
        <x:v>191</x:v>
      </x:c>
      <x:c r="B1018" s="8" t="str">
        <x:v>SV 8xDVD E140 Silver</x:v>
      </x:c>
      <x:c r="C1018" s="8" t="n">
        <x:v>84</x:v>
      </x:c>
      <x:c r="D1018" s="9" t="n">
        <x:v>66</x:v>
      </x:c>
      <x:c r="E1018" s="9" t="n">
        <x:v>33.65</x:v>
      </x:c>
      <x:c r="F1018" s="8" t="n">
        <x:f>C1018*D1018</x:f>
        <x:v>5544</x:v>
      </x:c>
      <x:c r="G1018" s="8" t="n">
        <x:f>C1018*E1018</x:f>
        <x:v>2826.6</x:v>
      </x:c>
      <x:c r="H1018" s="8" t="n">
        <x:f>F1018-G1018</x:f>
        <x:v>2717.4</x:v>
      </x:c>
      <x:c r="I1018" s="10" t="n">
        <x:f>H1018/F1018</x:f>
        <x:v>0.49015151515151517</x:v>
      </x:c>
    </x:row>
    <x:row r="1019" ht="22" customHeight="1">
      <x:c r="A1019" s="11" t="str">
        <x:v>1910</x:v>
      </x:c>
      <x:c r="B1019" s="8" t="str">
        <x:v>Fabrikam Refrigerator 19CuFt M7600 Silver</x:v>
      </x:c>
      <x:c r="C1019" s="8" t="n">
        <x:v>27</x:v>
      </x:c>
      <x:c r="D1019" s="9" t="n">
        <x:v>899</x:v>
      </x:c>
      <x:c r="E1019" s="9" t="n">
        <x:v>413.42</x:v>
      </x:c>
      <x:c r="F1019" s="8" t="n">
        <x:f>C1019*D1019</x:f>
        <x:v>24273</x:v>
      </x:c>
      <x:c r="G1019" s="8" t="n">
        <x:f>C1019*E1019</x:f>
        <x:v>11162.34</x:v>
      </x:c>
      <x:c r="H1019" s="8" t="n">
        <x:f>F1019-G1019</x:f>
        <x:v>13110.66</x:v>
      </x:c>
      <x:c r="I1019" s="10" t="n">
        <x:f>H1019/F1019</x:f>
        <x:v>0.5401334816462736</x:v>
      </x:c>
    </x:row>
    <x:row r="1020" ht="22" customHeight="1">
      <x:c r="A1020" s="11" t="str">
        <x:v>1911</x:v>
      </x:c>
      <x:c r="B1020" s="8" t="str">
        <x:v>Fabrikam Refrigerator 9.7CuFt M5600 Silver</x:v>
      </x:c>
      <x:c r="C1020" s="8" t="n">
        <x:v>31</x:v>
      </x:c>
      <x:c r="D1020" s="9" t="n">
        <x:v>493</x:v>
      </x:c>
      <x:c r="E1020" s="9" t="n">
        <x:v>226.71</x:v>
      </x:c>
      <x:c r="F1020" s="8" t="n">
        <x:f>C1020*D1020</x:f>
        <x:v>15283</x:v>
      </x:c>
      <x:c r="G1020" s="8" t="n">
        <x:f>C1020*E1020</x:f>
        <x:v>7028.01</x:v>
      </x:c>
      <x:c r="H1020" s="8" t="n">
        <x:f>F1020-G1020</x:f>
        <x:v>8254.99</x:v>
      </x:c>
      <x:c r="I1020" s="10" t="n">
        <x:f>H1020/F1020</x:f>
        <x:v>0.5401419878296146</x:v>
      </x:c>
    </x:row>
    <x:row r="1021" ht="22" customHeight="1">
      <x:c r="A1021" s="11" t="str">
        <x:v>1912</x:v>
      </x:c>
      <x:c r="B1021" s="8" t="str">
        <x:v>Fabrikam Refrigerator 4.6CuFt E2800 Silver</x:v>
      </x:c>
      <x:c r="C1021" s="8" t="n">
        <x:v>23</x:v>
      </x:c>
      <x:c r="D1021" s="9" t="n">
        <x:v>299.99</x:v>
      </x:c>
      <x:c r="E1021" s="9" t="n">
        <x:v>152.94</x:v>
      </x:c>
      <x:c r="F1021" s="8" t="n">
        <x:f>C1021*D1021</x:f>
        <x:v>6899.77</x:v>
      </x:c>
      <x:c r="G1021" s="8" t="n">
        <x:f>C1021*E1021</x:f>
        <x:v>3517.62</x:v>
      </x:c>
      <x:c r="H1021" s="8" t="n">
        <x:f>F1021-G1021</x:f>
        <x:v>3382.1500000000005</x:v>
      </x:c>
      <x:c r="I1021" s="10" t="n">
        <x:f>H1021/F1021</x:f>
        <x:v>0.4901830061002034</x:v>
      </x:c>
    </x:row>
    <x:row r="1022" ht="22" customHeight="1">
      <x:c r="A1022" s="11" t="str">
        <x:v>1913</x:v>
      </x:c>
      <x:c r="B1022" s="8" t="str">
        <x:v>Fabrikam Refrigerator 3.2CuFt E1600 Silver</x:v>
      </x:c>
      <x:c r="C1022" s="8" t="n">
        <x:v>33</x:v>
      </x:c>
      <x:c r="D1022" s="9" t="n">
        <x:v>279.99</x:v>
      </x:c>
      <x:c r="E1022" s="9" t="n">
        <x:v>142.75</x:v>
      </x:c>
      <x:c r="F1022" s="8" t="n">
        <x:f>C1022*D1022</x:f>
        <x:v>9239.67</x:v>
      </x:c>
      <x:c r="G1022" s="8" t="n">
        <x:f>C1022*E1022</x:f>
        <x:v>4710.75</x:v>
      </x:c>
      <x:c r="H1022" s="8" t="n">
        <x:f>F1022-G1022</x:f>
        <x:v>4528.92</x:v>
      </x:c>
      <x:c r="I1022" s="10" t="n">
        <x:f>H1022/F1022</x:f>
        <x:v>0.4901603628701025</x:v>
      </x:c>
    </x:row>
    <x:row r="1023" ht="22" customHeight="1">
      <x:c r="A1023" s="11" t="str">
        <x:v>1914</x:v>
      </x:c>
      <x:c r="B1023" s="8" t="str">
        <x:v>Fabrikam Refrigerator 1.7CuFt E1200 Silver</x:v>
      </x:c>
      <x:c r="C1023" s="8" t="n">
        <x:v>25</x:v>
      </x:c>
      <x:c r="D1023" s="9" t="n">
        <x:v>129.99</x:v>
      </x:c>
      <x:c r="E1023" s="9" t="n">
        <x:v>66.27</x:v>
      </x:c>
      <x:c r="F1023" s="8" t="n">
        <x:f>C1023*D1023</x:f>
        <x:v>3249.75</x:v>
      </x:c>
      <x:c r="G1023" s="8" t="n">
        <x:f>C1023*E1023</x:f>
        <x:v>1656.75</x:v>
      </x:c>
      <x:c r="H1023" s="8" t="n">
        <x:f>F1023-G1023</x:f>
        <x:v>1593</x:v>
      </x:c>
      <x:c r="I1023" s="10" t="n">
        <x:f>H1023/F1023</x:f>
        <x:v>0.49019155319639973</x:v>
      </x:c>
    </x:row>
    <x:row r="1024" ht="22" customHeight="1">
      <x:c r="A1024" s="11" t="str">
        <x:v>1915</x:v>
      </x:c>
      <x:c r="B1024" s="8" t="str">
        <x:v>Fabrikam Refrigerator 24.7CuFt X9800 Green</x:v>
      </x:c>
      <x:c r="C1024" s="8" t="n">
        <x:v>31</x:v>
      </x:c>
      <x:c r="D1024" s="9" t="n">
        <x:v>3199.99</x:v>
      </x:c>
      <x:c r="E1024" s="9" t="n">
        <x:v>1060.22</x:v>
      </x:c>
      <x:c r="F1024" s="8" t="n">
        <x:f>C1024*D1024</x:f>
        <x:v>99199.68999999999</x:v>
      </x:c>
      <x:c r="G1024" s="8" t="n">
        <x:f>C1024*E1024</x:f>
        <x:v>32866.82</x:v>
      </x:c>
      <x:c r="H1024" s="8" t="n">
        <x:f>F1024-G1024</x:f>
        <x:v>66332.87</x:v>
      </x:c>
      <x:c r="I1024" s="10" t="n">
        <x:f>H1024/F1024</x:f>
        <x:v>0.6686802146256707</x:v>
      </x:c>
    </x:row>
    <x:row r="1025" ht="22" customHeight="1">
      <x:c r="A1025" s="11" t="str">
        <x:v>1916</x:v>
      </x:c>
      <x:c r="B1025" s="8" t="str">
        <x:v>Fabrikam Refrigerator 19CuFt M7600 Green</x:v>
      </x:c>
      <x:c r="C1025" s="8" t="n">
        <x:v>38</x:v>
      </x:c>
      <x:c r="D1025" s="9" t="n">
        <x:v>899</x:v>
      </x:c>
      <x:c r="E1025" s="9" t="n">
        <x:v>413.42</x:v>
      </x:c>
      <x:c r="F1025" s="8" t="n">
        <x:f>C1025*D1025</x:f>
        <x:v>34162</x:v>
      </x:c>
      <x:c r="G1025" s="8" t="n">
        <x:f>C1025*E1025</x:f>
        <x:v>15709.960000000001</x:v>
      </x:c>
      <x:c r="H1025" s="8" t="n">
        <x:f>F1025-G1025</x:f>
        <x:v>18452.04</x:v>
      </x:c>
      <x:c r="I1025" s="10" t="n">
        <x:f>H1025/F1025</x:f>
        <x:v>0.5401334816462736</x:v>
      </x:c>
    </x:row>
    <x:row r="1026" ht="22" customHeight="1">
      <x:c r="A1026" s="11" t="str">
        <x:v>1917</x:v>
      </x:c>
      <x:c r="B1026" s="8" t="str">
        <x:v>Fabrikam Refrigerator 9.7CuFt M5600 Green</x:v>
      </x:c>
      <x:c r="C1026" s="8" t="n">
        <x:v>43</x:v>
      </x:c>
      <x:c r="D1026" s="9" t="n">
        <x:v>493</x:v>
      </x:c>
      <x:c r="E1026" s="9" t="n">
        <x:v>226.71</x:v>
      </x:c>
      <x:c r="F1026" s="8" t="n">
        <x:f>C1026*D1026</x:f>
        <x:v>21199</x:v>
      </x:c>
      <x:c r="G1026" s="8" t="n">
        <x:f>C1026*E1026</x:f>
        <x:v>9748.53</x:v>
      </x:c>
      <x:c r="H1026" s="8" t="n">
        <x:f>F1026-G1026</x:f>
        <x:v>11450.47</x:v>
      </x:c>
      <x:c r="I1026" s="10" t="n">
        <x:f>H1026/F1026</x:f>
        <x:v>0.5401419878296145</x:v>
      </x:c>
    </x:row>
    <x:row r="1027" ht="22" customHeight="1">
      <x:c r="A1027" s="11" t="str">
        <x:v>1918</x:v>
      </x:c>
      <x:c r="B1027" s="8" t="str">
        <x:v>Fabrikam Refrigerator 4.6CuFt E2800 Green</x:v>
      </x:c>
      <x:c r="C1027" s="8" t="n">
        <x:v>25</x:v>
      </x:c>
      <x:c r="D1027" s="9" t="n">
        <x:v>299.99</x:v>
      </x:c>
      <x:c r="E1027" s="9" t="n">
        <x:v>152.94</x:v>
      </x:c>
      <x:c r="F1027" s="8" t="n">
        <x:f>C1027*D1027</x:f>
        <x:v>7499.75</x:v>
      </x:c>
      <x:c r="G1027" s="8" t="n">
        <x:f>C1027*E1027</x:f>
        <x:v>3823.5</x:v>
      </x:c>
      <x:c r="H1027" s="8" t="n">
        <x:f>F1027-G1027</x:f>
        <x:v>3676.25</x:v>
      </x:c>
      <x:c r="I1027" s="10" t="n">
        <x:f>H1027/F1027</x:f>
        <x:v>0.4901830061002033</x:v>
      </x:c>
    </x:row>
    <x:row r="1028" ht="22" customHeight="1">
      <x:c r="A1028" s="11" t="str">
        <x:v>1919</x:v>
      </x:c>
      <x:c r="B1028" s="8" t="str">
        <x:v>Fabrikam Refrigerator 3.2CuFt E1600 Green</x:v>
      </x:c>
      <x:c r="C1028" s="8" t="n">
        <x:v>35</x:v>
      </x:c>
      <x:c r="D1028" s="9" t="n">
        <x:v>279.99</x:v>
      </x:c>
      <x:c r="E1028" s="9" t="n">
        <x:v>142.75</x:v>
      </x:c>
      <x:c r="F1028" s="8" t="n">
        <x:f>C1028*D1028</x:f>
        <x:v>9799.65</x:v>
      </x:c>
      <x:c r="G1028" s="8" t="n">
        <x:f>C1028*E1028</x:f>
        <x:v>4996.25</x:v>
      </x:c>
      <x:c r="H1028" s="8" t="n">
        <x:f>F1028-G1028</x:f>
        <x:v>4803.4</x:v>
      </x:c>
      <x:c r="I1028" s="10" t="n">
        <x:f>H1028/F1028</x:f>
        <x:v>0.4901603628701025</x:v>
      </x:c>
    </x:row>
    <x:row r="1029" ht="22" customHeight="1">
      <x:c r="A1029" s="11" t="str">
        <x:v>192</x:v>
      </x:c>
      <x:c r="B1029" s="8" t="str">
        <x:v>Litware Home Theater System 4.1 Channel M410 Black</x:v>
      </x:c>
      <x:c r="C1029" s="8" t="n">
        <x:v>27</x:v>
      </x:c>
      <x:c r="D1029" s="9" t="n">
        <x:v>599</x:v>
      </x:c>
      <x:c r="E1029" s="9" t="n">
        <x:v>275.46</x:v>
      </x:c>
      <x:c r="F1029" s="8" t="n">
        <x:f>C1029*D1029</x:f>
        <x:v>16173</x:v>
      </x:c>
      <x:c r="G1029" s="8" t="n">
        <x:f>C1029*E1029</x:f>
        <x:v>7437.419999999999</x:v>
      </x:c>
      <x:c r="H1029" s="8" t="n">
        <x:f>F1029-G1029</x:f>
        <x:v>8735.580000000002</x:v>
      </x:c>
      <x:c r="I1029" s="10" t="n">
        <x:f>H1029/F1029</x:f>
        <x:v>0.5401335559265443</x:v>
      </x:c>
    </x:row>
    <x:row r="1030" ht="22" customHeight="1">
      <x:c r="A1030" s="11" t="str">
        <x:v>1920</x:v>
      </x:c>
      <x:c r="B1030" s="8" t="str">
        <x:v>Fabrikam Refrigerator 1.7CuFt E1200 Green</x:v>
      </x:c>
      <x:c r="C1030" s="8" t="n">
        <x:v>27</x:v>
      </x:c>
      <x:c r="D1030" s="9" t="n">
        <x:v>129.99</x:v>
      </x:c>
      <x:c r="E1030" s="9" t="n">
        <x:v>66.27</x:v>
      </x:c>
      <x:c r="F1030" s="8" t="n">
        <x:f>C1030*D1030</x:f>
        <x:v>3509.7300000000005</x:v>
      </x:c>
      <x:c r="G1030" s="8" t="n">
        <x:f>C1030*E1030</x:f>
        <x:v>1789.29</x:v>
      </x:c>
      <x:c r="H1030" s="8" t="n">
        <x:f>F1030-G1030</x:f>
        <x:v>1720.4400000000005</x:v>
      </x:c>
      <x:c r="I1030" s="10" t="n">
        <x:f>H1030/F1030</x:f>
        <x:v>0.4901915531963998</x:v>
      </x:c>
    </x:row>
    <x:row r="1031" ht="22" customHeight="1">
      <x:c r="A1031" s="11" t="str">
        <x:v>1921</x:v>
      </x:c>
      <x:c r="B1031" s="8" t="str">
        <x:v>Fabrikam Refrigerator 24.7CuFt X9800 Blue</x:v>
      </x:c>
      <x:c r="C1031" s="8" t="n">
        <x:v>27</x:v>
      </x:c>
      <x:c r="D1031" s="9" t="n">
        <x:v>3199.99</x:v>
      </x:c>
      <x:c r="E1031" s="9" t="n">
        <x:v>1060.22</x:v>
      </x:c>
      <x:c r="F1031" s="8" t="n">
        <x:f>C1031*D1031</x:f>
        <x:v>86399.73</x:v>
      </x:c>
      <x:c r="G1031" s="8" t="n">
        <x:f>C1031*E1031</x:f>
        <x:v>28625.940000000002</x:v>
      </x:c>
      <x:c r="H1031" s="8" t="n">
        <x:f>F1031-G1031</x:f>
        <x:v>57773.78999999999</x:v>
      </x:c>
      <x:c r="I1031" s="10" t="n">
        <x:f>H1031/F1031</x:f>
        <x:v>0.6686802146256706</x:v>
      </x:c>
    </x:row>
    <x:row r="1032" ht="22" customHeight="1">
      <x:c r="A1032" s="11" t="str">
        <x:v>1922</x:v>
      </x:c>
      <x:c r="B1032" s="8" t="str">
        <x:v>Fabrikam Refrigerator 19CuFt M7600 Blue</x:v>
      </x:c>
      <x:c r="C1032" s="8" t="n">
        <x:v>16</x:v>
      </x:c>
      <x:c r="D1032" s="9" t="n">
        <x:v>899</x:v>
      </x:c>
      <x:c r="E1032" s="9" t="n">
        <x:v>413.42</x:v>
      </x:c>
      <x:c r="F1032" s="8" t="n">
        <x:f>C1032*D1032</x:f>
        <x:v>14384</x:v>
      </x:c>
      <x:c r="G1032" s="8" t="n">
        <x:f>C1032*E1032</x:f>
        <x:v>6614.72</x:v>
      </x:c>
      <x:c r="H1032" s="8" t="n">
        <x:f>F1032-G1032</x:f>
        <x:v>7769.28</x:v>
      </x:c>
      <x:c r="I1032" s="10" t="n">
        <x:f>H1032/F1032</x:f>
        <x:v>0.5401334816462736</x:v>
      </x:c>
    </x:row>
    <x:row r="1033" ht="22" customHeight="1">
      <x:c r="A1033" s="11" t="str">
        <x:v>1923</x:v>
      </x:c>
      <x:c r="B1033" s="8" t="str">
        <x:v>Fabrikam Refrigerator 9.7CuFt M5600 Blue</x:v>
      </x:c>
      <x:c r="C1033" s="8" t="n">
        <x:v>25</x:v>
      </x:c>
      <x:c r="D1033" s="9" t="n">
        <x:v>493</x:v>
      </x:c>
      <x:c r="E1033" s="9" t="n">
        <x:v>226.71</x:v>
      </x:c>
      <x:c r="F1033" s="8" t="n">
        <x:f>C1033*D1033</x:f>
        <x:v>12325</x:v>
      </x:c>
      <x:c r="G1033" s="8" t="n">
        <x:f>C1033*E1033</x:f>
        <x:v>5667.75</x:v>
      </x:c>
      <x:c r="H1033" s="8" t="n">
        <x:f>F1033-G1033</x:f>
        <x:v>6657.25</x:v>
      </x:c>
      <x:c r="I1033" s="10" t="n">
        <x:f>H1033/F1033</x:f>
        <x:v>0.5401419878296146</x:v>
      </x:c>
    </x:row>
    <x:row r="1034" ht="22" customHeight="1">
      <x:c r="A1034" s="11" t="str">
        <x:v>1924</x:v>
      </x:c>
      <x:c r="B1034" s="8" t="str">
        <x:v>Fabrikam Refrigerator 4.6CuFt E2800 Blue</x:v>
      </x:c>
      <x:c r="C1034" s="8" t="n">
        <x:v>30</x:v>
      </x:c>
      <x:c r="D1034" s="9" t="n">
        <x:v>299.99</x:v>
      </x:c>
      <x:c r="E1034" s="9" t="n">
        <x:v>152.94</x:v>
      </x:c>
      <x:c r="F1034" s="8" t="n">
        <x:f>C1034*D1034</x:f>
        <x:v>8999.7</x:v>
      </x:c>
      <x:c r="G1034" s="8" t="n">
        <x:f>C1034*E1034</x:f>
        <x:v>4588.2</x:v>
      </x:c>
      <x:c r="H1034" s="8" t="n">
        <x:f>F1034-G1034</x:f>
        <x:v>4411.500000000001</x:v>
      </x:c>
      <x:c r="I1034" s="10" t="n">
        <x:f>H1034/F1034</x:f>
        <x:v>0.4901830061002034</x:v>
      </x:c>
    </x:row>
    <x:row r="1035" ht="22" customHeight="1">
      <x:c r="A1035" s="11" t="str">
        <x:v>1925</x:v>
      </x:c>
      <x:c r="B1035" s="8" t="str">
        <x:v>Fabrikam Refrigerator 3.2CuFt E1600 Blue</x:v>
      </x:c>
      <x:c r="C1035" s="8" t="n">
        <x:v>25</x:v>
      </x:c>
      <x:c r="D1035" s="9" t="n">
        <x:v>279.99</x:v>
      </x:c>
      <x:c r="E1035" s="9" t="n">
        <x:v>142.75</x:v>
      </x:c>
      <x:c r="F1035" s="8" t="n">
        <x:f>C1035*D1035</x:f>
        <x:v>6999.75</x:v>
      </x:c>
      <x:c r="G1035" s="8" t="n">
        <x:f>C1035*E1035</x:f>
        <x:v>3568.75</x:v>
      </x:c>
      <x:c r="H1035" s="8" t="n">
        <x:f>F1035-G1035</x:f>
        <x:v>3431</x:v>
      </x:c>
      <x:c r="I1035" s="10" t="n">
        <x:f>H1035/F1035</x:f>
        <x:v>0.4901603628701025</x:v>
      </x:c>
    </x:row>
    <x:row r="1036" ht="22" customHeight="1">
      <x:c r="A1036" s="11" t="str">
        <x:v>1926</x:v>
      </x:c>
      <x:c r="B1036" s="8" t="str">
        <x:v>Fabrikam Refrigerator 1.7CuFt E1200 Blue</x:v>
      </x:c>
      <x:c r="C1036" s="8" t="n">
        <x:v>21</x:v>
      </x:c>
      <x:c r="D1036" s="9" t="n">
        <x:v>129.99</x:v>
      </x:c>
      <x:c r="E1036" s="9" t="n">
        <x:v>66.27</x:v>
      </x:c>
      <x:c r="F1036" s="8" t="n">
        <x:f>C1036*D1036</x:f>
        <x:v>2729.79</x:v>
      </x:c>
      <x:c r="G1036" s="8" t="n">
        <x:f>C1036*E1036</x:f>
        <x:v>1391.6699999999998</x:v>
      </x:c>
      <x:c r="H1036" s="8" t="n">
        <x:f>F1036-G1036</x:f>
        <x:v>1338.1200000000001</x:v>
      </x:c>
      <x:c r="I1036" s="10" t="n">
        <x:f>H1036/F1036</x:f>
        <x:v>0.4901915531963998</x:v>
      </x:c>
    </x:row>
    <x:row r="1037" ht="22" customHeight="1">
      <x:c r="A1037" s="11" t="str">
        <x:v>1927</x:v>
      </x:c>
      <x:c r="B1037" s="8" t="str">
        <x:v>Fabrikam Refrigerator 24.7CuFt X9800 Grey</x:v>
      </x:c>
      <x:c r="C1037" s="8" t="n">
        <x:v>46</x:v>
      </x:c>
      <x:c r="D1037" s="9" t="n">
        <x:v>3199.99</x:v>
      </x:c>
      <x:c r="E1037" s="9" t="n">
        <x:v>1060.22</x:v>
      </x:c>
      <x:c r="F1037" s="8" t="n">
        <x:f>C1037*D1037</x:f>
        <x:v>147199.53999999998</x:v>
      </x:c>
      <x:c r="G1037" s="8" t="n">
        <x:f>C1037*E1037</x:f>
        <x:v>48770.12</x:v>
      </x:c>
      <x:c r="H1037" s="8" t="n">
        <x:f>F1037-G1037</x:f>
        <x:v>98429.41999999998</x:v>
      </x:c>
      <x:c r="I1037" s="10" t="n">
        <x:f>H1037/F1037</x:f>
        <x:v>0.6686802146256707</x:v>
      </x:c>
    </x:row>
    <x:row r="1038" ht="22" customHeight="1">
      <x:c r="A1038" s="11" t="str">
        <x:v>1928</x:v>
      </x:c>
      <x:c r="B1038" s="8" t="str">
        <x:v>Fabrikam Refrigerator 19CuFt M7600 Grey</x:v>
      </x:c>
      <x:c r="C1038" s="8" t="n">
        <x:v>23</x:v>
      </x:c>
      <x:c r="D1038" s="9" t="n">
        <x:v>899</x:v>
      </x:c>
      <x:c r="E1038" s="9" t="n">
        <x:v>413.42</x:v>
      </x:c>
      <x:c r="F1038" s="8" t="n">
        <x:f>C1038*D1038</x:f>
        <x:v>20677</x:v>
      </x:c>
      <x:c r="G1038" s="8" t="n">
        <x:f>C1038*E1038</x:f>
        <x:v>9508.66</x:v>
      </x:c>
      <x:c r="H1038" s="8" t="n">
        <x:f>F1038-G1038</x:f>
        <x:v>11168.34</x:v>
      </x:c>
      <x:c r="I1038" s="10" t="n">
        <x:f>H1038/F1038</x:f>
        <x:v>0.5401334816462736</x:v>
      </x:c>
    </x:row>
    <x:row r="1039" ht="22" customHeight="1">
      <x:c r="A1039" s="11" t="str">
        <x:v>1929</x:v>
      </x:c>
      <x:c r="B1039" s="8" t="str">
        <x:v>Fabrikam Refrigerator 9.7CuFt M5600 Grey</x:v>
      </x:c>
      <x:c r="C1039" s="8" t="n">
        <x:v>22</x:v>
      </x:c>
      <x:c r="D1039" s="9" t="n">
        <x:v>493</x:v>
      </x:c>
      <x:c r="E1039" s="9" t="n">
        <x:v>226.71</x:v>
      </x:c>
      <x:c r="F1039" s="8" t="n">
        <x:f>C1039*D1039</x:f>
        <x:v>10846</x:v>
      </x:c>
      <x:c r="G1039" s="8" t="n">
        <x:f>C1039*E1039</x:f>
        <x:v>4987.62</x:v>
      </x:c>
      <x:c r="H1039" s="8" t="n">
        <x:f>F1039-G1039</x:f>
        <x:v>5858.38</x:v>
      </x:c>
      <x:c r="I1039" s="10" t="n">
        <x:f>H1039/F1039</x:f>
        <x:v>0.5401419878296146</x:v>
      </x:c>
    </x:row>
    <x:row r="1040" ht="22" customHeight="1">
      <x:c r="A1040" s="11" t="str">
        <x:v>193</x:v>
      </x:c>
      <x:c r="B1040" s="8" t="str">
        <x:v>Litware Home Theater System 5.1 Channel M511 Black</x:v>
      </x:c>
      <x:c r="C1040" s="8" t="n">
        <x:v>2</x:v>
      </x:c>
      <x:c r="D1040" s="9" t="n">
        <x:v>699</x:v>
      </x:c>
      <x:c r="E1040" s="9" t="n">
        <x:v>321.44</x:v>
      </x:c>
      <x:c r="F1040" s="8" t="n">
        <x:f>C1040*D1040</x:f>
        <x:v>1398</x:v>
      </x:c>
      <x:c r="G1040" s="8" t="n">
        <x:f>C1040*E1040</x:f>
        <x:v>642.88</x:v>
      </x:c>
      <x:c r="H1040" s="8" t="n">
        <x:f>F1040-G1040</x:f>
        <x:v>755.12</x:v>
      </x:c>
      <x:c r="I1040" s="10" t="n">
        <x:f>H1040/F1040</x:f>
        <x:v>0.5401430615164521</x:v>
      </x:c>
    </x:row>
    <x:row r="1041" ht="22" customHeight="1">
      <x:c r="A1041" s="11" t="str">
        <x:v>1930</x:v>
      </x:c>
      <x:c r="B1041" s="8" t="str">
        <x:v>Fabrikam Refrigerator 4.6CuFt E2800 Grey</x:v>
      </x:c>
      <x:c r="C1041" s="8" t="n">
        <x:v>26</x:v>
      </x:c>
      <x:c r="D1041" s="9" t="n">
        <x:v>299.99</x:v>
      </x:c>
      <x:c r="E1041" s="9" t="n">
        <x:v>152.94</x:v>
      </x:c>
      <x:c r="F1041" s="8" t="n">
        <x:f>C1041*D1041</x:f>
        <x:v>7799.74</x:v>
      </x:c>
      <x:c r="G1041" s="8" t="n">
        <x:f>C1041*E1041</x:f>
        <x:v>3976.44</x:v>
      </x:c>
      <x:c r="H1041" s="8" t="n">
        <x:f>F1041-G1041</x:f>
        <x:v>3823.2999999999997</x:v>
      </x:c>
      <x:c r="I1041" s="10" t="n">
        <x:f>H1041/F1041</x:f>
        <x:v>0.4901830061002033</x:v>
      </x:c>
    </x:row>
    <x:row r="1042" ht="22" customHeight="1">
      <x:c r="A1042" s="11" t="str">
        <x:v>1931</x:v>
      </x:c>
      <x:c r="B1042" s="8" t="str">
        <x:v>Fabrikam Refrigerator 3.2CuFt E1600 Grey</x:v>
      </x:c>
      <x:c r="C1042" s="8" t="n">
        <x:v>18</x:v>
      </x:c>
      <x:c r="D1042" s="9" t="n">
        <x:v>279.99</x:v>
      </x:c>
      <x:c r="E1042" s="9" t="n">
        <x:v>142.75</x:v>
      </x:c>
      <x:c r="F1042" s="8" t="n">
        <x:f>C1042*D1042</x:f>
        <x:v>5039.82</x:v>
      </x:c>
      <x:c r="G1042" s="8" t="n">
        <x:f>C1042*E1042</x:f>
        <x:v>2569.5</x:v>
      </x:c>
      <x:c r="H1042" s="8" t="n">
        <x:f>F1042-G1042</x:f>
        <x:v>2470.3199999999997</x:v>
      </x:c>
      <x:c r="I1042" s="10" t="n">
        <x:f>H1042/F1042</x:f>
        <x:v>0.49016036287010245</x:v>
      </x:c>
    </x:row>
    <x:row r="1043" ht="22" customHeight="1">
      <x:c r="A1043" s="11" t="str">
        <x:v>1932</x:v>
      </x:c>
      <x:c r="B1043" s="8" t="str">
        <x:v>Fabrikam Refrigerator 1.7CuFt E1200 Grey</x:v>
      </x:c>
      <x:c r="C1043" s="8" t="n">
        <x:v>28</x:v>
      </x:c>
      <x:c r="D1043" s="9" t="n">
        <x:v>129.99</x:v>
      </x:c>
      <x:c r="E1043" s="9" t="n">
        <x:v>66.27</x:v>
      </x:c>
      <x:c r="F1043" s="8" t="n">
        <x:f>C1043*D1043</x:f>
        <x:v>3639.7200000000003</x:v>
      </x:c>
      <x:c r="G1043" s="8" t="n">
        <x:f>C1043*E1043</x:f>
        <x:v>1855.56</x:v>
      </x:c>
      <x:c r="H1043" s="8" t="n">
        <x:f>F1043-G1043</x:f>
        <x:v>1784.1600000000003</x:v>
      </x:c>
      <x:c r="I1043" s="10" t="n">
        <x:f>H1043/F1043</x:f>
        <x:v>0.4901915531963998</x:v>
      </x:c>
    </x:row>
    <x:row r="1044" ht="22" customHeight="1">
      <x:c r="A1044" s="11" t="str">
        <x:v>1933</x:v>
      </x:c>
      <x:c r="B1044" s="8" t="str">
        <x:v>Fabrikam Refrigerator 24.7CuFt X9800 Orange</x:v>
      </x:c>
      <x:c r="C1044" s="8" t="n">
        <x:v>33</x:v>
      </x:c>
      <x:c r="D1044" s="9" t="n">
        <x:v>3199.99</x:v>
      </x:c>
      <x:c r="E1044" s="9" t="n">
        <x:v>1060.22</x:v>
      </x:c>
      <x:c r="F1044" s="8" t="n">
        <x:f>C1044*D1044</x:f>
        <x:v>105599.67</x:v>
      </x:c>
      <x:c r="G1044" s="8" t="n">
        <x:f>C1044*E1044</x:f>
        <x:v>34987.26</x:v>
      </x:c>
      <x:c r="H1044" s="8" t="n">
        <x:f>F1044-G1044</x:f>
        <x:v>70612.41</x:v>
      </x:c>
      <x:c r="I1044" s="10" t="n">
        <x:f>H1044/F1044</x:f>
        <x:v>0.6686802146256707</x:v>
      </x:c>
    </x:row>
    <x:row r="1045" ht="22" customHeight="1">
      <x:c r="A1045" s="11" t="str">
        <x:v>1934</x:v>
      </x:c>
      <x:c r="B1045" s="8" t="str">
        <x:v>Fabrikam Refrigerator 19CuFt M7600 Orange</x:v>
      </x:c>
      <x:c r="C1045" s="8" t="n">
        <x:v>24</x:v>
      </x:c>
      <x:c r="D1045" s="9" t="n">
        <x:v>899</x:v>
      </x:c>
      <x:c r="E1045" s="9" t="n">
        <x:v>413.42</x:v>
      </x:c>
      <x:c r="F1045" s="8" t="n">
        <x:f>C1045*D1045</x:f>
        <x:v>21576</x:v>
      </x:c>
      <x:c r="G1045" s="8" t="n">
        <x:f>C1045*E1045</x:f>
        <x:v>9922.08</x:v>
      </x:c>
      <x:c r="H1045" s="8" t="n">
        <x:f>F1045-G1045</x:f>
        <x:v>11653.92</x:v>
      </x:c>
      <x:c r="I1045" s="10" t="n">
        <x:f>H1045/F1045</x:f>
        <x:v>0.5401334816462736</x:v>
      </x:c>
    </x:row>
    <x:row r="1046" ht="22" customHeight="1">
      <x:c r="A1046" s="11" t="str">
        <x:v>1935</x:v>
      </x:c>
      <x:c r="B1046" s="8" t="str">
        <x:v>Fabrikam Refrigerator 9.7CuFt M5600 Orange</x:v>
      </x:c>
      <x:c r="C1046" s="8" t="n">
        <x:v>22</x:v>
      </x:c>
      <x:c r="D1046" s="9" t="n">
        <x:v>493</x:v>
      </x:c>
      <x:c r="E1046" s="9" t="n">
        <x:v>226.71</x:v>
      </x:c>
      <x:c r="F1046" s="8" t="n">
        <x:f>C1046*D1046</x:f>
        <x:v>10846</x:v>
      </x:c>
      <x:c r="G1046" s="8" t="n">
        <x:f>C1046*E1046</x:f>
        <x:v>4987.62</x:v>
      </x:c>
      <x:c r="H1046" s="8" t="n">
        <x:f>F1046-G1046</x:f>
        <x:v>5858.38</x:v>
      </x:c>
      <x:c r="I1046" s="10" t="n">
        <x:f>H1046/F1046</x:f>
        <x:v>0.5401419878296146</x:v>
      </x:c>
    </x:row>
    <x:row r="1047" ht="22" customHeight="1">
      <x:c r="A1047" s="11" t="str">
        <x:v>1936</x:v>
      </x:c>
      <x:c r="B1047" s="8" t="str">
        <x:v>Fabrikam Refrigerator 4.6CuFt E2800 Orange</x:v>
      </x:c>
      <x:c r="C1047" s="8" t="n">
        <x:v>56</x:v>
      </x:c>
      <x:c r="D1047" s="9" t="n">
        <x:v>299.99</x:v>
      </x:c>
      <x:c r="E1047" s="9" t="n">
        <x:v>152.94</x:v>
      </x:c>
      <x:c r="F1047" s="8" t="n">
        <x:f>C1047*D1047</x:f>
        <x:v>16799.440000000002</x:v>
      </x:c>
      <x:c r="G1047" s="8" t="n">
        <x:f>C1047*E1047</x:f>
        <x:v>8564.64</x:v>
      </x:c>
      <x:c r="H1047" s="8" t="n">
        <x:f>F1047-G1047</x:f>
        <x:v>8234.800000000003</x:v>
      </x:c>
      <x:c r="I1047" s="10" t="n">
        <x:f>H1047/F1047</x:f>
        <x:v>0.49018300610020343</x:v>
      </x:c>
    </x:row>
    <x:row r="1048" ht="22" customHeight="1">
      <x:c r="A1048" s="11" t="str">
        <x:v>1937</x:v>
      </x:c>
      <x:c r="B1048" s="8" t="str">
        <x:v>Fabrikam Refrigerator 3.2CuFt E1600 Orange</x:v>
      </x:c>
      <x:c r="C1048" s="8" t="n">
        <x:v>21</x:v>
      </x:c>
      <x:c r="D1048" s="9" t="n">
        <x:v>279.99</x:v>
      </x:c>
      <x:c r="E1048" s="9" t="n">
        <x:v>142.75</x:v>
      </x:c>
      <x:c r="F1048" s="8" t="n">
        <x:f>C1048*D1048</x:f>
        <x:v>5879.79</x:v>
      </x:c>
      <x:c r="G1048" s="8" t="n">
        <x:f>C1048*E1048</x:f>
        <x:v>2997.75</x:v>
      </x:c>
      <x:c r="H1048" s="8" t="n">
        <x:f>F1048-G1048</x:f>
        <x:v>2882.04</x:v>
      </x:c>
      <x:c r="I1048" s="10" t="n">
        <x:f>H1048/F1048</x:f>
        <x:v>0.4901603628701025</x:v>
      </x:c>
    </x:row>
    <x:row r="1049" ht="22" customHeight="1">
      <x:c r="A1049" s="11" t="str">
        <x:v>1938</x:v>
      </x:c>
      <x:c r="B1049" s="8" t="str">
        <x:v>Fabrikam Refrigerator 1.7CuFt E1200 Orange</x:v>
      </x:c>
      <x:c r="C1049" s="8" t="n">
        <x:v>34</x:v>
      </x:c>
      <x:c r="D1049" s="9" t="n">
        <x:v>129.99</x:v>
      </x:c>
      <x:c r="E1049" s="9" t="n">
        <x:v>66.27</x:v>
      </x:c>
      <x:c r="F1049" s="8" t="n">
        <x:f>C1049*D1049</x:f>
        <x:v>4419.66</x:v>
      </x:c>
      <x:c r="G1049" s="8" t="n">
        <x:f>C1049*E1049</x:f>
        <x:v>2253.18</x:v>
      </x:c>
      <x:c r="H1049" s="8" t="n">
        <x:f>F1049-G1049</x:f>
        <x:v>2166.48</x:v>
      </x:c>
      <x:c r="I1049" s="10" t="n">
        <x:f>H1049/F1049</x:f>
        <x:v>0.49019155319639973</x:v>
      </x:c>
    </x:row>
    <x:row r="1050" ht="22" customHeight="1">
      <x:c r="A1050" s="11" t="str">
        <x:v>1939</x:v>
      </x:c>
      <x:c r="B1050" s="8" t="str">
        <x:v>Litware Refrigerator 24.7CuFt X980 White</x:v>
      </x:c>
      <x:c r="C1050" s="8" t="n">
        <x:v>7</x:v>
      </x:c>
      <x:c r="D1050" s="9" t="n">
        <x:v>3199.99</x:v>
      </x:c>
      <x:c r="E1050" s="9" t="n">
        <x:v>1060.22</x:v>
      </x:c>
      <x:c r="F1050" s="8" t="n">
        <x:f>C1050*D1050</x:f>
        <x:v>22399.93</x:v>
      </x:c>
      <x:c r="G1050" s="8" t="n">
        <x:f>C1050*E1050</x:f>
        <x:v>7421.54</x:v>
      </x:c>
      <x:c r="H1050" s="8" t="n">
        <x:f>F1050-G1050</x:f>
        <x:v>14978.39</x:v>
      </x:c>
      <x:c r="I1050" s="10" t="n">
        <x:f>H1050/F1050</x:f>
        <x:v>0.6686802146256706</x:v>
      </x:c>
    </x:row>
    <x:row r="1051" ht="22" customHeight="1">
      <x:c r="A1051" s="11" t="str">
        <x:v>194</x:v>
      </x:c>
      <x:c r="B1051" s="8" t="str">
        <x:v>Litware Home Theater System 2.1 Channel E210 Black</x:v>
      </x:c>
      <x:c r="C1051" s="8" t="n">
        <x:v>13</x:v>
      </x:c>
      <x:c r="D1051" s="9" t="n">
        <x:v>299</x:v>
      </x:c>
      <x:c r="E1051" s="9" t="n">
        <x:v>152.44</x:v>
      </x:c>
      <x:c r="F1051" s="8" t="n">
        <x:f>C1051*D1051</x:f>
        <x:v>3887</x:v>
      </x:c>
      <x:c r="G1051" s="8" t="n">
        <x:f>C1051*E1051</x:f>
        <x:v>1981.72</x:v>
      </x:c>
      <x:c r="H1051" s="8" t="n">
        <x:f>F1051-G1051</x:f>
        <x:v>1905.28</x:v>
      </x:c>
      <x:c r="I1051" s="10" t="n">
        <x:f>H1051/F1051</x:f>
        <x:v>0.4901672240802675</x:v>
      </x:c>
    </x:row>
    <x:row r="1052" ht="22" customHeight="1">
      <x:c r="A1052" s="11" t="str">
        <x:v>1940</x:v>
      </x:c>
      <x:c r="B1052" s="8" t="str">
        <x:v>Litware Refrigerator 19CuFt M760 White</x:v>
      </x:c>
      <x:c r="C1052" s="8" t="n">
        <x:v>34</x:v>
      </x:c>
      <x:c r="D1052" s="9" t="n">
        <x:v>899</x:v>
      </x:c>
      <x:c r="E1052" s="9" t="n">
        <x:v>413.42</x:v>
      </x:c>
      <x:c r="F1052" s="8" t="n">
        <x:f>C1052*D1052</x:f>
        <x:v>30566</x:v>
      </x:c>
      <x:c r="G1052" s="8" t="n">
        <x:f>C1052*E1052</x:f>
        <x:v>14056.28</x:v>
      </x:c>
      <x:c r="H1052" s="8" t="n">
        <x:f>F1052-G1052</x:f>
        <x:v>16509.72</x:v>
      </x:c>
      <x:c r="I1052" s="10" t="n">
        <x:f>H1052/F1052</x:f>
        <x:v>0.5401334816462737</x:v>
      </x:c>
    </x:row>
    <x:row r="1053" ht="22" customHeight="1">
      <x:c r="A1053" s="11" t="str">
        <x:v>1941</x:v>
      </x:c>
      <x:c r="B1053" s="8" t="str">
        <x:v>Litware Refrigerator 9.7CuFt M560 White</x:v>
      </x:c>
      <x:c r="C1053" s="8" t="n">
        <x:v>33</x:v>
      </x:c>
      <x:c r="D1053" s="9" t="n">
        <x:v>493</x:v>
      </x:c>
      <x:c r="E1053" s="9" t="n">
        <x:v>226.71</x:v>
      </x:c>
      <x:c r="F1053" s="8" t="n">
        <x:f>C1053*D1053</x:f>
        <x:v>16269</x:v>
      </x:c>
      <x:c r="G1053" s="8" t="n">
        <x:f>C1053*E1053</x:f>
        <x:v>7481.43</x:v>
      </x:c>
      <x:c r="H1053" s="8" t="n">
        <x:f>F1053-G1053</x:f>
        <x:v>8787.57</x:v>
      </x:c>
      <x:c r="I1053" s="10" t="n">
        <x:f>H1053/F1053</x:f>
        <x:v>0.5401419878296145</x:v>
      </x:c>
    </x:row>
    <x:row r="1054" ht="22" customHeight="1">
      <x:c r="A1054" s="11" t="str">
        <x:v>1942</x:v>
      </x:c>
      <x:c r="B1054" s="8" t="str">
        <x:v>Litware Refrigerator 4.6CuFt E280 White</x:v>
      </x:c>
      <x:c r="C1054" s="8" t="n">
        <x:v>28</x:v>
      </x:c>
      <x:c r="D1054" s="9" t="n">
        <x:v>299.99</x:v>
      </x:c>
      <x:c r="E1054" s="9" t="n">
        <x:v>152.94</x:v>
      </x:c>
      <x:c r="F1054" s="8" t="n">
        <x:f>C1054*D1054</x:f>
        <x:v>8399.720000000001</x:v>
      </x:c>
      <x:c r="G1054" s="8" t="n">
        <x:f>C1054*E1054</x:f>
        <x:v>4282.32</x:v>
      </x:c>
      <x:c r="H1054" s="8" t="n">
        <x:f>F1054-G1054</x:f>
        <x:v>4117.4000000000015</x:v>
      </x:c>
      <x:c r="I1054" s="10" t="n">
        <x:f>H1054/F1054</x:f>
        <x:v>0.49018300610020343</x:v>
      </x:c>
    </x:row>
    <x:row r="1055" ht="22" customHeight="1">
      <x:c r="A1055" s="11" t="str">
        <x:v>1943</x:v>
      </x:c>
      <x:c r="B1055" s="8" t="str">
        <x:v>Litware Refrigerator 3.2CuFt E160 White</x:v>
      </x:c>
      <x:c r="C1055" s="8" t="n">
        <x:v>12</x:v>
      </x:c>
      <x:c r="D1055" s="9" t="n">
        <x:v>279.99</x:v>
      </x:c>
      <x:c r="E1055" s="9" t="n">
        <x:v>142.75</x:v>
      </x:c>
      <x:c r="F1055" s="8" t="n">
        <x:f>C1055*D1055</x:f>
        <x:v>3359.88</x:v>
      </x:c>
      <x:c r="G1055" s="8" t="n">
        <x:f>C1055*E1055</x:f>
        <x:v>1713</x:v>
      </x:c>
      <x:c r="H1055" s="8" t="n">
        <x:f>F1055-G1055</x:f>
        <x:v>1646.88</x:v>
      </x:c>
      <x:c r="I1055" s="10" t="n">
        <x:f>H1055/F1055</x:f>
        <x:v>0.4901603628701025</x:v>
      </x:c>
    </x:row>
    <x:row r="1056" ht="22" customHeight="1">
      <x:c r="A1056" s="11" t="str">
        <x:v>1944</x:v>
      </x:c>
      <x:c r="B1056" s="8" t="str">
        <x:v>Litware Refrigerator 1.7CuFt E120 White</x:v>
      </x:c>
      <x:c r="C1056" s="8" t="n">
        <x:v>14</x:v>
      </x:c>
      <x:c r="D1056" s="9" t="n">
        <x:v>129.99</x:v>
      </x:c>
      <x:c r="E1056" s="9" t="n">
        <x:v>66.27</x:v>
      </x:c>
      <x:c r="F1056" s="8" t="n">
        <x:f>C1056*D1056</x:f>
        <x:v>1819.8600000000001</x:v>
      </x:c>
      <x:c r="G1056" s="8" t="n">
        <x:f>C1056*E1056</x:f>
        <x:v>927.78</x:v>
      </x:c>
      <x:c r="H1056" s="8" t="n">
        <x:f>F1056-G1056</x:f>
        <x:v>892.0800000000002</x:v>
      </x:c>
      <x:c r="I1056" s="10" t="n">
        <x:f>H1056/F1056</x:f>
        <x:v>0.4901915531963998</x:v>
      </x:c>
    </x:row>
    <x:row r="1057" ht="22" customHeight="1">
      <x:c r="A1057" s="11" t="str">
        <x:v>1945</x:v>
      </x:c>
      <x:c r="B1057" s="8" t="str">
        <x:v>Litware Refrigerator 24.7CuFt X980 Brown</x:v>
      </x:c>
      <x:c r="C1057" s="8" t="n">
        <x:v>24</x:v>
      </x:c>
      <x:c r="D1057" s="9" t="n">
        <x:v>3199.99</x:v>
      </x:c>
      <x:c r="E1057" s="9" t="n">
        <x:v>1060.22</x:v>
      </x:c>
      <x:c r="F1057" s="8" t="n">
        <x:f>C1057*D1057</x:f>
        <x:v>76799.76</x:v>
      </x:c>
      <x:c r="G1057" s="8" t="n">
        <x:f>C1057*E1057</x:f>
        <x:v>25445.28</x:v>
      </x:c>
      <x:c r="H1057" s="8" t="n">
        <x:f>F1057-G1057</x:f>
        <x:v>51354.479999999996</x:v>
      </x:c>
      <x:c r="I1057" s="10" t="n">
        <x:f>H1057/F1057</x:f>
        <x:v>0.6686802146256707</x:v>
      </x:c>
    </x:row>
    <x:row r="1058" ht="22" customHeight="1">
      <x:c r="A1058" s="11" t="str">
        <x:v>1946</x:v>
      </x:c>
      <x:c r="B1058" s="8" t="str">
        <x:v>Litware Refrigerator 19CuFt M760 Brown</x:v>
      </x:c>
      <x:c r="C1058" s="8" t="n">
        <x:v>34</x:v>
      </x:c>
      <x:c r="D1058" s="9" t="n">
        <x:v>899</x:v>
      </x:c>
      <x:c r="E1058" s="9" t="n">
        <x:v>413.42</x:v>
      </x:c>
      <x:c r="F1058" s="8" t="n">
        <x:f>C1058*D1058</x:f>
        <x:v>30566</x:v>
      </x:c>
      <x:c r="G1058" s="8" t="n">
        <x:f>C1058*E1058</x:f>
        <x:v>14056.28</x:v>
      </x:c>
      <x:c r="H1058" s="8" t="n">
        <x:f>F1058-G1058</x:f>
        <x:v>16509.72</x:v>
      </x:c>
      <x:c r="I1058" s="10" t="n">
        <x:f>H1058/F1058</x:f>
        <x:v>0.5401334816462737</x:v>
      </x:c>
    </x:row>
    <x:row r="1059" ht="22" customHeight="1">
      <x:c r="A1059" s="11" t="str">
        <x:v>1947</x:v>
      </x:c>
      <x:c r="B1059" s="8" t="str">
        <x:v>Litware Refrigerator 9.7CuFt M560 Brown</x:v>
      </x:c>
      <x:c r="C1059" s="8" t="n">
        <x:v>45</x:v>
      </x:c>
      <x:c r="D1059" s="9" t="n">
        <x:v>493</x:v>
      </x:c>
      <x:c r="E1059" s="9" t="n">
        <x:v>226.71</x:v>
      </x:c>
      <x:c r="F1059" s="8" t="n">
        <x:f>C1059*D1059</x:f>
        <x:v>22185</x:v>
      </x:c>
      <x:c r="G1059" s="8" t="n">
        <x:f>C1059*E1059</x:f>
        <x:v>10201.95</x:v>
      </x:c>
      <x:c r="H1059" s="8" t="n">
        <x:f>F1059-G1059</x:f>
        <x:v>11983.05</x:v>
      </x:c>
      <x:c r="I1059" s="10" t="n">
        <x:f>H1059/F1059</x:f>
        <x:v>0.5401419878296145</x:v>
      </x:c>
    </x:row>
    <x:row r="1060" ht="22" customHeight="1">
      <x:c r="A1060" s="11" t="str">
        <x:v>1948</x:v>
      </x:c>
      <x:c r="B1060" s="8" t="str">
        <x:v>Litware Refrigerator 4.6CuFt E280 Brown</x:v>
      </x:c>
      <x:c r="C1060" s="8" t="n">
        <x:v>18</x:v>
      </x:c>
      <x:c r="D1060" s="9" t="n">
        <x:v>299.99</x:v>
      </x:c>
      <x:c r="E1060" s="9" t="n">
        <x:v>152.94</x:v>
      </x:c>
      <x:c r="F1060" s="8" t="n">
        <x:f>C1060*D1060</x:f>
        <x:v>5399.82</x:v>
      </x:c>
      <x:c r="G1060" s="8" t="n">
        <x:f>C1060*E1060</x:f>
        <x:v>2752.92</x:v>
      </x:c>
      <x:c r="H1060" s="8" t="n">
        <x:f>F1060-G1060</x:f>
        <x:v>2646.8999999999996</x:v>
      </x:c>
      <x:c r="I1060" s="10" t="n">
        <x:f>H1060/F1060</x:f>
        <x:v>0.4901830061002033</x:v>
      </x:c>
    </x:row>
    <x:row r="1061" ht="22" customHeight="1">
      <x:c r="A1061" s="11" t="str">
        <x:v>1949</x:v>
      </x:c>
      <x:c r="B1061" s="8" t="str">
        <x:v>Litware Refrigerator 3.2CuFt E160 Brown</x:v>
      </x:c>
      <x:c r="C1061" s="8" t="n">
        <x:v>22</x:v>
      </x:c>
      <x:c r="D1061" s="9" t="n">
        <x:v>279.99</x:v>
      </x:c>
      <x:c r="E1061" s="9" t="n">
        <x:v>142.75</x:v>
      </x:c>
      <x:c r="F1061" s="8" t="n">
        <x:f>C1061*D1061</x:f>
        <x:v>6159.780000000001</x:v>
      </x:c>
      <x:c r="G1061" s="8" t="n">
        <x:f>C1061*E1061</x:f>
        <x:v>3140.5</x:v>
      </x:c>
      <x:c r="H1061" s="8" t="n">
        <x:f>F1061-G1061</x:f>
        <x:v>3019.2800000000007</x:v>
      </x:c>
      <x:c r="I1061" s="10" t="n">
        <x:f>H1061/F1061</x:f>
        <x:v>0.49016036287010256</x:v>
      </x:c>
    </x:row>
    <x:row r="1062" ht="22" customHeight="1">
      <x:c r="A1062" s="11" t="str">
        <x:v>195</x:v>
      </x:c>
      <x:c r="B1062" s="8" t="str">
        <x:v>Litware Home Theater System 5.1 Channel M510 Black</x:v>
      </x:c>
      <x:c r="C1062" s="8" t="n">
        <x:v>5</x:v>
      </x:c>
      <x:c r="D1062" s="9" t="n">
        <x:v>639</x:v>
      </x:c>
      <x:c r="E1062" s="9" t="n">
        <x:v>293.85</x:v>
      </x:c>
      <x:c r="F1062" s="8" t="n">
        <x:f>C1062*D1062</x:f>
        <x:v>3195</x:v>
      </x:c>
      <x:c r="G1062" s="8" t="n">
        <x:f>C1062*E1062</x:f>
        <x:v>1469.25</x:v>
      </x:c>
      <x:c r="H1062" s="8" t="n">
        <x:f>F1062-G1062</x:f>
        <x:v>1725.75</x:v>
      </x:c>
      <x:c r="I1062" s="10" t="n">
        <x:f>H1062/F1062</x:f>
        <x:v>0.5401408450704225</x:v>
      </x:c>
    </x:row>
    <x:row r="1063" ht="22" customHeight="1">
      <x:c r="A1063" s="11" t="str">
        <x:v>1950</x:v>
      </x:c>
      <x:c r="B1063" s="8" t="str">
        <x:v>Litware Refrigerator 1.7CuFt E120 Brown</x:v>
      </x:c>
      <x:c r="C1063" s="8" t="n">
        <x:v>17</x:v>
      </x:c>
      <x:c r="D1063" s="9" t="n">
        <x:v>129.99</x:v>
      </x:c>
      <x:c r="E1063" s="9" t="n">
        <x:v>66.27</x:v>
      </x:c>
      <x:c r="F1063" s="8" t="n">
        <x:f>C1063*D1063</x:f>
        <x:v>2209.83</x:v>
      </x:c>
      <x:c r="G1063" s="8" t="n">
        <x:f>C1063*E1063</x:f>
        <x:v>1126.59</x:v>
      </x:c>
      <x:c r="H1063" s="8" t="n">
        <x:f>F1063-G1063</x:f>
        <x:v>1083.24</x:v>
      </x:c>
      <x:c r="I1063" s="10" t="n">
        <x:f>H1063/F1063</x:f>
        <x:v>0.49019155319639973</x:v>
      </x:c>
    </x:row>
    <x:row r="1064" ht="22" customHeight="1">
      <x:c r="A1064" s="11" t="str">
        <x:v>1951</x:v>
      </x:c>
      <x:c r="B1064" s="8" t="str">
        <x:v>Litware Refrigerator 24.7CuFt X980 Silver</x:v>
      </x:c>
      <x:c r="C1064" s="8" t="n">
        <x:v>32</x:v>
      </x:c>
      <x:c r="D1064" s="9" t="n">
        <x:v>3199.99</x:v>
      </x:c>
      <x:c r="E1064" s="9" t="n">
        <x:v>1060.22</x:v>
      </x:c>
      <x:c r="F1064" s="8" t="n">
        <x:f>C1064*D1064</x:f>
        <x:v>102399.68</x:v>
      </x:c>
      <x:c r="G1064" s="8" t="n">
        <x:f>C1064*E1064</x:f>
        <x:v>33927.04</x:v>
      </x:c>
      <x:c r="H1064" s="8" t="n">
        <x:f>F1064-G1064</x:f>
        <x:v>68472.63999999998</x:v>
      </x:c>
      <x:c r="I1064" s="10" t="n">
        <x:f>H1064/F1064</x:f>
        <x:v>0.6686802146256706</x:v>
      </x:c>
    </x:row>
    <x:row r="1065" ht="22" customHeight="1">
      <x:c r="A1065" s="11" t="str">
        <x:v>1952</x:v>
      </x:c>
      <x:c r="B1065" s="8" t="str">
        <x:v>Litware Refrigerator 19CuFt M760 Silver</x:v>
      </x:c>
      <x:c r="C1065" s="8" t="n">
        <x:v>29</x:v>
      </x:c>
      <x:c r="D1065" s="9" t="n">
        <x:v>899</x:v>
      </x:c>
      <x:c r="E1065" s="9" t="n">
        <x:v>413.42</x:v>
      </x:c>
      <x:c r="F1065" s="8" t="n">
        <x:f>C1065*D1065</x:f>
        <x:v>26071</x:v>
      </x:c>
      <x:c r="G1065" s="8" t="n">
        <x:f>C1065*E1065</x:f>
        <x:v>11989.18</x:v>
      </x:c>
      <x:c r="H1065" s="8" t="n">
        <x:f>F1065-G1065</x:f>
        <x:v>14081.82</x:v>
      </x:c>
      <x:c r="I1065" s="10" t="n">
        <x:f>H1065/F1065</x:f>
        <x:v>0.5401334816462736</x:v>
      </x:c>
    </x:row>
    <x:row r="1066" ht="22" customHeight="1">
      <x:c r="A1066" s="11" t="str">
        <x:v>1953</x:v>
      </x:c>
      <x:c r="B1066" s="8" t="str">
        <x:v>Litware Refrigerator 9.7CuFt M560 Silver</x:v>
      </x:c>
      <x:c r="C1066" s="8" t="n">
        <x:v>53</x:v>
      </x:c>
      <x:c r="D1066" s="9" t="n">
        <x:v>493</x:v>
      </x:c>
      <x:c r="E1066" s="9" t="n">
        <x:v>226.71</x:v>
      </x:c>
      <x:c r="F1066" s="8" t="n">
        <x:f>C1066*D1066</x:f>
        <x:v>26129</x:v>
      </x:c>
      <x:c r="G1066" s="8" t="n">
        <x:f>C1066*E1066</x:f>
        <x:v>12015.630000000001</x:v>
      </x:c>
      <x:c r="H1066" s="8" t="n">
        <x:f>F1066-G1066</x:f>
        <x:v>14113.369999999999</x:v>
      </x:c>
      <x:c r="I1066" s="10" t="n">
        <x:f>H1066/F1066</x:f>
        <x:v>0.5401419878296145</x:v>
      </x:c>
    </x:row>
    <x:row r="1067" ht="22" customHeight="1">
      <x:c r="A1067" s="11" t="str">
        <x:v>1954</x:v>
      </x:c>
      <x:c r="B1067" s="8" t="str">
        <x:v>Litware Refrigerator 4.6CuFt E280 Silver</x:v>
      </x:c>
      <x:c r="C1067" s="8" t="n">
        <x:v>16</x:v>
      </x:c>
      <x:c r="D1067" s="9" t="n">
        <x:v>299.99</x:v>
      </x:c>
      <x:c r="E1067" s="9" t="n">
        <x:v>152.94</x:v>
      </x:c>
      <x:c r="F1067" s="8" t="n">
        <x:f>C1067*D1067</x:f>
        <x:v>4799.84</x:v>
      </x:c>
      <x:c r="G1067" s="8" t="n">
        <x:f>C1067*E1067</x:f>
        <x:v>2447.04</x:v>
      </x:c>
      <x:c r="H1067" s="8" t="n">
        <x:f>F1067-G1067</x:f>
        <x:v>2352.8</x:v>
      </x:c>
      <x:c r="I1067" s="10" t="n">
        <x:f>H1067/F1067</x:f>
        <x:v>0.4901830061002034</x:v>
      </x:c>
    </x:row>
    <x:row r="1068" ht="22" customHeight="1">
      <x:c r="A1068" s="11" t="str">
        <x:v>1955</x:v>
      </x:c>
      <x:c r="B1068" s="8" t="str">
        <x:v>Litware Refrigerator 3.2CuFt E160 Silver</x:v>
      </x:c>
      <x:c r="C1068" s="8" t="n">
        <x:v>41</x:v>
      </x:c>
      <x:c r="D1068" s="9" t="n">
        <x:v>279.99</x:v>
      </x:c>
      <x:c r="E1068" s="9" t="n">
        <x:v>142.75</x:v>
      </x:c>
      <x:c r="F1068" s="8" t="n">
        <x:f>C1068*D1068</x:f>
        <x:v>11479.59</x:v>
      </x:c>
      <x:c r="G1068" s="8" t="n">
        <x:f>C1068*E1068</x:f>
        <x:v>5852.75</x:v>
      </x:c>
      <x:c r="H1068" s="8" t="n">
        <x:f>F1068-G1068</x:f>
        <x:v>5626.84</x:v>
      </x:c>
      <x:c r="I1068" s="10" t="n">
        <x:f>H1068/F1068</x:f>
        <x:v>0.4901603628701025</x:v>
      </x:c>
    </x:row>
    <x:row r="1069" ht="22" customHeight="1">
      <x:c r="A1069" s="11" t="str">
        <x:v>1956</x:v>
      </x:c>
      <x:c r="B1069" s="8" t="str">
        <x:v>Litware Refrigerator 1.7CuFt E120 Silver</x:v>
      </x:c>
      <x:c r="C1069" s="8" t="n">
        <x:v>19</x:v>
      </x:c>
      <x:c r="D1069" s="9" t="n">
        <x:v>129.99</x:v>
      </x:c>
      <x:c r="E1069" s="9" t="n">
        <x:v>66.27</x:v>
      </x:c>
      <x:c r="F1069" s="8" t="n">
        <x:f>C1069*D1069</x:f>
        <x:v>2469.8100000000004</x:v>
      </x:c>
      <x:c r="G1069" s="8" t="n">
        <x:f>C1069*E1069</x:f>
        <x:v>1259.1299999999999</x:v>
      </x:c>
      <x:c r="H1069" s="8" t="n">
        <x:f>F1069-G1069</x:f>
        <x:v>1210.6800000000005</x:v>
      </x:c>
      <x:c r="I1069" s="10" t="n">
        <x:f>H1069/F1069</x:f>
        <x:v>0.49019155319639984</x:v>
      </x:c>
    </x:row>
    <x:row r="1070" ht="22" customHeight="1">
      <x:c r="A1070" s="11" t="str">
        <x:v>1957</x:v>
      </x:c>
      <x:c r="B1070" s="8" t="str">
        <x:v>Litware Refrigerator 24.7CuFt X980 Green</x:v>
      </x:c>
      <x:c r="C1070" s="8" t="n">
        <x:v>29</x:v>
      </x:c>
      <x:c r="D1070" s="9" t="n">
        <x:v>3199.99</x:v>
      </x:c>
      <x:c r="E1070" s="9" t="n">
        <x:v>1060.22</x:v>
      </x:c>
      <x:c r="F1070" s="8" t="n">
        <x:f>C1070*D1070</x:f>
        <x:v>92799.70999999999</x:v>
      </x:c>
      <x:c r="G1070" s="8" t="n">
        <x:f>C1070*E1070</x:f>
        <x:v>30746.38</x:v>
      </x:c>
      <x:c r="H1070" s="8" t="n">
        <x:f>F1070-G1070</x:f>
        <x:v>62053.32999999999</x:v>
      </x:c>
      <x:c r="I1070" s="10" t="n">
        <x:f>H1070/F1070</x:f>
        <x:v>0.6686802146256706</x:v>
      </x:c>
    </x:row>
    <x:row r="1071" ht="22" customHeight="1">
      <x:c r="A1071" s="11" t="str">
        <x:v>1958</x:v>
      </x:c>
      <x:c r="B1071" s="8" t="str">
        <x:v>Litware Refrigerator 19CuFt M760 Green</x:v>
      </x:c>
      <x:c r="C1071" s="8" t="n">
        <x:v>25</x:v>
      </x:c>
      <x:c r="D1071" s="9" t="n">
        <x:v>899</x:v>
      </x:c>
      <x:c r="E1071" s="9" t="n">
        <x:v>413.42</x:v>
      </x:c>
      <x:c r="F1071" s="8" t="n">
        <x:f>C1071*D1071</x:f>
        <x:v>22475</x:v>
      </x:c>
      <x:c r="G1071" s="8" t="n">
        <x:f>C1071*E1071</x:f>
        <x:v>10335.5</x:v>
      </x:c>
      <x:c r="H1071" s="8" t="n">
        <x:f>F1071-G1071</x:f>
        <x:v>12139.5</x:v>
      </x:c>
      <x:c r="I1071" s="10" t="n">
        <x:f>H1071/F1071</x:f>
        <x:v>0.5401334816462736</x:v>
      </x:c>
    </x:row>
    <x:row r="1072" ht="22" customHeight="1">
      <x:c r="A1072" s="11" t="str">
        <x:v>1959</x:v>
      </x:c>
      <x:c r="B1072" s="8" t="str">
        <x:v>Litware Refrigerator 9.7CuFt M560 Green</x:v>
      </x:c>
      <x:c r="C1072" s="8" t="n">
        <x:v>20</x:v>
      </x:c>
      <x:c r="D1072" s="9" t="n">
        <x:v>493</x:v>
      </x:c>
      <x:c r="E1072" s="9" t="n">
        <x:v>226.71</x:v>
      </x:c>
      <x:c r="F1072" s="8" t="n">
        <x:f>C1072*D1072</x:f>
        <x:v>9860</x:v>
      </x:c>
      <x:c r="G1072" s="8" t="n">
        <x:f>C1072*E1072</x:f>
        <x:v>4534.2</x:v>
      </x:c>
      <x:c r="H1072" s="8" t="n">
        <x:f>F1072-G1072</x:f>
        <x:v>5325.8</x:v>
      </x:c>
      <x:c r="I1072" s="10" t="n">
        <x:f>H1072/F1072</x:f>
        <x:v>0.5401419878296146</x:v>
      </x:c>
    </x:row>
    <x:row r="1073" ht="22" customHeight="1">
      <x:c r="A1073" s="11" t="str">
        <x:v>196</x:v>
      </x:c>
      <x:c r="B1073" s="8" t="str">
        <x:v>Litware Home Theater System 2.1 Channel E211 Black</x:v>
      </x:c>
      <x:c r="C1073" s="8" t="n">
        <x:v>24</x:v>
      </x:c>
      <x:c r="D1073" s="9" t="n">
        <x:v>269.9</x:v>
      </x:c>
      <x:c r="E1073" s="9" t="n">
        <x:v>137.6</x:v>
      </x:c>
      <x:c r="F1073" s="8" t="n">
        <x:f>C1073*D1073</x:f>
        <x:v>6477.599999999999</x:v>
      </x:c>
      <x:c r="G1073" s="8" t="n">
        <x:f>C1073*E1073</x:f>
        <x:v>3302.3999999999996</x:v>
      </x:c>
      <x:c r="H1073" s="8" t="n">
        <x:f>F1073-G1073</x:f>
        <x:v>3175.2</x:v>
      </x:c>
      <x:c r="I1073" s="10" t="n">
        <x:f>H1073/F1073</x:f>
        <x:v>0.4901815487217488</x:v>
      </x:c>
    </x:row>
    <x:row r="1074" ht="22" customHeight="1">
      <x:c r="A1074" s="11" t="str">
        <x:v>1960</x:v>
      </x:c>
      <x:c r="B1074" s="8" t="str">
        <x:v>Litware Refrigerator 4.6CuFt E280 Green</x:v>
      </x:c>
      <x:c r="C1074" s="8" t="n">
        <x:v>27</x:v>
      </x:c>
      <x:c r="D1074" s="9" t="n">
        <x:v>299.99</x:v>
      </x:c>
      <x:c r="E1074" s="9" t="n">
        <x:v>152.94</x:v>
      </x:c>
      <x:c r="F1074" s="8" t="n">
        <x:f>C1074*D1074</x:f>
        <x:v>8099.7300000000005</x:v>
      </x:c>
      <x:c r="G1074" s="8" t="n">
        <x:f>C1074*E1074</x:f>
        <x:v>4129.38</x:v>
      </x:c>
      <x:c r="H1074" s="8" t="n">
        <x:f>F1074-G1074</x:f>
        <x:v>3970.3500000000004</x:v>
      </x:c>
      <x:c r="I1074" s="10" t="n">
        <x:f>H1074/F1074</x:f>
        <x:v>0.4901830061002034</x:v>
      </x:c>
    </x:row>
    <x:row r="1075" ht="22" customHeight="1">
      <x:c r="A1075" s="11" t="str">
        <x:v>1961</x:v>
      </x:c>
      <x:c r="B1075" s="8" t="str">
        <x:v>Litware Refrigerator 3.2CuFt E160 Green</x:v>
      </x:c>
      <x:c r="C1075" s="8" t="n">
        <x:v>14</x:v>
      </x:c>
      <x:c r="D1075" s="9" t="n">
        <x:v>279.99</x:v>
      </x:c>
      <x:c r="E1075" s="9" t="n">
        <x:v>142.75</x:v>
      </x:c>
      <x:c r="F1075" s="8" t="n">
        <x:f>C1075*D1075</x:f>
        <x:v>3919.86</x:v>
      </x:c>
      <x:c r="G1075" s="8" t="n">
        <x:f>C1075*E1075</x:f>
        <x:v>1998.5</x:v>
      </x:c>
      <x:c r="H1075" s="8" t="n">
        <x:f>F1075-G1075</x:f>
        <x:v>1921.3600000000001</x:v>
      </x:c>
      <x:c r="I1075" s="10" t="n">
        <x:f>H1075/F1075</x:f>
        <x:v>0.4901603628701025</x:v>
      </x:c>
    </x:row>
    <x:row r="1076" ht="22" customHeight="1">
      <x:c r="A1076" s="11" t="str">
        <x:v>1962</x:v>
      </x:c>
      <x:c r="B1076" s="8" t="str">
        <x:v>Litware Refrigerator 1.7CuFt E120 Green</x:v>
      </x:c>
      <x:c r="C1076" s="8" t="n">
        <x:v>21</x:v>
      </x:c>
      <x:c r="D1076" s="9" t="n">
        <x:v>129.99</x:v>
      </x:c>
      <x:c r="E1076" s="9" t="n">
        <x:v>66.27</x:v>
      </x:c>
      <x:c r="F1076" s="8" t="n">
        <x:f>C1076*D1076</x:f>
        <x:v>2729.79</x:v>
      </x:c>
      <x:c r="G1076" s="8" t="n">
        <x:f>C1076*E1076</x:f>
        <x:v>1391.6699999999998</x:v>
      </x:c>
      <x:c r="H1076" s="8" t="n">
        <x:f>F1076-G1076</x:f>
        <x:v>1338.1200000000001</x:v>
      </x:c>
      <x:c r="I1076" s="10" t="n">
        <x:f>H1076/F1076</x:f>
        <x:v>0.4901915531963998</x:v>
      </x:c>
    </x:row>
    <x:row r="1077" ht="22" customHeight="1">
      <x:c r="A1077" s="11" t="str">
        <x:v>1963</x:v>
      </x:c>
      <x:c r="B1077" s="8" t="str">
        <x:v>Litware Refrigerator 24.7CuFt X980 Blue</x:v>
      </x:c>
      <x:c r="C1077" s="8" t="n">
        <x:v>15</x:v>
      </x:c>
      <x:c r="D1077" s="9" t="n">
        <x:v>3199.99</x:v>
      </x:c>
      <x:c r="E1077" s="9" t="n">
        <x:v>1060.22</x:v>
      </x:c>
      <x:c r="F1077" s="8" t="n">
        <x:f>C1077*D1077</x:f>
        <x:v>47999.85</x:v>
      </x:c>
      <x:c r="G1077" s="8" t="n">
        <x:f>C1077*E1077</x:f>
        <x:v>15903.300000000001</x:v>
      </x:c>
      <x:c r="H1077" s="8" t="n">
        <x:f>F1077-G1077</x:f>
        <x:v>32096.549999999996</x:v>
      </x:c>
      <x:c r="I1077" s="10" t="n">
        <x:f>H1077/F1077</x:f>
        <x:v>0.6686802146256706</x:v>
      </x:c>
    </x:row>
    <x:row r="1078" ht="22" customHeight="1">
      <x:c r="A1078" s="11" t="str">
        <x:v>1964</x:v>
      </x:c>
      <x:c r="B1078" s="8" t="str">
        <x:v>Litware Refrigerator 19CuFt M760 Blue</x:v>
      </x:c>
      <x:c r="C1078" s="8" t="n">
        <x:v>17</x:v>
      </x:c>
      <x:c r="D1078" s="9" t="n">
        <x:v>899</x:v>
      </x:c>
      <x:c r="E1078" s="9" t="n">
        <x:v>413.42</x:v>
      </x:c>
      <x:c r="F1078" s="8" t="n">
        <x:f>C1078*D1078</x:f>
        <x:v>15283</x:v>
      </x:c>
      <x:c r="G1078" s="8" t="n">
        <x:f>C1078*E1078</x:f>
        <x:v>7028.14</x:v>
      </x:c>
      <x:c r="H1078" s="8" t="n">
        <x:f>F1078-G1078</x:f>
        <x:v>8254.86</x:v>
      </x:c>
      <x:c r="I1078" s="10" t="n">
        <x:f>H1078/F1078</x:f>
        <x:v>0.5401334816462737</x:v>
      </x:c>
    </x:row>
    <x:row r="1079" ht="22" customHeight="1">
      <x:c r="A1079" s="11" t="str">
        <x:v>1965</x:v>
      </x:c>
      <x:c r="B1079" s="8" t="str">
        <x:v>Litware Refrigerator 9.7CuFt M560 Blue</x:v>
      </x:c>
      <x:c r="C1079" s="8" t="n">
        <x:v>15</x:v>
      </x:c>
      <x:c r="D1079" s="9" t="n">
        <x:v>493</x:v>
      </x:c>
      <x:c r="E1079" s="9" t="n">
        <x:v>226.71</x:v>
      </x:c>
      <x:c r="F1079" s="8" t="n">
        <x:f>C1079*D1079</x:f>
        <x:v>7395</x:v>
      </x:c>
      <x:c r="G1079" s="8" t="n">
        <x:f>C1079*E1079</x:f>
        <x:v>3400.65</x:v>
      </x:c>
      <x:c r="H1079" s="8" t="n">
        <x:f>F1079-G1079</x:f>
        <x:v>3994.35</x:v>
      </x:c>
      <x:c r="I1079" s="10" t="n">
        <x:f>H1079/F1079</x:f>
        <x:v>0.5401419878296146</x:v>
      </x:c>
    </x:row>
    <x:row r="1080" ht="22" customHeight="1">
      <x:c r="A1080" s="11" t="str">
        <x:v>1966</x:v>
      </x:c>
      <x:c r="B1080" s="8" t="str">
        <x:v>Litware Refrigerator 4.6CuFt E280 Blue</x:v>
      </x:c>
      <x:c r="C1080" s="8" t="n">
        <x:v>25</x:v>
      </x:c>
      <x:c r="D1080" s="9" t="n">
        <x:v>299.99</x:v>
      </x:c>
      <x:c r="E1080" s="9" t="n">
        <x:v>152.94</x:v>
      </x:c>
      <x:c r="F1080" s="8" t="n">
        <x:f>C1080*D1080</x:f>
        <x:v>7499.75</x:v>
      </x:c>
      <x:c r="G1080" s="8" t="n">
        <x:f>C1080*E1080</x:f>
        <x:v>3823.5</x:v>
      </x:c>
      <x:c r="H1080" s="8" t="n">
        <x:f>F1080-G1080</x:f>
        <x:v>3676.25</x:v>
      </x:c>
      <x:c r="I1080" s="10" t="n">
        <x:f>H1080/F1080</x:f>
        <x:v>0.4901830061002033</x:v>
      </x:c>
    </x:row>
    <x:row r="1081" ht="22" customHeight="1">
      <x:c r="A1081" s="11" t="str">
        <x:v>1967</x:v>
      </x:c>
      <x:c r="B1081" s="8" t="str">
        <x:v>Litware Refrigerator 3.2CuFt E160 Blue</x:v>
      </x:c>
      <x:c r="C1081" s="8" t="n">
        <x:v>36</x:v>
      </x:c>
      <x:c r="D1081" s="9" t="n">
        <x:v>279.99</x:v>
      </x:c>
      <x:c r="E1081" s="9" t="n">
        <x:v>142.75</x:v>
      </x:c>
      <x:c r="F1081" s="8" t="n">
        <x:f>C1081*D1081</x:f>
        <x:v>10079.64</x:v>
      </x:c>
      <x:c r="G1081" s="8" t="n">
        <x:f>C1081*E1081</x:f>
        <x:v>5139</x:v>
      </x:c>
      <x:c r="H1081" s="8" t="n">
        <x:f>F1081-G1081</x:f>
        <x:v>4940.639999999999</x:v>
      </x:c>
      <x:c r="I1081" s="10" t="n">
        <x:f>H1081/F1081</x:f>
        <x:v>0.49016036287010245</x:v>
      </x:c>
    </x:row>
    <x:row r="1082" ht="22" customHeight="1">
      <x:c r="A1082" s="11" t="str">
        <x:v>1968</x:v>
      </x:c>
      <x:c r="B1082" s="8" t="str">
        <x:v>Litware Refrigerator 1.7CuFt E120 Blue</x:v>
      </x:c>
      <x:c r="C1082" s="8" t="n">
        <x:v>26</x:v>
      </x:c>
      <x:c r="D1082" s="9" t="n">
        <x:v>129.99</x:v>
      </x:c>
      <x:c r="E1082" s="9" t="n">
        <x:v>66.27</x:v>
      </x:c>
      <x:c r="F1082" s="8" t="n">
        <x:f>C1082*D1082</x:f>
        <x:v>3379.7400000000002</x:v>
      </x:c>
      <x:c r="G1082" s="8" t="n">
        <x:f>C1082*E1082</x:f>
        <x:v>1723.02</x:v>
      </x:c>
      <x:c r="H1082" s="8" t="n">
        <x:f>F1082-G1082</x:f>
        <x:v>1656.7200000000003</x:v>
      </x:c>
      <x:c r="I1082" s="10" t="n">
        <x:f>H1082/F1082</x:f>
        <x:v>0.4901915531963998</x:v>
      </x:c>
    </x:row>
    <x:row r="1083" ht="22" customHeight="1">
      <x:c r="A1083" s="11" t="str">
        <x:v>1969</x:v>
      </x:c>
      <x:c r="B1083" s="8" t="str">
        <x:v>Litware Refrigerator 24.7CuFt X980 Grey</x:v>
      </x:c>
      <x:c r="C1083" s="8" t="n">
        <x:v>24</x:v>
      </x:c>
      <x:c r="D1083" s="9" t="n">
        <x:v>3199.99</x:v>
      </x:c>
      <x:c r="E1083" s="9" t="n">
        <x:v>1060.22</x:v>
      </x:c>
      <x:c r="F1083" s="8" t="n">
        <x:f>C1083*D1083</x:f>
        <x:v>76799.76</x:v>
      </x:c>
      <x:c r="G1083" s="8" t="n">
        <x:f>C1083*E1083</x:f>
        <x:v>25445.28</x:v>
      </x:c>
      <x:c r="H1083" s="8" t="n">
        <x:f>F1083-G1083</x:f>
        <x:v>51354.479999999996</x:v>
      </x:c>
      <x:c r="I1083" s="10" t="n">
        <x:f>H1083/F1083</x:f>
        <x:v>0.6686802146256707</x:v>
      </x:c>
    </x:row>
    <x:row r="1084" ht="22" customHeight="1">
      <x:c r="A1084" s="11" t="str">
        <x:v>197</x:v>
      </x:c>
      <x:c r="B1084" s="8" t="str">
        <x:v>Litware Home Theater System 2.1 Channel E212 Black</x:v>
      </x:c>
      <x:c r="C1084" s="8" t="n">
        <x:v>3</x:v>
      </x:c>
      <x:c r="D1084" s="9" t="n">
        <x:v>299.9</x:v>
      </x:c>
      <x:c r="E1084" s="9" t="n">
        <x:v>152.9</x:v>
      </x:c>
      <x:c r="F1084" s="8" t="n">
        <x:f>C1084*D1084</x:f>
        <x:v>899.6999999999999</x:v>
      </x:c>
      <x:c r="G1084" s="8" t="n">
        <x:f>C1084*E1084</x:f>
        <x:v>458.70000000000005</x:v>
      </x:c>
      <x:c r="H1084" s="8" t="n">
        <x:f>F1084-G1084</x:f>
        <x:v>440.9999999999999</x:v>
      </x:c>
      <x:c r="I1084" s="10" t="n">
        <x:f>H1084/F1084</x:f>
        <x:v>0.4901633877959319</x:v>
      </x:c>
    </x:row>
    <x:row r="1085" ht="22" customHeight="1">
      <x:c r="A1085" s="11" t="str">
        <x:v>1970</x:v>
      </x:c>
      <x:c r="B1085" s="8" t="str">
        <x:v>Litware Refrigerator 19CuFt M760 Grey</x:v>
      </x:c>
      <x:c r="C1085" s="8" t="n">
        <x:v>62</x:v>
      </x:c>
      <x:c r="D1085" s="9" t="n">
        <x:v>899</x:v>
      </x:c>
      <x:c r="E1085" s="9" t="n">
        <x:v>413.42</x:v>
      </x:c>
      <x:c r="F1085" s="8" t="n">
        <x:f>C1085*D1085</x:f>
        <x:v>55738</x:v>
      </x:c>
      <x:c r="G1085" s="8" t="n">
        <x:f>C1085*E1085</x:f>
        <x:v>25632.04</x:v>
      </x:c>
      <x:c r="H1085" s="8" t="n">
        <x:f>F1085-G1085</x:f>
        <x:v>30105.96</x:v>
      </x:c>
      <x:c r="I1085" s="10" t="n">
        <x:f>H1085/F1085</x:f>
        <x:v>0.5401334816462736</x:v>
      </x:c>
    </x:row>
    <x:row r="1086" ht="22" customHeight="1">
      <x:c r="A1086" s="11" t="str">
        <x:v>1971</x:v>
      </x:c>
      <x:c r="B1086" s="8" t="str">
        <x:v>Litware Refrigerator 9.7CuFt M560 Grey</x:v>
      </x:c>
      <x:c r="C1086" s="8" t="n">
        <x:v>18</x:v>
      </x:c>
      <x:c r="D1086" s="9" t="n">
        <x:v>493</x:v>
      </x:c>
      <x:c r="E1086" s="9" t="n">
        <x:v>226.71</x:v>
      </x:c>
      <x:c r="F1086" s="8" t="n">
        <x:f>C1086*D1086</x:f>
        <x:v>8874</x:v>
      </x:c>
      <x:c r="G1086" s="8" t="n">
        <x:f>C1086*E1086</x:f>
        <x:v>4080.78</x:v>
      </x:c>
      <x:c r="H1086" s="8" t="n">
        <x:f>F1086-G1086</x:f>
        <x:v>4793.219999999999</x:v>
      </x:c>
      <x:c r="I1086" s="10" t="n">
        <x:f>H1086/F1086</x:f>
        <x:v>0.5401419878296145</x:v>
      </x:c>
    </x:row>
    <x:row r="1087" ht="22" customHeight="1">
      <x:c r="A1087" s="11" t="str">
        <x:v>1972</x:v>
      </x:c>
      <x:c r="B1087" s="8" t="str">
        <x:v>Litware Refrigerator 4.6CuFt E280 Grey</x:v>
      </x:c>
      <x:c r="C1087" s="8" t="n">
        <x:v>17</x:v>
      </x:c>
      <x:c r="D1087" s="9" t="n">
        <x:v>299.99</x:v>
      </x:c>
      <x:c r="E1087" s="9" t="n">
        <x:v>152.94</x:v>
      </x:c>
      <x:c r="F1087" s="8" t="n">
        <x:f>C1087*D1087</x:f>
        <x:v>5099.83</x:v>
      </x:c>
      <x:c r="G1087" s="8" t="n">
        <x:f>C1087*E1087</x:f>
        <x:v>2599.98</x:v>
      </x:c>
      <x:c r="H1087" s="8" t="n">
        <x:f>F1087-G1087</x:f>
        <x:v>2499.85</x:v>
      </x:c>
      <x:c r="I1087" s="10" t="n">
        <x:f>H1087/F1087</x:f>
        <x:v>0.4901830061002033</x:v>
      </x:c>
    </x:row>
    <x:row r="1088" ht="22" customHeight="1">
      <x:c r="A1088" s="11" t="str">
        <x:v>1973</x:v>
      </x:c>
      <x:c r="B1088" s="8" t="str">
        <x:v>Litware Refrigerator 3.2CuFt E160 Grey</x:v>
      </x:c>
      <x:c r="C1088" s="8" t="n">
        <x:v>15</x:v>
      </x:c>
      <x:c r="D1088" s="9" t="n">
        <x:v>279.99</x:v>
      </x:c>
      <x:c r="E1088" s="9" t="n">
        <x:v>142.75</x:v>
      </x:c>
      <x:c r="F1088" s="8" t="n">
        <x:f>C1088*D1088</x:f>
        <x:v>4199.85</x:v>
      </x:c>
      <x:c r="G1088" s="8" t="n">
        <x:f>C1088*E1088</x:f>
        <x:v>2141.25</x:v>
      </x:c>
      <x:c r="H1088" s="8" t="n">
        <x:f>F1088-G1088</x:f>
        <x:v>2058.6000000000004</x:v>
      </x:c>
      <x:c r="I1088" s="10" t="n">
        <x:f>H1088/F1088</x:f>
        <x:v>0.49016036287010256</x:v>
      </x:c>
    </x:row>
    <x:row r="1089" ht="22" customHeight="1">
      <x:c r="A1089" s="11" t="str">
        <x:v>1974</x:v>
      </x:c>
      <x:c r="B1089" s="8" t="str">
        <x:v>Litware Refrigerator 1.7CuFt E120 Grey</x:v>
      </x:c>
      <x:c r="C1089" s="8" t="n">
        <x:v>12</x:v>
      </x:c>
      <x:c r="D1089" s="9" t="n">
        <x:v>129.99</x:v>
      </x:c>
      <x:c r="E1089" s="9" t="n">
        <x:v>66.27</x:v>
      </x:c>
      <x:c r="F1089" s="8" t="n">
        <x:f>C1089*D1089</x:f>
        <x:v>1559.88</x:v>
      </x:c>
      <x:c r="G1089" s="8" t="n">
        <x:f>C1089*E1089</x:f>
        <x:v>795.24</x:v>
      </x:c>
      <x:c r="H1089" s="8" t="n">
        <x:f>F1089-G1089</x:f>
        <x:v>764.6400000000001</x:v>
      </x:c>
      <x:c r="I1089" s="10" t="n">
        <x:f>H1089/F1089</x:f>
        <x:v>0.49019155319639973</x:v>
      </x:c>
    </x:row>
    <x:row r="1090" ht="22" customHeight="1">
      <x:c r="A1090" s="11" t="str">
        <x:v>1975</x:v>
      </x:c>
      <x:c r="B1090" s="8" t="str">
        <x:v>Litware Refrigerator L1200 Orange</x:v>
      </x:c>
      <x:c r="C1090" s="8" t="n">
        <x:v>33</x:v>
      </x:c>
      <x:c r="D1090" s="9" t="n">
        <x:v>3199.99</x:v>
      </x:c>
      <x:c r="E1090" s="9" t="n">
        <x:v>1060.22</x:v>
      </x:c>
      <x:c r="F1090" s="8" t="n">
        <x:f>C1090*D1090</x:f>
        <x:v>105599.67</x:v>
      </x:c>
      <x:c r="G1090" s="8" t="n">
        <x:f>C1090*E1090</x:f>
        <x:v>34987.26</x:v>
      </x:c>
      <x:c r="H1090" s="8" t="n">
        <x:f>F1090-G1090</x:f>
        <x:v>70612.41</x:v>
      </x:c>
      <x:c r="I1090" s="10" t="n">
        <x:f>H1090/F1090</x:f>
        <x:v>0.6686802146256707</x:v>
      </x:c>
    </x:row>
    <x:row r="1091" ht="22" customHeight="1">
      <x:c r="A1091" s="11" t="str">
        <x:v>1976</x:v>
      </x:c>
      <x:c r="B1091" s="8" t="str">
        <x:v>Litware Refrigerator 19CuFt M760 Orange</x:v>
      </x:c>
      <x:c r="C1091" s="8" t="n">
        <x:v>43</x:v>
      </x:c>
      <x:c r="D1091" s="9" t="n">
        <x:v>899</x:v>
      </x:c>
      <x:c r="E1091" s="9" t="n">
        <x:v>413.42</x:v>
      </x:c>
      <x:c r="F1091" s="8" t="n">
        <x:f>C1091*D1091</x:f>
        <x:v>38657</x:v>
      </x:c>
      <x:c r="G1091" s="8" t="n">
        <x:f>C1091*E1091</x:f>
        <x:v>17777.06</x:v>
      </x:c>
      <x:c r="H1091" s="8" t="n">
        <x:f>F1091-G1091</x:f>
        <x:v>20879.94</x:v>
      </x:c>
      <x:c r="I1091" s="10" t="n">
        <x:f>H1091/F1091</x:f>
        <x:v>0.5401334816462736</x:v>
      </x:c>
    </x:row>
    <x:row r="1092" ht="22" customHeight="1">
      <x:c r="A1092" s="11" t="str">
        <x:v>1977</x:v>
      </x:c>
      <x:c r="B1092" s="8" t="str">
        <x:v>Litware Refrigerator 9.7CuFt M560 Orange</x:v>
      </x:c>
      <x:c r="C1092" s="8" t="n">
        <x:v>36</x:v>
      </x:c>
      <x:c r="D1092" s="9" t="n">
        <x:v>493</x:v>
      </x:c>
      <x:c r="E1092" s="9" t="n">
        <x:v>226.71</x:v>
      </x:c>
      <x:c r="F1092" s="8" t="n">
        <x:f>C1092*D1092</x:f>
        <x:v>17748</x:v>
      </x:c>
      <x:c r="G1092" s="8" t="n">
        <x:f>C1092*E1092</x:f>
        <x:v>8161.56</x:v>
      </x:c>
      <x:c r="H1092" s="8" t="n">
        <x:f>F1092-G1092</x:f>
        <x:v>9586.439999999999</x:v>
      </x:c>
      <x:c r="I1092" s="10" t="n">
        <x:f>H1092/F1092</x:f>
        <x:v>0.5401419878296145</x:v>
      </x:c>
    </x:row>
    <x:row r="1093" ht="22" customHeight="1">
      <x:c r="A1093" s="11" t="str">
        <x:v>1978</x:v>
      </x:c>
      <x:c r="B1093" s="8" t="str">
        <x:v>Litware Refrigerator 4.6CuFt E280 Orange</x:v>
      </x:c>
      <x:c r="C1093" s="8" t="n">
        <x:v>20</x:v>
      </x:c>
      <x:c r="D1093" s="9" t="n">
        <x:v>299.99</x:v>
      </x:c>
      <x:c r="E1093" s="9" t="n">
        <x:v>152.94</x:v>
      </x:c>
      <x:c r="F1093" s="8" t="n">
        <x:f>C1093*D1093</x:f>
        <x:v>5999.8</x:v>
      </x:c>
      <x:c r="G1093" s="8" t="n">
        <x:f>C1093*E1093</x:f>
        <x:v>3058.8</x:v>
      </x:c>
      <x:c r="H1093" s="8" t="n">
        <x:f>F1093-G1093</x:f>
        <x:v>2941</x:v>
      </x:c>
      <x:c r="I1093" s="10" t="n">
        <x:f>H1093/F1093</x:f>
        <x:v>0.4901830061002033</x:v>
      </x:c>
    </x:row>
    <x:row r="1094" ht="22" customHeight="1">
      <x:c r="A1094" s="11" t="str">
        <x:v>1979</x:v>
      </x:c>
      <x:c r="B1094" s="8" t="str">
        <x:v>Litware Refrigerator 3.2CuFt E160 Orange</x:v>
      </x:c>
      <x:c r="C1094" s="8" t="n">
        <x:v>21</x:v>
      </x:c>
      <x:c r="D1094" s="9" t="n">
        <x:v>279.99</x:v>
      </x:c>
      <x:c r="E1094" s="9" t="n">
        <x:v>142.75</x:v>
      </x:c>
      <x:c r="F1094" s="8" t="n">
        <x:f>C1094*D1094</x:f>
        <x:v>5879.79</x:v>
      </x:c>
      <x:c r="G1094" s="8" t="n">
        <x:f>C1094*E1094</x:f>
        <x:v>2997.75</x:v>
      </x:c>
      <x:c r="H1094" s="8" t="n">
        <x:f>F1094-G1094</x:f>
        <x:v>2882.04</x:v>
      </x:c>
      <x:c r="I1094" s="10" t="n">
        <x:f>H1094/F1094</x:f>
        <x:v>0.4901603628701025</x:v>
      </x:c>
    </x:row>
    <x:row r="1095" ht="22" customHeight="1">
      <x:c r="A1095" s="11" t="str">
        <x:v>198</x:v>
      </x:c>
      <x:c r="B1095" s="8" t="str">
        <x:v>Litware Home Theater System 4.1 Channel M411 Black</x:v>
      </x:c>
      <x:c r="C1095" s="8" t="n">
        <x:v>9</x:v>
      </x:c>
      <x:c r="D1095" s="9" t="n">
        <x:v>599</x:v>
      </x:c>
      <x:c r="E1095" s="9" t="n">
        <x:v>275.46</x:v>
      </x:c>
      <x:c r="F1095" s="8" t="n">
        <x:f>C1095*D1095</x:f>
        <x:v>5391</x:v>
      </x:c>
      <x:c r="G1095" s="8" t="n">
        <x:f>C1095*E1095</x:f>
        <x:v>2479.14</x:v>
      </x:c>
      <x:c r="H1095" s="8" t="n">
        <x:f>F1095-G1095</x:f>
        <x:v>2911.86</x:v>
      </x:c>
      <x:c r="I1095" s="10" t="n">
        <x:f>H1095/F1095</x:f>
        <x:v>0.5401335559265442</x:v>
      </x:c>
    </x:row>
    <x:row r="1096" ht="22" customHeight="1">
      <x:c r="A1096" s="11" t="str">
        <x:v>1980</x:v>
      </x:c>
      <x:c r="B1096" s="8" t="str">
        <x:v>Litware Refrigerator 1.7CuFt E120 Orange</x:v>
      </x:c>
      <x:c r="C1096" s="8" t="n">
        <x:v>32</x:v>
      </x:c>
      <x:c r="D1096" s="9" t="n">
        <x:v>129.99</x:v>
      </x:c>
      <x:c r="E1096" s="9" t="n">
        <x:v>66.27</x:v>
      </x:c>
      <x:c r="F1096" s="8" t="n">
        <x:f>C1096*D1096</x:f>
        <x:v>4159.68</x:v>
      </x:c>
      <x:c r="G1096" s="8" t="n">
        <x:f>C1096*E1096</x:f>
        <x:v>2120.64</x:v>
      </x:c>
      <x:c r="H1096" s="8" t="n">
        <x:f>F1096-G1096</x:f>
        <x:v>2039.0400000000004</x:v>
      </x:c>
      <x:c r="I1096" s="10" t="n">
        <x:f>H1096/F1096</x:f>
        <x:v>0.4901915531963998</x:v>
      </x:c>
    </x:row>
    <x:row r="1097" ht="22" customHeight="1">
      <x:c r="A1097" s="11" t="str">
        <x:v>1981</x:v>
      </x:c>
      <x:c r="B1097" s="8" t="str">
        <x:v>Litware Refrigerator 19CuFt M760 Red</x:v>
      </x:c>
      <x:c r="C1097" s="8" t="n">
        <x:v>41</x:v>
      </x:c>
      <x:c r="D1097" s="9" t="n">
        <x:v>899</x:v>
      </x:c>
      <x:c r="E1097" s="9" t="n">
        <x:v>413.42</x:v>
      </x:c>
      <x:c r="F1097" s="8" t="n">
        <x:f>C1097*D1097</x:f>
        <x:v>36859</x:v>
      </x:c>
      <x:c r="G1097" s="8" t="n">
        <x:f>C1097*E1097</x:f>
        <x:v>16950.22</x:v>
      </x:c>
      <x:c r="H1097" s="8" t="n">
        <x:f>F1097-G1097</x:f>
        <x:v>19908.78</x:v>
      </x:c>
      <x:c r="I1097" s="10" t="n">
        <x:f>H1097/F1097</x:f>
        <x:v>0.5401334816462736</x:v>
      </x:c>
    </x:row>
    <x:row r="1098" ht="22" customHeight="1">
      <x:c r="A1098" s="11" t="str">
        <x:v>1982</x:v>
      </x:c>
      <x:c r="B1098" s="8" t="str">
        <x:v>Litware Refrigerator 9.7CuFt M560 Red</x:v>
      </x:c>
      <x:c r="C1098" s="8" t="n">
        <x:v>13</x:v>
      </x:c>
      <x:c r="D1098" s="9" t="n">
        <x:v>493</x:v>
      </x:c>
      <x:c r="E1098" s="9" t="n">
        <x:v>226.71</x:v>
      </x:c>
      <x:c r="F1098" s="8" t="n">
        <x:f>C1098*D1098</x:f>
        <x:v>6409</x:v>
      </x:c>
      <x:c r="G1098" s="8" t="n">
        <x:f>C1098*E1098</x:f>
        <x:v>2947.23</x:v>
      </x:c>
      <x:c r="H1098" s="8" t="n">
        <x:f>F1098-G1098</x:f>
        <x:v>3461.77</x:v>
      </x:c>
      <x:c r="I1098" s="10" t="n">
        <x:f>H1098/F1098</x:f>
        <x:v>0.5401419878296146</x:v>
      </x:c>
    </x:row>
    <x:row r="1099" ht="22" customHeight="1">
      <x:c r="A1099" s="11" t="str">
        <x:v>1983</x:v>
      </x:c>
      <x:c r="B1099" s="8" t="str">
        <x:v>Fabrikam Microwave 1.5CuFt X1100 White</x:v>
      </x:c>
      <x:c r="C1099" s="8" t="n">
        <x:v>37</x:v>
      </x:c>
      <x:c r="D1099" s="9" t="n">
        <x:v>665.94</x:v>
      </x:c>
      <x:c r="E1099" s="9" t="n">
        <x:v>220.64</x:v>
      </x:c>
      <x:c r="F1099" s="8" t="n">
        <x:f>C1099*D1099</x:f>
        <x:v>24639.780000000002</x:v>
      </x:c>
      <x:c r="G1099" s="8" t="n">
        <x:f>C1099*E1099</x:f>
        <x:v>8163.679999999999</x:v>
      </x:c>
      <x:c r="H1099" s="8" t="n">
        <x:f>F1099-G1099</x:f>
        <x:v>16476.100000000002</x:v>
      </x:c>
      <x:c r="I1099" s="10" t="n">
        <x:f>H1099/F1099</x:f>
        <x:v>0.6686788599573535</x:v>
      </x:c>
    </x:row>
    <x:row r="1100" ht="22" customHeight="1">
      <x:c r="A1100" s="11" t="str">
        <x:v>1984</x:v>
      </x:c>
      <x:c r="B1100" s="8" t="str">
        <x:v>Fabrikam Microwave 2.2CuFt M1250 White</x:v>
      </x:c>
      <x:c r="C1100" s="8" t="n">
        <x:v>76</x:v>
      </x:c>
      <x:c r="D1100" s="9" t="n">
        <x:v>199.99</x:v>
      </x:c>
      <x:c r="E1100" s="9" t="n">
        <x:v>91.97</x:v>
      </x:c>
      <x:c r="F1100" s="8" t="n">
        <x:f>C1100*D1100</x:f>
        <x:v>15199.240000000002</x:v>
      </x:c>
      <x:c r="G1100" s="8" t="n">
        <x:f>C1100*E1100</x:f>
        <x:v>6989.72</x:v>
      </x:c>
      <x:c r="H1100" s="8" t="n">
        <x:f>F1100-G1100</x:f>
        <x:v>8209.52</x:v>
      </x:c>
      <x:c r="I1100" s="10" t="n">
        <x:f>H1100/F1100</x:f>
        <x:v>0.5401270063503175</x:v>
      </x:c>
    </x:row>
    <x:row r="1101" ht="22" customHeight="1">
      <x:c r="A1101" s="11" t="str">
        <x:v>1985</x:v>
      </x:c>
      <x:c r="B1101" s="8" t="str">
        <x:v>Fabrikam Microwave 1.6CuFt M1250 White</x:v>
      </x:c>
      <x:c r="C1101" s="8" t="n">
        <x:v>45</x:v>
      </x:c>
      <x:c r="D1101" s="9" t="n">
        <x:v>179.99</x:v>
      </x:c>
      <x:c r="E1101" s="9" t="n">
        <x:v>82.77</x:v>
      </x:c>
      <x:c r="F1101" s="8" t="n">
        <x:f>C1101*D1101</x:f>
        <x:v>8099.55</x:v>
      </x:c>
      <x:c r="G1101" s="8" t="n">
        <x:f>C1101*E1101</x:f>
        <x:v>3724.6499999999996</x:v>
      </x:c>
      <x:c r="H1101" s="8" t="n">
        <x:f>F1101-G1101</x:f>
        <x:v>4374.900000000001</x:v>
      </x:c>
      <x:c r="I1101" s="10" t="n">
        <x:f>H1101/F1101</x:f>
        <x:v>0.5401411189510529</x:v>
      </x:c>
    </x:row>
    <x:row r="1102" ht="22" customHeight="1">
      <x:c r="A1102" s="11" t="str">
        <x:v>1986</x:v>
      </x:c>
      <x:c r="B1102" s="8" t="str">
        <x:v>Fabrikam Microwave 1.0CuFt E1100 White</x:v>
      </x:c>
      <x:c r="C1102" s="8" t="n">
        <x:v>58</x:v>
      </x:c>
      <x:c r="D1102" s="9" t="n">
        <x:v>139.99</x:v>
      </x:c>
      <x:c r="E1102" s="9" t="n">
        <x:v>71.37</x:v>
      </x:c>
      <x:c r="F1102" s="8" t="n">
        <x:f>C1102*D1102</x:f>
        <x:v>8119.42</x:v>
      </x:c>
      <x:c r="G1102" s="8" t="n">
        <x:f>C1102*E1102</x:f>
        <x:v>4139.46</x:v>
      </x:c>
      <x:c r="H1102" s="8" t="n">
        <x:f>F1102-G1102</x:f>
        <x:v>3979.96</x:v>
      </x:c>
      <x:c r="I1102" s="10" t="n">
        <x:f>H1102/F1102</x:f>
        <x:v>0.4901778698478463</x:v>
      </x:c>
    </x:row>
    <x:row r="1103" ht="22" customHeight="1">
      <x:c r="A1103" s="11" t="str">
        <x:v>1987</x:v>
      </x:c>
      <x:c r="B1103" s="8" t="str">
        <x:v>Fabrikam Microwave 0.9CuFt E0900 White</x:v>
      </x:c>
      <x:c r="C1103" s="8" t="n">
        <x:v>59</x:v>
      </x:c>
      <x:c r="D1103" s="9" t="n">
        <x:v>99.99</x:v>
      </x:c>
      <x:c r="E1103" s="9" t="n">
        <x:v>50.98</x:v>
      </x:c>
      <x:c r="F1103" s="8" t="n">
        <x:f>C1103*D1103</x:f>
        <x:v>5899.41</x:v>
      </x:c>
      <x:c r="G1103" s="8" t="n">
        <x:f>C1103*E1103</x:f>
        <x:v>3007.8199999999997</x:v>
      </x:c>
      <x:c r="H1103" s="8" t="n">
        <x:f>F1103-G1103</x:f>
        <x:v>2891.59</x:v>
      </x:c>
      <x:c r="I1103" s="10" t="n">
        <x:f>H1103/F1103</x:f>
        <x:v>0.4901490149014902</x:v>
      </x:c>
    </x:row>
    <x:row r="1104" ht="22" customHeight="1">
      <x:c r="A1104" s="11" t="str">
        <x:v>1988</x:v>
      </x:c>
      <x:c r="B1104" s="8" t="str">
        <x:v>Fabrikam Microwave 0.8CuFt E0800 White</x:v>
      </x:c>
      <x:c r="C1104" s="8" t="n">
        <x:v>27</x:v>
      </x:c>
      <x:c r="D1104" s="9" t="n">
        <x:v>94.99</x:v>
      </x:c>
      <x:c r="E1104" s="9" t="n">
        <x:v>48.43</x:v>
      </x:c>
      <x:c r="F1104" s="8" t="n">
        <x:f>C1104*D1104</x:f>
        <x:v>2564.73</x:v>
      </x:c>
      <x:c r="G1104" s="8" t="n">
        <x:f>C1104*E1104</x:f>
        <x:v>1307.61</x:v>
      </x:c>
      <x:c r="H1104" s="8" t="n">
        <x:f>F1104-G1104</x:f>
        <x:v>1257.1200000000001</x:v>
      </x:c>
      <x:c r="I1104" s="10" t="n">
        <x:f>H1104/F1104</x:f>
        <x:v>0.49015685861669656</x:v>
      </x:c>
    </x:row>
    <x:row r="1105" ht="22" customHeight="1">
      <x:c r="A1105" s="11" t="str">
        <x:v>1989</x:v>
      </x:c>
      <x:c r="B1105" s="8" t="str">
        <x:v>Fabrikam Microwave 1.5CuFt X1100 Silver</x:v>
      </x:c>
      <x:c r="C1105" s="8" t="n">
        <x:v>50</x:v>
      </x:c>
      <x:c r="D1105" s="9" t="n">
        <x:v>665.94</x:v>
      </x:c>
      <x:c r="E1105" s="9" t="n">
        <x:v>220.64</x:v>
      </x:c>
      <x:c r="F1105" s="8" t="n">
        <x:f>C1105*D1105</x:f>
        <x:v>33297</x:v>
      </x:c>
      <x:c r="G1105" s="8" t="n">
        <x:f>C1105*E1105</x:f>
        <x:v>11032</x:v>
      </x:c>
      <x:c r="H1105" s="8" t="n">
        <x:f>F1105-G1105</x:f>
        <x:v>22265</x:v>
      </x:c>
      <x:c r="I1105" s="10" t="n">
        <x:f>H1105/F1105</x:f>
        <x:v>0.6686788599573535</x:v>
      </x:c>
    </x:row>
    <x:row r="1106" ht="22" customHeight="1">
      <x:c r="A1106" s="11" t="str">
        <x:v>199</x:v>
      </x:c>
      <x:c r="B1106" s="8" t="str">
        <x:v>Litware Home Theater System 4.1 Channel M412 Black</x:v>
      </x:c>
      <x:c r="C1106" s="8" t="n">
        <x:v>5</x:v>
      </x:c>
      <x:c r="D1106" s="9" t="n">
        <x:v>569</x:v>
      </x:c>
      <x:c r="E1106" s="9" t="n">
        <x:v>261.66</x:v>
      </x:c>
      <x:c r="F1106" s="8" t="n">
        <x:f>C1106*D1106</x:f>
        <x:v>2845</x:v>
      </x:c>
      <x:c r="G1106" s="8" t="n">
        <x:f>C1106*E1106</x:f>
        <x:v>1308.3000000000002</x:v>
      </x:c>
      <x:c r="H1106" s="8" t="n">
        <x:f>F1106-G1106</x:f>
        <x:v>1536.6999999999998</x:v>
      </x:c>
      <x:c r="I1106" s="10" t="n">
        <x:f>H1106/F1106</x:f>
        <x:v>0.540140597539543</x:v>
      </x:c>
    </x:row>
    <x:row r="1107" ht="22" customHeight="1">
      <x:c r="A1107" s="11" t="str">
        <x:v>1990</x:v>
      </x:c>
      <x:c r="B1107" s="8" t="str">
        <x:v>Fabrikam Microwave 2.2CuFt M1250 Silver</x:v>
      </x:c>
      <x:c r="C1107" s="8" t="n">
        <x:v>73</x:v>
      </x:c>
      <x:c r="D1107" s="9" t="n">
        <x:v>199.99</x:v>
      </x:c>
      <x:c r="E1107" s="9" t="n">
        <x:v>91.97</x:v>
      </x:c>
      <x:c r="F1107" s="8" t="n">
        <x:f>C1107*D1107</x:f>
        <x:v>14599.27</x:v>
      </x:c>
      <x:c r="G1107" s="8" t="n">
        <x:f>C1107*E1107</x:f>
        <x:v>6713.8099999999995</x:v>
      </x:c>
      <x:c r="H1107" s="8" t="n">
        <x:f>F1107-G1107</x:f>
        <x:v>7885.460000000001</x:v>
      </x:c>
      <x:c r="I1107" s="10" t="n">
        <x:f>H1107/F1107</x:f>
        <x:v>0.5401270063503175</x:v>
      </x:c>
    </x:row>
    <x:row r="1108" ht="22" customHeight="1">
      <x:c r="A1108" s="11" t="str">
        <x:v>1991</x:v>
      </x:c>
      <x:c r="B1108" s="8" t="str">
        <x:v>Fabrikam Microwave 1.6CuFt M1250 Silver</x:v>
      </x:c>
      <x:c r="C1108" s="8" t="n">
        <x:v>70</x:v>
      </x:c>
      <x:c r="D1108" s="9" t="n">
        <x:v>179.99</x:v>
      </x:c>
      <x:c r="E1108" s="9" t="n">
        <x:v>82.77</x:v>
      </x:c>
      <x:c r="F1108" s="8" t="n">
        <x:f>C1108*D1108</x:f>
        <x:v>12599.300000000001</x:v>
      </x:c>
      <x:c r="G1108" s="8" t="n">
        <x:f>C1108*E1108</x:f>
        <x:v>5793.9</x:v>
      </x:c>
      <x:c r="H1108" s="8" t="n">
        <x:f>F1108-G1108</x:f>
        <x:v>6805.4000000000015</x:v>
      </x:c>
      <x:c r="I1108" s="10" t="n">
        <x:f>H1108/F1108</x:f>
        <x:v>0.5401411189510529</x:v>
      </x:c>
    </x:row>
    <x:row r="1109" ht="22" customHeight="1">
      <x:c r="A1109" s="11" t="str">
        <x:v>1992</x:v>
      </x:c>
      <x:c r="B1109" s="8" t="str">
        <x:v>Fabrikam Microwave 1.0CuFt E1100 Silver</x:v>
      </x:c>
      <x:c r="C1109" s="8" t="n">
        <x:v>47</x:v>
      </x:c>
      <x:c r="D1109" s="9" t="n">
        <x:v>139.99</x:v>
      </x:c>
      <x:c r="E1109" s="9" t="n">
        <x:v>71.37</x:v>
      </x:c>
      <x:c r="F1109" s="8" t="n">
        <x:f>C1109*D1109</x:f>
        <x:v>6579.530000000001</x:v>
      </x:c>
      <x:c r="G1109" s="8" t="n">
        <x:f>C1109*E1109</x:f>
        <x:v>3354.3900000000003</x:v>
      </x:c>
      <x:c r="H1109" s="8" t="n">
        <x:f>F1109-G1109</x:f>
        <x:v>3225.1400000000003</x:v>
      </x:c>
      <x:c r="I1109" s="10" t="n">
        <x:f>H1109/F1109</x:f>
        <x:v>0.4901778698478463</x:v>
      </x:c>
    </x:row>
    <x:row r="1110" ht="22" customHeight="1">
      <x:c r="A1110" s="11" t="str">
        <x:v>1993</x:v>
      </x:c>
      <x:c r="B1110" s="8" t="str">
        <x:v>Fabrikam Microwave 0.9CuFt E0900 Silver</x:v>
      </x:c>
      <x:c r="C1110" s="8" t="n">
        <x:v>43</x:v>
      </x:c>
      <x:c r="D1110" s="9" t="n">
        <x:v>99.99</x:v>
      </x:c>
      <x:c r="E1110" s="9" t="n">
        <x:v>50.98</x:v>
      </x:c>
      <x:c r="F1110" s="8" t="n">
        <x:f>C1110*D1110</x:f>
        <x:v>4299.57</x:v>
      </x:c>
      <x:c r="G1110" s="8" t="n">
        <x:f>C1110*E1110</x:f>
        <x:v>2192.14</x:v>
      </x:c>
      <x:c r="H1110" s="8" t="n">
        <x:f>F1110-G1110</x:f>
        <x:v>2107.43</x:v>
      </x:c>
      <x:c r="I1110" s="10" t="n">
        <x:f>H1110/F1110</x:f>
        <x:v>0.49014901490149015</x:v>
      </x:c>
    </x:row>
    <x:row r="1111" ht="22" customHeight="1">
      <x:c r="A1111" s="11" t="str">
        <x:v>1994</x:v>
      </x:c>
      <x:c r="B1111" s="8" t="str">
        <x:v>Fabrikam Microwave 0.8CuFt E0800 Silver</x:v>
      </x:c>
      <x:c r="C1111" s="8" t="n">
        <x:v>42</x:v>
      </x:c>
      <x:c r="D1111" s="9" t="n">
        <x:v>94.99</x:v>
      </x:c>
      <x:c r="E1111" s="9" t="n">
        <x:v>48.43</x:v>
      </x:c>
      <x:c r="F1111" s="8" t="n">
        <x:f>C1111*D1111</x:f>
        <x:v>3989.58</x:v>
      </x:c>
      <x:c r="G1111" s="8" t="n">
        <x:f>C1111*E1111</x:f>
        <x:v>2034.06</x:v>
      </x:c>
      <x:c r="H1111" s="8" t="n">
        <x:f>F1111-G1111</x:f>
        <x:v>1955.52</x:v>
      </x:c>
      <x:c r="I1111" s="10" t="n">
        <x:f>H1111/F1111</x:f>
        <x:v>0.4901568586166965</x:v>
      </x:c>
    </x:row>
    <x:row r="1112" ht="22" customHeight="1">
      <x:c r="A1112" s="11" t="str">
        <x:v>1995</x:v>
      </x:c>
      <x:c r="B1112" s="8" t="str">
        <x:v>Fabrikam Microwave 1.5CuFt X1100 Grey</x:v>
      </x:c>
      <x:c r="C1112" s="8" t="n">
        <x:v>44</x:v>
      </x:c>
      <x:c r="D1112" s="9" t="n">
        <x:v>665.94</x:v>
      </x:c>
      <x:c r="E1112" s="9" t="n">
        <x:v>220.64</x:v>
      </x:c>
      <x:c r="F1112" s="8" t="n">
        <x:f>C1112*D1112</x:f>
        <x:v>29301.36</x:v>
      </x:c>
      <x:c r="G1112" s="8" t="n">
        <x:f>C1112*E1112</x:f>
        <x:v>9708.16</x:v>
      </x:c>
      <x:c r="H1112" s="8" t="n">
        <x:f>F1112-G1112</x:f>
        <x:v>19593.2</x:v>
      </x:c>
      <x:c r="I1112" s="10" t="n">
        <x:f>H1112/F1112</x:f>
        <x:v>0.6686788599573535</x:v>
      </x:c>
    </x:row>
    <x:row r="1113" ht="22" customHeight="1">
      <x:c r="A1113" s="11" t="str">
        <x:v>1996</x:v>
      </x:c>
      <x:c r="B1113" s="8" t="str">
        <x:v>Fabrikam Microwave 2.2CuFt M1250 Grey</x:v>
      </x:c>
      <x:c r="C1113" s="8" t="n">
        <x:v>21</x:v>
      </x:c>
      <x:c r="D1113" s="9" t="n">
        <x:v>199.99</x:v>
      </x:c>
      <x:c r="E1113" s="9" t="n">
        <x:v>91.97</x:v>
      </x:c>
      <x:c r="F1113" s="8" t="n">
        <x:f>C1113*D1113</x:f>
        <x:v>4199.79</x:v>
      </x:c>
      <x:c r="G1113" s="8" t="n">
        <x:f>C1113*E1113</x:f>
        <x:v>1931.37</x:v>
      </x:c>
      <x:c r="H1113" s="8" t="n">
        <x:f>F1113-G1113</x:f>
        <x:v>2268.42</x:v>
      </x:c>
      <x:c r="I1113" s="10" t="n">
        <x:f>H1113/F1113</x:f>
        <x:v>0.5401270063503175</x:v>
      </x:c>
    </x:row>
    <x:row r="1114" ht="22" customHeight="1">
      <x:c r="A1114" s="11" t="str">
        <x:v>1997</x:v>
      </x:c>
      <x:c r="B1114" s="8" t="str">
        <x:v>Fabrikam Microwave 1.6CuFt M1250 Grey</x:v>
      </x:c>
      <x:c r="C1114" s="8" t="n">
        <x:v>24</x:v>
      </x:c>
      <x:c r="D1114" s="9" t="n">
        <x:v>179.99</x:v>
      </x:c>
      <x:c r="E1114" s="9" t="n">
        <x:v>82.77</x:v>
      </x:c>
      <x:c r="F1114" s="8" t="n">
        <x:f>C1114*D1114</x:f>
        <x:v>4319.76</x:v>
      </x:c>
      <x:c r="G1114" s="8" t="n">
        <x:f>C1114*E1114</x:f>
        <x:v>1986.48</x:v>
      </x:c>
      <x:c r="H1114" s="8" t="n">
        <x:f>F1114-G1114</x:f>
        <x:v>2333.28</x:v>
      </x:c>
      <x:c r="I1114" s="10" t="n">
        <x:f>H1114/F1114</x:f>
        <x:v>0.5401411189510529</x:v>
      </x:c>
    </x:row>
    <x:row r="1115" ht="22" customHeight="1">
      <x:c r="A1115" s="11" t="str">
        <x:v>1998</x:v>
      </x:c>
      <x:c r="B1115" s="8" t="str">
        <x:v>Fabrikam Microwave 1.0CuFt E1100 Grey</x:v>
      </x:c>
      <x:c r="C1115" s="8" t="n">
        <x:v>34</x:v>
      </x:c>
      <x:c r="D1115" s="9" t="n">
        <x:v>139.99</x:v>
      </x:c>
      <x:c r="E1115" s="9" t="n">
        <x:v>71.37</x:v>
      </x:c>
      <x:c r="F1115" s="8" t="n">
        <x:f>C1115*D1115</x:f>
        <x:v>4759.66</x:v>
      </x:c>
      <x:c r="G1115" s="8" t="n">
        <x:f>C1115*E1115</x:f>
        <x:v>2426.58</x:v>
      </x:c>
      <x:c r="H1115" s="8" t="n">
        <x:f>F1115-G1115</x:f>
        <x:v>2333.08</x:v>
      </x:c>
      <x:c r="I1115" s="10" t="n">
        <x:f>H1115/F1115</x:f>
        <x:v>0.4901778698478463</x:v>
      </x:c>
    </x:row>
    <x:row r="1116" ht="22" customHeight="1">
      <x:c r="A1116" s="11" t="str">
        <x:v>1999</x:v>
      </x:c>
      <x:c r="B1116" s="8" t="str">
        <x:v>Fabrikam Microwave 0.9CuFt E0900 Grey</x:v>
      </x:c>
      <x:c r="C1116" s="8" t="n">
        <x:v>39</x:v>
      </x:c>
      <x:c r="D1116" s="9" t="n">
        <x:v>99.99</x:v>
      </x:c>
      <x:c r="E1116" s="9" t="n">
        <x:v>50.98</x:v>
      </x:c>
      <x:c r="F1116" s="8" t="n">
        <x:f>C1116*D1116</x:f>
        <x:v>3899.6099999999997</x:v>
      </x:c>
      <x:c r="G1116" s="8" t="n">
        <x:f>C1116*E1116</x:f>
        <x:v>1988.2199999999998</x:v>
      </x:c>
      <x:c r="H1116" s="8" t="n">
        <x:f>F1116-G1116</x:f>
        <x:v>1911.3899999999999</x:v>
      </x:c>
      <x:c r="I1116" s="10" t="n">
        <x:f>H1116/F1116</x:f>
        <x:v>0.49014901490149015</x:v>
      </x:c>
    </x:row>
    <x:row r="1117" ht="22" customHeight="1">
      <x:c r="A1117" s="11" t="str">
        <x:v>2</x:v>
      </x:c>
      <x:c r="B1117" s="8" t="str">
        <x:v>Contoso 512MB MP3 Player E51 Blue</x:v>
      </x:c>
      <x:c r="C1117" s="8" t="n">
        <x:v>77</x:v>
      </x:c>
      <x:c r="D1117" s="9" t="n">
        <x:v>12.99</x:v>
      </x:c>
      <x:c r="E1117" s="9" t="n">
        <x:v>6.62</x:v>
      </x:c>
      <x:c r="F1117" s="8" t="n">
        <x:f>C1117*D1117</x:f>
        <x:v>1000.23</x:v>
      </x:c>
      <x:c r="G1117" s="8" t="n">
        <x:f>C1117*E1117</x:f>
        <x:v>509.74</x:v>
      </x:c>
      <x:c r="H1117" s="8" t="n">
        <x:f>F1117-G1117</x:f>
        <x:v>490.49</x:v>
      </x:c>
      <x:c r="I1117" s="10" t="n">
        <x:f>H1117/F1117</x:f>
        <x:v>0.49037721324095457</x:v>
      </x:c>
    </x:row>
    <x:row r="1118" ht="22" customHeight="1">
      <x:c r="A1118" s="11" t="str">
        <x:v>20</x:v>
      </x:c>
      <x:c r="B1118" s="8" t="str">
        <x:v>Contoso 8GB MP3 Player new model M820 Black</x:v>
      </x:c>
      <x:c r="C1118" s="8" t="n">
        <x:v>59</x:v>
      </x:c>
      <x:c r="D1118" s="9" t="n">
        <x:v>134</x:v>
      </x:c>
      <x:c r="E1118" s="9" t="n">
        <x:v>61.62</x:v>
      </x:c>
      <x:c r="F1118" s="8" t="n">
        <x:f>C1118*D1118</x:f>
        <x:v>7906</x:v>
      </x:c>
      <x:c r="G1118" s="8" t="n">
        <x:f>C1118*E1118</x:f>
        <x:v>3635.58</x:v>
      </x:c>
      <x:c r="H1118" s="8" t="n">
        <x:f>F1118-G1118</x:f>
        <x:v>4270.42</x:v>
      </x:c>
      <x:c r="I1118" s="10" t="n">
        <x:f>H1118/F1118</x:f>
        <x:v>0.5401492537313433</x:v>
      </x:c>
    </x:row>
    <x:row r="1119" ht="22" customHeight="1">
      <x:c r="A1119" s="11" t="str">
        <x:v>200</x:v>
      </x:c>
      <x:c r="B1119" s="8" t="str">
        <x:v>Litware Home Theater System 4.1 Channel M413 Black</x:v>
      </x:c>
      <x:c r="C1119" s="8" t="n">
        <x:v>11</x:v>
      </x:c>
      <x:c r="D1119" s="9" t="n">
        <x:v>549</x:v>
      </x:c>
      <x:c r="E1119" s="9" t="n">
        <x:v>252.47</x:v>
      </x:c>
      <x:c r="F1119" s="8" t="n">
        <x:f>C1119*D1119</x:f>
        <x:v>6039</x:v>
      </x:c>
      <x:c r="G1119" s="8" t="n">
        <x:f>C1119*E1119</x:f>
        <x:v>2777.17</x:v>
      </x:c>
      <x:c r="H1119" s="8" t="n">
        <x:f>F1119-G1119</x:f>
        <x:v>3261.83</x:v>
      </x:c>
      <x:c r="I1119" s="10" t="n">
        <x:f>H1119/F1119</x:f>
        <x:v>0.540127504553734</x:v>
      </x:c>
    </x:row>
    <x:row r="1120" ht="22" customHeight="1">
      <x:c r="A1120" s="11" t="str">
        <x:v>2000</x:v>
      </x:c>
      <x:c r="B1120" s="8" t="str">
        <x:v>Fabrikam Microwave 0.8CuFt E0800 Grey</x:v>
      </x:c>
      <x:c r="C1120" s="8" t="n">
        <x:v>62</x:v>
      </x:c>
      <x:c r="D1120" s="9" t="n">
        <x:v>94.99</x:v>
      </x:c>
      <x:c r="E1120" s="9" t="n">
        <x:v>48.43</x:v>
      </x:c>
      <x:c r="F1120" s="8" t="n">
        <x:f>C1120*D1120</x:f>
        <x:v>5889.38</x:v>
      </x:c>
      <x:c r="G1120" s="8" t="n">
        <x:f>C1120*E1120</x:f>
        <x:v>3002.66</x:v>
      </x:c>
      <x:c r="H1120" s="8" t="n">
        <x:f>F1120-G1120</x:f>
        <x:v>2886.7200000000003</x:v>
      </x:c>
      <x:c r="I1120" s="10" t="n">
        <x:f>H1120/F1120</x:f>
        <x:v>0.49015685861669656</x:v>
      </x:c>
    </x:row>
    <x:row r="1121" ht="22" customHeight="1">
      <x:c r="A1121" s="11" t="str">
        <x:v>2001</x:v>
      </x:c>
      <x:c r="B1121" s="8" t="str">
        <x:v>Fabrikam Microwave 1.5CuFt X1100 Red</x:v>
      </x:c>
      <x:c r="C1121" s="8" t="n">
        <x:v>43</x:v>
      </x:c>
      <x:c r="D1121" s="9" t="n">
        <x:v>665.94</x:v>
      </x:c>
      <x:c r="E1121" s="9" t="n">
        <x:v>220.64</x:v>
      </x:c>
      <x:c r="F1121" s="8" t="n">
        <x:f>C1121*D1121</x:f>
        <x:v>28635.420000000002</x:v>
      </x:c>
      <x:c r="G1121" s="8" t="n">
        <x:f>C1121*E1121</x:f>
        <x:v>9487.519999999999</x:v>
      </x:c>
      <x:c r="H1121" s="8" t="n">
        <x:f>F1121-G1121</x:f>
        <x:v>19147.9</x:v>
      </x:c>
      <x:c r="I1121" s="10" t="n">
        <x:f>H1121/F1121</x:f>
        <x:v>0.6686788599573535</x:v>
      </x:c>
    </x:row>
    <x:row r="1122" ht="22" customHeight="1">
      <x:c r="A1122" s="11" t="str">
        <x:v>2002</x:v>
      </x:c>
      <x:c r="B1122" s="8" t="str">
        <x:v>Fabrikam Microwave 2.2CuFt M1250 Red</x:v>
      </x:c>
      <x:c r="C1122" s="8" t="n">
        <x:v>34</x:v>
      </x:c>
      <x:c r="D1122" s="9" t="n">
        <x:v>199.99</x:v>
      </x:c>
      <x:c r="E1122" s="9" t="n">
        <x:v>91.97</x:v>
      </x:c>
      <x:c r="F1122" s="8" t="n">
        <x:f>C1122*D1122</x:f>
        <x:v>6799.66</x:v>
      </x:c>
      <x:c r="G1122" s="8" t="n">
        <x:f>C1122*E1122</x:f>
        <x:v>3126.98</x:v>
      </x:c>
      <x:c r="H1122" s="8" t="n">
        <x:f>F1122-G1122</x:f>
        <x:v>3672.68</x:v>
      </x:c>
      <x:c r="I1122" s="10" t="n">
        <x:f>H1122/F1122</x:f>
        <x:v>0.5401270063503175</x:v>
      </x:c>
    </x:row>
    <x:row r="1123" ht="22" customHeight="1">
      <x:c r="A1123" s="11" t="str">
        <x:v>2003</x:v>
      </x:c>
      <x:c r="B1123" s="8" t="str">
        <x:v>Fabrikam Microwave 1.6CuFt M1250 Red</x:v>
      </x:c>
      <x:c r="C1123" s="8" t="n">
        <x:v>12</x:v>
      </x:c>
      <x:c r="D1123" s="9" t="n">
        <x:v>179.99</x:v>
      </x:c>
      <x:c r="E1123" s="9" t="n">
        <x:v>82.77</x:v>
      </x:c>
      <x:c r="F1123" s="8" t="n">
        <x:f>C1123*D1123</x:f>
        <x:v>2159.88</x:v>
      </x:c>
      <x:c r="G1123" s="8" t="n">
        <x:f>C1123*E1123</x:f>
        <x:v>993.24</x:v>
      </x:c>
      <x:c r="H1123" s="8" t="n">
        <x:f>F1123-G1123</x:f>
        <x:v>1166.64</x:v>
      </x:c>
      <x:c r="I1123" s="10" t="n">
        <x:f>H1123/F1123</x:f>
        <x:v>0.5401411189510529</x:v>
      </x:c>
    </x:row>
    <x:row r="1124" ht="22" customHeight="1">
      <x:c r="A1124" s="11" t="str">
        <x:v>2004</x:v>
      </x:c>
      <x:c r="B1124" s="8" t="str">
        <x:v>Fabrikam Microwave 1.0CuFt E1100 Red</x:v>
      </x:c>
      <x:c r="C1124" s="8" t="n">
        <x:v>55</x:v>
      </x:c>
      <x:c r="D1124" s="9" t="n">
        <x:v>139.99</x:v>
      </x:c>
      <x:c r="E1124" s="9" t="n">
        <x:v>71.37</x:v>
      </x:c>
      <x:c r="F1124" s="8" t="n">
        <x:f>C1124*D1124</x:f>
        <x:v>7699.450000000001</x:v>
      </x:c>
      <x:c r="G1124" s="8" t="n">
        <x:f>C1124*E1124</x:f>
        <x:v>3925.3500000000004</x:v>
      </x:c>
      <x:c r="H1124" s="8" t="n">
        <x:f>F1124-G1124</x:f>
        <x:v>3774.1000000000004</x:v>
      </x:c>
      <x:c r="I1124" s="10" t="n">
        <x:f>H1124/F1124</x:f>
        <x:v>0.4901778698478463</x:v>
      </x:c>
    </x:row>
    <x:row r="1125" ht="22" customHeight="1">
      <x:c r="A1125" s="11" t="str">
        <x:v>2005</x:v>
      </x:c>
      <x:c r="B1125" s="8" t="str">
        <x:v>Fabrikam Microwave 0.9CuFt E0900 Red</x:v>
      </x:c>
      <x:c r="C1125" s="8" t="n">
        <x:v>69</x:v>
      </x:c>
      <x:c r="D1125" s="9" t="n">
        <x:v>99.99</x:v>
      </x:c>
      <x:c r="E1125" s="9" t="n">
        <x:v>50.98</x:v>
      </x:c>
      <x:c r="F1125" s="8" t="n">
        <x:f>C1125*D1125</x:f>
        <x:v>6899.3099999999995</x:v>
      </x:c>
      <x:c r="G1125" s="8" t="n">
        <x:f>C1125*E1125</x:f>
        <x:v>3517.62</x:v>
      </x:c>
      <x:c r="H1125" s="8" t="n">
        <x:f>F1125-G1125</x:f>
        <x:v>3381.6899999999996</x:v>
      </x:c>
      <x:c r="I1125" s="10" t="n">
        <x:f>H1125/F1125</x:f>
        <x:v>0.49014901490149015</x:v>
      </x:c>
    </x:row>
    <x:row r="1126" ht="22" customHeight="1">
      <x:c r="A1126" s="11" t="str">
        <x:v>2006</x:v>
      </x:c>
      <x:c r="B1126" s="8" t="str">
        <x:v>Fabrikam Microwave 0.8CuFt E0800 Red</x:v>
      </x:c>
      <x:c r="C1126" s="8" t="n">
        <x:v>68</x:v>
      </x:c>
      <x:c r="D1126" s="9" t="n">
        <x:v>94.99</x:v>
      </x:c>
      <x:c r="E1126" s="9" t="n">
        <x:v>48.43</x:v>
      </x:c>
      <x:c r="F1126" s="8" t="n">
        <x:f>C1126*D1126</x:f>
        <x:v>6459.32</x:v>
      </x:c>
      <x:c r="G1126" s="8" t="n">
        <x:f>C1126*E1126</x:f>
        <x:v>3293.24</x:v>
      </x:c>
      <x:c r="H1126" s="8" t="n">
        <x:f>F1126-G1126</x:f>
        <x:v>3166.08</x:v>
      </x:c>
      <x:c r="I1126" s="10" t="n">
        <x:f>H1126/F1126</x:f>
        <x:v>0.4901568586166965</x:v>
      </x:c>
    </x:row>
    <x:row r="1127" ht="22" customHeight="1">
      <x:c r="A1127" s="11" t="str">
        <x:v>2007</x:v>
      </x:c>
      <x:c r="B1127" s="8" t="str">
        <x:v>Fabrikam Microwave 1.5CuFt X1100 Black</x:v>
      </x:c>
      <x:c r="C1127" s="8" t="n">
        <x:v>45</x:v>
      </x:c>
      <x:c r="D1127" s="9" t="n">
        <x:v>665.94</x:v>
      </x:c>
      <x:c r="E1127" s="9" t="n">
        <x:v>220.64</x:v>
      </x:c>
      <x:c r="F1127" s="8" t="n">
        <x:f>C1127*D1127</x:f>
        <x:v>29967.300000000003</x:v>
      </x:c>
      <x:c r="G1127" s="8" t="n">
        <x:f>C1127*E1127</x:f>
        <x:v>9928.8</x:v>
      </x:c>
      <x:c r="H1127" s="8" t="n">
        <x:f>F1127-G1127</x:f>
        <x:v>20038.500000000004</x:v>
      </x:c>
      <x:c r="I1127" s="10" t="n">
        <x:f>H1127/F1127</x:f>
        <x:v>0.6686788599573535</x:v>
      </x:c>
    </x:row>
    <x:row r="1128" ht="22" customHeight="1">
      <x:c r="A1128" s="11" t="str">
        <x:v>2008</x:v>
      </x:c>
      <x:c r="B1128" s="8" t="str">
        <x:v>Fabrikam Microwave 2.2CuFt M1250 Black</x:v>
      </x:c>
      <x:c r="C1128" s="8" t="n">
        <x:v>72</x:v>
      </x:c>
      <x:c r="D1128" s="9" t="n">
        <x:v>199.99</x:v>
      </x:c>
      <x:c r="E1128" s="9" t="n">
        <x:v>91.97</x:v>
      </x:c>
      <x:c r="F1128" s="8" t="n">
        <x:f>C1128*D1128</x:f>
        <x:v>14399.28</x:v>
      </x:c>
      <x:c r="G1128" s="8" t="n">
        <x:f>C1128*E1128</x:f>
        <x:v>6621.84</x:v>
      </x:c>
      <x:c r="H1128" s="8" t="n">
        <x:f>F1128-G1128</x:f>
        <x:v>7777.4400000000005</x:v>
      </x:c>
      <x:c r="I1128" s="10" t="n">
        <x:f>H1128/F1128</x:f>
        <x:v>0.5401270063503175</x:v>
      </x:c>
    </x:row>
    <x:row r="1129" ht="22" customHeight="1">
      <x:c r="A1129" s="11" t="str">
        <x:v>2009</x:v>
      </x:c>
      <x:c r="B1129" s="8" t="str">
        <x:v>Fabrikam Microwave 1.6CuFt M1250 Black</x:v>
      </x:c>
      <x:c r="C1129" s="8" t="n">
        <x:v>55</x:v>
      </x:c>
      <x:c r="D1129" s="9" t="n">
        <x:v>179.99</x:v>
      </x:c>
      <x:c r="E1129" s="9" t="n">
        <x:v>82.77</x:v>
      </x:c>
      <x:c r="F1129" s="8" t="n">
        <x:f>C1129*D1129</x:f>
        <x:v>9899.45</x:v>
      </x:c>
      <x:c r="G1129" s="8" t="n">
        <x:f>C1129*E1129</x:f>
        <x:v>4552.349999999999</x:v>
      </x:c>
      <x:c r="H1129" s="8" t="n">
        <x:f>F1129-G1129</x:f>
        <x:v>5347.100000000001</x:v>
      </x:c>
      <x:c r="I1129" s="10" t="n">
        <x:f>H1129/F1129</x:f>
        <x:v>0.5401411189510529</x:v>
      </x:c>
    </x:row>
    <x:row r="1130" ht="22" customHeight="1">
      <x:c r="A1130" s="11" t="str">
        <x:v>201</x:v>
      </x:c>
      <x:c r="B1130" s="8" t="str">
        <x:v>Litware Home Theater System 5.1 Channel M512 Black</x:v>
      </x:c>
      <x:c r="C1130" s="8" t="n">
        <x:v>27</x:v>
      </x:c>
      <x:c r="D1130" s="9" t="n">
        <x:v>699</x:v>
      </x:c>
      <x:c r="E1130" s="9" t="n">
        <x:v>321.44</x:v>
      </x:c>
      <x:c r="F1130" s="8" t="n">
        <x:f>C1130*D1130</x:f>
        <x:v>18873</x:v>
      </x:c>
      <x:c r="G1130" s="8" t="n">
        <x:f>C1130*E1130</x:f>
        <x:v>8678.88</x:v>
      </x:c>
      <x:c r="H1130" s="8" t="n">
        <x:f>F1130-G1130</x:f>
        <x:v>10194.12</x:v>
      </x:c>
      <x:c r="I1130" s="10" t="n">
        <x:f>H1130/F1130</x:f>
        <x:v>0.5401430615164521</x:v>
      </x:c>
    </x:row>
    <x:row r="1131" ht="22" customHeight="1">
      <x:c r="A1131" s="11" t="str">
        <x:v>2010</x:v>
      </x:c>
      <x:c r="B1131" s="8" t="str">
        <x:v>Fabrikam Microwave 1.0CuFt E1100 Black</x:v>
      </x:c>
      <x:c r="C1131" s="8" t="n">
        <x:v>37</x:v>
      </x:c>
      <x:c r="D1131" s="9" t="n">
        <x:v>139.99</x:v>
      </x:c>
      <x:c r="E1131" s="9" t="n">
        <x:v>71.37</x:v>
      </x:c>
      <x:c r="F1131" s="8" t="n">
        <x:f>C1131*D1131</x:f>
        <x:v>5179.63</x:v>
      </x:c>
      <x:c r="G1131" s="8" t="n">
        <x:f>C1131*E1131</x:f>
        <x:v>2640.69</x:v>
      </x:c>
      <x:c r="H1131" s="8" t="n">
        <x:f>F1131-G1131</x:f>
        <x:v>2538.94</x:v>
      </x:c>
      <x:c r="I1131" s="10" t="n">
        <x:f>H1131/F1131</x:f>
        <x:v>0.4901778698478463</x:v>
      </x:c>
    </x:row>
    <x:row r="1132" ht="22" customHeight="1">
      <x:c r="A1132" s="11" t="str">
        <x:v>2011</x:v>
      </x:c>
      <x:c r="B1132" s="8" t="str">
        <x:v>Fabrikam Microwave 0.9CuFt E0900 Black</x:v>
      </x:c>
      <x:c r="C1132" s="8" t="n">
        <x:v>49</x:v>
      </x:c>
      <x:c r="D1132" s="9" t="n">
        <x:v>99.99</x:v>
      </x:c>
      <x:c r="E1132" s="9" t="n">
        <x:v>50.98</x:v>
      </x:c>
      <x:c r="F1132" s="8" t="n">
        <x:f>C1132*D1132</x:f>
        <x:v>4899.509999999999</x:v>
      </x:c>
      <x:c r="G1132" s="8" t="n">
        <x:f>C1132*E1132</x:f>
        <x:v>2498.02</x:v>
      </x:c>
      <x:c r="H1132" s="8" t="n">
        <x:f>F1132-G1132</x:f>
        <x:v>2401.4899999999993</x:v>
      </x:c>
      <x:c r="I1132" s="10" t="n">
        <x:f>H1132/F1132</x:f>
        <x:v>0.4901490149014901</x:v>
      </x:c>
    </x:row>
    <x:row r="1133" ht="22" customHeight="1">
      <x:c r="A1133" s="11" t="str">
        <x:v>2012</x:v>
      </x:c>
      <x:c r="B1133" s="8" t="str">
        <x:v>Fabrikam Microwave 0.8CuFt E0800 Black</x:v>
      </x:c>
      <x:c r="C1133" s="8" t="n">
        <x:v>39</x:v>
      </x:c>
      <x:c r="D1133" s="9" t="n">
        <x:v>94.99</x:v>
      </x:c>
      <x:c r="E1133" s="9" t="n">
        <x:v>48.43</x:v>
      </x:c>
      <x:c r="F1133" s="8" t="n">
        <x:f>C1133*D1133</x:f>
        <x:v>3704.6099999999997</x:v>
      </x:c>
      <x:c r="G1133" s="8" t="n">
        <x:f>C1133*E1133</x:f>
        <x:v>1888.77</x:v>
      </x:c>
      <x:c r="H1133" s="8" t="n">
        <x:f>F1133-G1133</x:f>
        <x:v>1815.8399999999997</x:v>
      </x:c>
      <x:c r="I1133" s="10" t="n">
        <x:f>H1133/F1133</x:f>
        <x:v>0.49015685861669644</x:v>
      </x:c>
    </x:row>
    <x:row r="1134" ht="22" customHeight="1">
      <x:c r="A1134" s="11" t="str">
        <x:v>2013</x:v>
      </x:c>
      <x:c r="B1134" s="8" t="str">
        <x:v>Fabrikam Microwave 1.5CuFt X1100 Blue</x:v>
      </x:c>
      <x:c r="C1134" s="8" t="n">
        <x:v>44</x:v>
      </x:c>
      <x:c r="D1134" s="9" t="n">
        <x:v>665.94</x:v>
      </x:c>
      <x:c r="E1134" s="9" t="n">
        <x:v>220.64</x:v>
      </x:c>
      <x:c r="F1134" s="8" t="n">
        <x:f>C1134*D1134</x:f>
        <x:v>29301.36</x:v>
      </x:c>
      <x:c r="G1134" s="8" t="n">
        <x:f>C1134*E1134</x:f>
        <x:v>9708.16</x:v>
      </x:c>
      <x:c r="H1134" s="8" t="n">
        <x:f>F1134-G1134</x:f>
        <x:v>19593.2</x:v>
      </x:c>
      <x:c r="I1134" s="10" t="n">
        <x:f>H1134/F1134</x:f>
        <x:v>0.6686788599573535</x:v>
      </x:c>
    </x:row>
    <x:row r="1135" ht="22" customHeight="1">
      <x:c r="A1135" s="11" t="str">
        <x:v>2014</x:v>
      </x:c>
      <x:c r="B1135" s="8" t="str">
        <x:v>Fabrikam Microwave 2.2CuFt M1250 Blue</x:v>
      </x:c>
      <x:c r="C1135" s="8" t="n">
        <x:v>60</x:v>
      </x:c>
      <x:c r="D1135" s="9" t="n">
        <x:v>199.99</x:v>
      </x:c>
      <x:c r="E1135" s="9" t="n">
        <x:v>91.97</x:v>
      </x:c>
      <x:c r="F1135" s="8" t="n">
        <x:f>C1135*D1135</x:f>
        <x:v>11999.400000000001</x:v>
      </x:c>
      <x:c r="G1135" s="8" t="n">
        <x:f>C1135*E1135</x:f>
        <x:v>5518.2</x:v>
      </x:c>
      <x:c r="H1135" s="8" t="n">
        <x:f>F1135-G1135</x:f>
        <x:v>6481.200000000002</x:v>
      </x:c>
      <x:c r="I1135" s="10" t="n">
        <x:f>H1135/F1135</x:f>
        <x:v>0.5401270063503176</x:v>
      </x:c>
    </x:row>
    <x:row r="1136" ht="22" customHeight="1">
      <x:c r="A1136" s="11" t="str">
        <x:v>2015</x:v>
      </x:c>
      <x:c r="B1136" s="8" t="str">
        <x:v>Fabrikam Microwave 1.6CuFt M1250 Blue</x:v>
      </x:c>
      <x:c r="C1136" s="8" t="n">
        <x:v>31</x:v>
      </x:c>
      <x:c r="D1136" s="9" t="n">
        <x:v>179.99</x:v>
      </x:c>
      <x:c r="E1136" s="9" t="n">
        <x:v>82.77</x:v>
      </x:c>
      <x:c r="F1136" s="8" t="n">
        <x:f>C1136*D1136</x:f>
        <x:v>5579.6900000000005</x:v>
      </x:c>
      <x:c r="G1136" s="8" t="n">
        <x:f>C1136*E1136</x:f>
        <x:v>2565.87</x:v>
      </x:c>
      <x:c r="H1136" s="8" t="n">
        <x:f>F1136-G1136</x:f>
        <x:v>3013.8200000000006</x:v>
      </x:c>
      <x:c r="I1136" s="10" t="n">
        <x:f>H1136/F1136</x:f>
        <x:v>0.5401411189510529</x:v>
      </x:c>
    </x:row>
    <x:row r="1137" ht="22" customHeight="1">
      <x:c r="A1137" s="11" t="str">
        <x:v>2016</x:v>
      </x:c>
      <x:c r="B1137" s="8" t="str">
        <x:v>Fabrikam Microwave 1.0CuFt E1100 Blue</x:v>
      </x:c>
      <x:c r="C1137" s="8" t="n">
        <x:v>56</x:v>
      </x:c>
      <x:c r="D1137" s="9" t="n">
        <x:v>139.99</x:v>
      </x:c>
      <x:c r="E1137" s="9" t="n">
        <x:v>71.37</x:v>
      </x:c>
      <x:c r="F1137" s="8" t="n">
        <x:f>C1137*D1137</x:f>
        <x:v>7839.4400000000005</x:v>
      </x:c>
      <x:c r="G1137" s="8" t="n">
        <x:f>C1137*E1137</x:f>
        <x:v>3996.7200000000003</x:v>
      </x:c>
      <x:c r="H1137" s="8" t="n">
        <x:f>F1137-G1137</x:f>
        <x:v>3842.7200000000003</x:v>
      </x:c>
      <x:c r="I1137" s="10" t="n">
        <x:f>H1137/F1137</x:f>
        <x:v>0.4901778698478463</x:v>
      </x:c>
    </x:row>
    <x:row r="1138" ht="22" customHeight="1">
      <x:c r="A1138" s="11" t="str">
        <x:v>2017</x:v>
      </x:c>
      <x:c r="B1138" s="8" t="str">
        <x:v>Fabrikam Microwave 0.9CuFt E0900 Blue</x:v>
      </x:c>
      <x:c r="C1138" s="8" t="n">
        <x:v>38</x:v>
      </x:c>
      <x:c r="D1138" s="9" t="n">
        <x:v>99.99</x:v>
      </x:c>
      <x:c r="E1138" s="9" t="n">
        <x:v>50.98</x:v>
      </x:c>
      <x:c r="F1138" s="8" t="n">
        <x:f>C1138*D1138</x:f>
        <x:v>3799.62</x:v>
      </x:c>
      <x:c r="G1138" s="8" t="n">
        <x:f>C1138*E1138</x:f>
        <x:v>1937.2399999999998</x:v>
      </x:c>
      <x:c r="H1138" s="8" t="n">
        <x:f>F1138-G1138</x:f>
        <x:v>1862.38</x:v>
      </x:c>
      <x:c r="I1138" s="10" t="n">
        <x:f>H1138/F1138</x:f>
        <x:v>0.4901490149014902</x:v>
      </x:c>
    </x:row>
    <x:row r="1139" ht="22" customHeight="1">
      <x:c r="A1139" s="11" t="str">
        <x:v>2018</x:v>
      </x:c>
      <x:c r="B1139" s="8" t="str">
        <x:v>Fabrikam Microwave 0.8CuFt E0800 Blue</x:v>
      </x:c>
      <x:c r="C1139" s="8" t="n">
        <x:v>66</x:v>
      </x:c>
      <x:c r="D1139" s="9" t="n">
        <x:v>94.99</x:v>
      </x:c>
      <x:c r="E1139" s="9" t="n">
        <x:v>48.43</x:v>
      </x:c>
      <x:c r="F1139" s="8" t="n">
        <x:f>C1139*D1139</x:f>
        <x:v>6269.339999999999</x:v>
      </x:c>
      <x:c r="G1139" s="8" t="n">
        <x:f>C1139*E1139</x:f>
        <x:v>3196.38</x:v>
      </x:c>
      <x:c r="H1139" s="8" t="n">
        <x:f>F1139-G1139</x:f>
        <x:v>3072.959999999999</x:v>
      </x:c>
      <x:c r="I1139" s="10" t="n">
        <x:f>H1139/F1139</x:f>
        <x:v>0.4901568586166964</x:v>
      </x:c>
    </x:row>
    <x:row r="1140" ht="22" customHeight="1">
      <x:c r="A1140" s="11" t="str">
        <x:v>2019</x:v>
      </x:c>
      <x:c r="B1140" s="8" t="str">
        <x:v>Litware Microwave 1.5CuFt X110 White</x:v>
      </x:c>
      <x:c r="C1140" s="8" t="n">
        <x:v>35</x:v>
      </x:c>
      <x:c r="D1140" s="9" t="n">
        <x:v>665.94</x:v>
      </x:c>
      <x:c r="E1140" s="9" t="n">
        <x:v>220.64</x:v>
      </x:c>
      <x:c r="F1140" s="8" t="n">
        <x:f>C1140*D1140</x:f>
        <x:v>23307.9</x:v>
      </x:c>
      <x:c r="G1140" s="8" t="n">
        <x:f>C1140*E1140</x:f>
        <x:v>7722.4</x:v>
      </x:c>
      <x:c r="H1140" s="8" t="n">
        <x:f>F1140-G1140</x:f>
        <x:v>15585.500000000002</x:v>
      </x:c>
      <x:c r="I1140" s="10" t="n">
        <x:f>H1140/F1140</x:f>
        <x:v>0.6686788599573535</x:v>
      </x:c>
    </x:row>
    <x:row r="1141" ht="22" customHeight="1">
      <x:c r="A1141" s="11" t="str">
        <x:v>202</x:v>
      </x:c>
      <x:c r="B1141" s="8" t="str">
        <x:v>Litware Home Theater System 5.1 Channel M513 Black</x:v>
      </x:c>
      <x:c r="C1141" s="8" t="n">
        <x:v>18</x:v>
      </x:c>
      <x:c r="D1141" s="9" t="n">
        <x:v>689</x:v>
      </x:c>
      <x:c r="E1141" s="9" t="n">
        <x:v>316.85</x:v>
      </x:c>
      <x:c r="F1141" s="8" t="n">
        <x:f>C1141*D1141</x:f>
        <x:v>12402</x:v>
      </x:c>
      <x:c r="G1141" s="8" t="n">
        <x:f>C1141*E1141</x:f>
        <x:v>5703.3</x:v>
      </x:c>
      <x:c r="H1141" s="8" t="n">
        <x:f>F1141-G1141</x:f>
        <x:v>6698.7</x:v>
      </x:c>
      <x:c r="I1141" s="10" t="n">
        <x:f>H1141/F1141</x:f>
        <x:v>0.5401306240928883</x:v>
      </x:c>
    </x:row>
    <x:row r="1142" ht="22" customHeight="1">
      <x:c r="A1142" s="11" t="str">
        <x:v>2020</x:v>
      </x:c>
      <x:c r="B1142" s="8" t="str">
        <x:v>Litware Microwave 2.2CuFt M125 White</x:v>
      </x:c>
      <x:c r="C1142" s="8" t="n">
        <x:v>57</x:v>
      </x:c>
      <x:c r="D1142" s="9" t="n">
        <x:v>199.99</x:v>
      </x:c>
      <x:c r="E1142" s="9" t="n">
        <x:v>91.97</x:v>
      </x:c>
      <x:c r="F1142" s="8" t="n">
        <x:f>C1142*D1142</x:f>
        <x:v>11399.43</x:v>
      </x:c>
      <x:c r="G1142" s="8" t="n">
        <x:f>C1142*E1142</x:f>
        <x:v>5242.29</x:v>
      </x:c>
      <x:c r="H1142" s="8" t="n">
        <x:f>F1142-G1142</x:f>
        <x:v>6157.14</x:v>
      </x:c>
      <x:c r="I1142" s="10" t="n">
        <x:f>H1142/F1142</x:f>
        <x:v>0.5401270063503175</x:v>
      </x:c>
    </x:row>
    <x:row r="1143" ht="22" customHeight="1">
      <x:c r="A1143" s="11" t="str">
        <x:v>2021</x:v>
      </x:c>
      <x:c r="B1143" s="8" t="str">
        <x:v>Litware Microwave 1.6CuFt M125 White</x:v>
      </x:c>
      <x:c r="C1143" s="8" t="n">
        <x:v>53</x:v>
      </x:c>
      <x:c r="D1143" s="9" t="n">
        <x:v>179.99</x:v>
      </x:c>
      <x:c r="E1143" s="9" t="n">
        <x:v>82.77</x:v>
      </x:c>
      <x:c r="F1143" s="8" t="n">
        <x:f>C1143*D1143</x:f>
        <x:v>9539.470000000001</x:v>
      </x:c>
      <x:c r="G1143" s="8" t="n">
        <x:f>C1143*E1143</x:f>
        <x:v>4386.8099999999995</x:v>
      </x:c>
      <x:c r="H1143" s="8" t="n">
        <x:f>F1143-G1143</x:f>
        <x:v>5152.660000000002</x:v>
      </x:c>
      <x:c r="I1143" s="10" t="n">
        <x:f>H1143/F1143</x:f>
        <x:v>0.540141118951053</x:v>
      </x:c>
    </x:row>
    <x:row r="1144" ht="22" customHeight="1">
      <x:c r="A1144" s="11" t="str">
        <x:v>2022</x:v>
      </x:c>
      <x:c r="B1144" s="8" t="str">
        <x:v>Litware Microwave 1.0CuFt E110 White</x:v>
      </x:c>
      <x:c r="C1144" s="8" t="n">
        <x:v>36</x:v>
      </x:c>
      <x:c r="D1144" s="9" t="n">
        <x:v>139.99</x:v>
      </x:c>
      <x:c r="E1144" s="9" t="n">
        <x:v>71.37</x:v>
      </x:c>
      <x:c r="F1144" s="8" t="n">
        <x:f>C1144*D1144</x:f>
        <x:v>5039.64</x:v>
      </x:c>
      <x:c r="G1144" s="8" t="n">
        <x:f>C1144*E1144</x:f>
        <x:v>2569.32</x:v>
      </x:c>
      <x:c r="H1144" s="8" t="n">
        <x:f>F1144-G1144</x:f>
        <x:v>2470.32</x:v>
      </x:c>
      <x:c r="I1144" s="10" t="n">
        <x:f>H1144/F1144</x:f>
        <x:v>0.4901778698478463</x:v>
      </x:c>
    </x:row>
    <x:row r="1145" ht="22" customHeight="1">
      <x:c r="A1145" s="11" t="str">
        <x:v>2023</x:v>
      </x:c>
      <x:c r="B1145" s="8" t="str">
        <x:v>Litware Microwave 0.9CuFt E090 White</x:v>
      </x:c>
      <x:c r="C1145" s="8" t="n">
        <x:v>80</x:v>
      </x:c>
      <x:c r="D1145" s="9" t="n">
        <x:v>99.99</x:v>
      </x:c>
      <x:c r="E1145" s="9" t="n">
        <x:v>50.98</x:v>
      </x:c>
      <x:c r="F1145" s="8" t="n">
        <x:f>C1145*D1145</x:f>
        <x:v>7999.2</x:v>
      </x:c>
      <x:c r="G1145" s="8" t="n">
        <x:f>C1145*E1145</x:f>
        <x:v>4078.3999999999996</x:v>
      </x:c>
      <x:c r="H1145" s="8" t="n">
        <x:f>F1145-G1145</x:f>
        <x:v>3920.8</x:v>
      </x:c>
      <x:c r="I1145" s="10" t="n">
        <x:f>H1145/F1145</x:f>
        <x:v>0.4901490149014902</x:v>
      </x:c>
    </x:row>
    <x:row r="1146" ht="22" customHeight="1">
      <x:c r="A1146" s="11" t="str">
        <x:v>2024</x:v>
      </x:c>
      <x:c r="B1146" s="8" t="str">
        <x:v>Litware Microwave 0.8CuFt E080 White</x:v>
      </x:c>
      <x:c r="C1146" s="8" t="n">
        <x:v>40</x:v>
      </x:c>
      <x:c r="D1146" s="9" t="n">
        <x:v>94.99</x:v>
      </x:c>
      <x:c r="E1146" s="9" t="n">
        <x:v>48.43</x:v>
      </x:c>
      <x:c r="F1146" s="8" t="n">
        <x:f>C1146*D1146</x:f>
        <x:v>3799.6</x:v>
      </x:c>
      <x:c r="G1146" s="8" t="n">
        <x:f>C1146*E1146</x:f>
        <x:v>1937.2</x:v>
      </x:c>
      <x:c r="H1146" s="8" t="n">
        <x:f>F1146-G1146</x:f>
        <x:v>1862.3999999999999</x:v>
      </x:c>
      <x:c r="I1146" s="10" t="n">
        <x:f>H1146/F1146</x:f>
        <x:v>0.49015685861669644</x:v>
      </x:c>
    </x:row>
    <x:row r="1147" ht="22" customHeight="1">
      <x:c r="A1147" s="11" t="str">
        <x:v>2025</x:v>
      </x:c>
      <x:c r="B1147" s="8" t="str">
        <x:v>Litware Microwave 1.5CuFt X110 Silver</x:v>
      </x:c>
      <x:c r="C1147" s="8" t="n">
        <x:v>74</x:v>
      </x:c>
      <x:c r="D1147" s="9" t="n">
        <x:v>665.94</x:v>
      </x:c>
      <x:c r="E1147" s="9" t="n">
        <x:v>220.64</x:v>
      </x:c>
      <x:c r="F1147" s="8" t="n">
        <x:f>C1147*D1147</x:f>
        <x:v>49279.560000000005</x:v>
      </x:c>
      <x:c r="G1147" s="8" t="n">
        <x:f>C1147*E1147</x:f>
        <x:v>16327.359999999999</x:v>
      </x:c>
      <x:c r="H1147" s="8" t="n">
        <x:f>F1147-G1147</x:f>
        <x:v>32952.200000000004</x:v>
      </x:c>
      <x:c r="I1147" s="10" t="n">
        <x:f>H1147/F1147</x:f>
        <x:v>0.6686788599573535</x:v>
      </x:c>
    </x:row>
    <x:row r="1148" ht="22" customHeight="1">
      <x:c r="A1148" s="11" t="str">
        <x:v>2026</x:v>
      </x:c>
      <x:c r="B1148" s="8" t="str">
        <x:v>Litware Microwave 2.2CuFt M125 Silver</x:v>
      </x:c>
      <x:c r="C1148" s="8" t="n">
        <x:v>27</x:v>
      </x:c>
      <x:c r="D1148" s="9" t="n">
        <x:v>199.99</x:v>
      </x:c>
      <x:c r="E1148" s="9" t="n">
        <x:v>91.97</x:v>
      </x:c>
      <x:c r="F1148" s="8" t="n">
        <x:f>C1148*D1148</x:f>
        <x:v>5399.7300000000005</x:v>
      </x:c>
      <x:c r="G1148" s="8" t="n">
        <x:f>C1148*E1148</x:f>
        <x:v>2483.19</x:v>
      </x:c>
      <x:c r="H1148" s="8" t="n">
        <x:f>F1148-G1148</x:f>
        <x:v>2916.5400000000004</x:v>
      </x:c>
      <x:c r="I1148" s="10" t="n">
        <x:f>H1148/F1148</x:f>
        <x:v>0.5401270063503175</x:v>
      </x:c>
    </x:row>
    <x:row r="1149" ht="22" customHeight="1">
      <x:c r="A1149" s="11" t="str">
        <x:v>2027</x:v>
      </x:c>
      <x:c r="B1149" s="8" t="str">
        <x:v>Litware Microwave 1.6CuFt M125 Silver</x:v>
      </x:c>
      <x:c r="C1149" s="8" t="n">
        <x:v>41</x:v>
      </x:c>
      <x:c r="D1149" s="9" t="n">
        <x:v>179.99</x:v>
      </x:c>
      <x:c r="E1149" s="9" t="n">
        <x:v>82.77</x:v>
      </x:c>
      <x:c r="F1149" s="8" t="n">
        <x:f>C1149*D1149</x:f>
        <x:v>7379.59</x:v>
      </x:c>
      <x:c r="G1149" s="8" t="n">
        <x:f>C1149*E1149</x:f>
        <x:v>3393.5699999999997</x:v>
      </x:c>
      <x:c r="H1149" s="8" t="n">
        <x:f>F1149-G1149</x:f>
        <x:v>3986.0200000000004</x:v>
      </x:c>
      <x:c r="I1149" s="10" t="n">
        <x:f>H1149/F1149</x:f>
        <x:v>0.5401411189510529</x:v>
      </x:c>
    </x:row>
    <x:row r="1150" ht="22" customHeight="1">
      <x:c r="A1150" s="11" t="str">
        <x:v>2028</x:v>
      </x:c>
      <x:c r="B1150" s="8" t="str">
        <x:v>Litware Microwave 1.0CuFt E110 Silver</x:v>
      </x:c>
      <x:c r="C1150" s="8" t="n">
        <x:v>65</x:v>
      </x:c>
      <x:c r="D1150" s="9" t="n">
        <x:v>139.99</x:v>
      </x:c>
      <x:c r="E1150" s="9" t="n">
        <x:v>71.37</x:v>
      </x:c>
      <x:c r="F1150" s="8" t="n">
        <x:f>C1150*D1150</x:f>
        <x:v>9099.35</x:v>
      </x:c>
      <x:c r="G1150" s="8" t="n">
        <x:f>C1150*E1150</x:f>
        <x:v>4639.05</x:v>
      </x:c>
      <x:c r="H1150" s="8" t="n">
        <x:f>F1150-G1150</x:f>
        <x:v>4460.3</x:v>
      </x:c>
      <x:c r="I1150" s="10" t="n">
        <x:f>H1150/F1150</x:f>
        <x:v>0.4901778698478463</x:v>
      </x:c>
    </x:row>
    <x:row r="1151" ht="22" customHeight="1">
      <x:c r="A1151" s="11" t="str">
        <x:v>2029</x:v>
      </x:c>
      <x:c r="B1151" s="8" t="str">
        <x:v>Litware Microwave 0.9CuFt E090 Silver</x:v>
      </x:c>
      <x:c r="C1151" s="8" t="n">
        <x:v>40</x:v>
      </x:c>
      <x:c r="D1151" s="9" t="n">
        <x:v>99.99</x:v>
      </x:c>
      <x:c r="E1151" s="9" t="n">
        <x:v>50.98</x:v>
      </x:c>
      <x:c r="F1151" s="8" t="n">
        <x:f>C1151*D1151</x:f>
        <x:v>3999.6</x:v>
      </x:c>
      <x:c r="G1151" s="8" t="n">
        <x:f>C1151*E1151</x:f>
        <x:v>2039.1999999999998</x:v>
      </x:c>
      <x:c r="H1151" s="8" t="n">
        <x:f>F1151-G1151</x:f>
        <x:v>1960.4</x:v>
      </x:c>
      <x:c r="I1151" s="10" t="n">
        <x:f>H1151/F1151</x:f>
        <x:v>0.4901490149014902</x:v>
      </x:c>
    </x:row>
    <x:row r="1152" ht="22" customHeight="1">
      <x:c r="A1152" s="11" t="str">
        <x:v>203</x:v>
      </x:c>
      <x:c r="B1152" s="8" t="str">
        <x:v>Litware Home Theater System 7.1 Channel M710 Black</x:v>
      </x:c>
      <x:c r="C1152" s="8" t="n">
        <x:v>13</x:v>
      </x:c>
      <x:c r="D1152" s="9" t="n">
        <x:v>799</x:v>
      </x:c>
      <x:c r="E1152" s="9" t="n">
        <x:v>264.72</x:v>
      </x:c>
      <x:c r="F1152" s="8" t="n">
        <x:f>C1152*D1152</x:f>
        <x:v>10387</x:v>
      </x:c>
      <x:c r="G1152" s="8" t="n">
        <x:f>C1152*E1152</x:f>
        <x:v>3441.3600000000006</x:v>
      </x:c>
      <x:c r="H1152" s="8" t="n">
        <x:f>F1152-G1152</x:f>
        <x:v>6945.639999999999</x:v>
      </x:c>
      <x:c r="I1152" s="10" t="n">
        <x:f>H1152/F1152</x:f>
        <x:v>0.668685857321652</x:v>
      </x:c>
    </x:row>
    <x:row r="1153" ht="22" customHeight="1">
      <x:c r="A1153" s="11" t="str">
        <x:v>2030</x:v>
      </x:c>
      <x:c r="B1153" s="8" t="str">
        <x:v>Litware Microwave 0.8CuFt E080 Silver</x:v>
      </x:c>
      <x:c r="C1153" s="8" t="n">
        <x:v>36</x:v>
      </x:c>
      <x:c r="D1153" s="9" t="n">
        <x:v>94.99</x:v>
      </x:c>
      <x:c r="E1153" s="9" t="n">
        <x:v>48.43</x:v>
      </x:c>
      <x:c r="F1153" s="8" t="n">
        <x:f>C1153*D1153</x:f>
        <x:v>3419.64</x:v>
      </x:c>
      <x:c r="G1153" s="8" t="n">
        <x:f>C1153*E1153</x:f>
        <x:v>1743.48</x:v>
      </x:c>
      <x:c r="H1153" s="8" t="n">
        <x:f>F1153-G1153</x:f>
        <x:v>1676.1599999999999</x:v>
      </x:c>
      <x:c r="I1153" s="10" t="n">
        <x:f>H1153/F1153</x:f>
        <x:v>0.49015685861669644</x:v>
      </x:c>
    </x:row>
    <x:row r="1154" ht="22" customHeight="1">
      <x:c r="A1154" s="11" t="str">
        <x:v>2031</x:v>
      </x:c>
      <x:c r="B1154" s="8" t="str">
        <x:v>Litware Microwave 1.5CuFt X110 Grey</x:v>
      </x:c>
      <x:c r="C1154" s="8" t="n">
        <x:v>35</x:v>
      </x:c>
      <x:c r="D1154" s="9" t="n">
        <x:v>665.94</x:v>
      </x:c>
      <x:c r="E1154" s="9" t="n">
        <x:v>220.64</x:v>
      </x:c>
      <x:c r="F1154" s="8" t="n">
        <x:f>C1154*D1154</x:f>
        <x:v>23307.9</x:v>
      </x:c>
      <x:c r="G1154" s="8" t="n">
        <x:f>C1154*E1154</x:f>
        <x:v>7722.4</x:v>
      </x:c>
      <x:c r="H1154" s="8" t="n">
        <x:f>F1154-G1154</x:f>
        <x:v>15585.500000000002</x:v>
      </x:c>
      <x:c r="I1154" s="10" t="n">
        <x:f>H1154/F1154</x:f>
        <x:v>0.6686788599573535</x:v>
      </x:c>
    </x:row>
    <x:row r="1155" ht="22" customHeight="1">
      <x:c r="A1155" s="11" t="str">
        <x:v>2032</x:v>
      </x:c>
      <x:c r="B1155" s="8" t="str">
        <x:v>Litware Microwave 2.2CuFt M125 Grey</x:v>
      </x:c>
      <x:c r="C1155" s="8" t="n">
        <x:v>42</x:v>
      </x:c>
      <x:c r="D1155" s="9" t="n">
        <x:v>199.99</x:v>
      </x:c>
      <x:c r="E1155" s="9" t="n">
        <x:v>91.97</x:v>
      </x:c>
      <x:c r="F1155" s="8" t="n">
        <x:f>C1155*D1155</x:f>
        <x:v>8399.58</x:v>
      </x:c>
      <x:c r="G1155" s="8" t="n">
        <x:f>C1155*E1155</x:f>
        <x:v>3862.74</x:v>
      </x:c>
      <x:c r="H1155" s="8" t="n">
        <x:f>F1155-G1155</x:f>
        <x:v>4536.84</x:v>
      </x:c>
      <x:c r="I1155" s="10" t="n">
        <x:f>H1155/F1155</x:f>
        <x:v>0.5401270063503175</x:v>
      </x:c>
    </x:row>
    <x:row r="1156" ht="22" customHeight="1">
      <x:c r="A1156" s="11" t="str">
        <x:v>2033</x:v>
      </x:c>
      <x:c r="B1156" s="8" t="str">
        <x:v>Litware Microwave 1.6CuFt M125 Grey</x:v>
      </x:c>
      <x:c r="C1156" s="8" t="n">
        <x:v>52</x:v>
      </x:c>
      <x:c r="D1156" s="9" t="n">
        <x:v>179.99</x:v>
      </x:c>
      <x:c r="E1156" s="9" t="n">
        <x:v>82.77</x:v>
      </x:c>
      <x:c r="F1156" s="8" t="n">
        <x:f>C1156*D1156</x:f>
        <x:v>9359.48</x:v>
      </x:c>
      <x:c r="G1156" s="8" t="n">
        <x:f>C1156*E1156</x:f>
        <x:v>4304.04</x:v>
      </x:c>
      <x:c r="H1156" s="8" t="n">
        <x:f>F1156-G1156</x:f>
        <x:v>5055.44</x:v>
      </x:c>
      <x:c r="I1156" s="10" t="n">
        <x:f>H1156/F1156</x:f>
        <x:v>0.5401411189510528</x:v>
      </x:c>
    </x:row>
    <x:row r="1157" ht="22" customHeight="1">
      <x:c r="A1157" s="11" t="str">
        <x:v>2034</x:v>
      </x:c>
      <x:c r="B1157" s="8" t="str">
        <x:v>Litware Microwave 1.0CuFt E110 Grey</x:v>
      </x:c>
      <x:c r="C1157" s="8" t="n">
        <x:v>35</x:v>
      </x:c>
      <x:c r="D1157" s="9" t="n">
        <x:v>139.99</x:v>
      </x:c>
      <x:c r="E1157" s="9" t="n">
        <x:v>71.37</x:v>
      </x:c>
      <x:c r="F1157" s="8" t="n">
        <x:f>C1157*D1157</x:f>
        <x:v>4899.650000000001</x:v>
      </x:c>
      <x:c r="G1157" s="8" t="n">
        <x:f>C1157*E1157</x:f>
        <x:v>2497.9500000000003</x:v>
      </x:c>
      <x:c r="H1157" s="8" t="n">
        <x:f>F1157-G1157</x:f>
        <x:v>2401.7000000000003</x:v>
      </x:c>
      <x:c r="I1157" s="10" t="n">
        <x:f>H1157/F1157</x:f>
        <x:v>0.4901778698478463</x:v>
      </x:c>
    </x:row>
    <x:row r="1158" ht="22" customHeight="1">
      <x:c r="A1158" s="11" t="str">
        <x:v>2035</x:v>
      </x:c>
      <x:c r="B1158" s="8" t="str">
        <x:v>Litware Microwave 0.9CuFt E090 Grey</x:v>
      </x:c>
      <x:c r="C1158" s="8" t="n">
        <x:v>41</x:v>
      </x:c>
      <x:c r="D1158" s="9" t="n">
        <x:v>99.99</x:v>
      </x:c>
      <x:c r="E1158" s="9" t="n">
        <x:v>50.98</x:v>
      </x:c>
      <x:c r="F1158" s="8" t="n">
        <x:f>C1158*D1158</x:f>
        <x:v>4099.59</x:v>
      </x:c>
      <x:c r="G1158" s="8" t="n">
        <x:f>C1158*E1158</x:f>
        <x:v>2090.18</x:v>
      </x:c>
      <x:c r="H1158" s="8" t="n">
        <x:f>F1158-G1158</x:f>
        <x:v>2009.4100000000003</x:v>
      </x:c>
      <x:c r="I1158" s="10" t="n">
        <x:f>H1158/F1158</x:f>
        <x:v>0.4901490149014902</x:v>
      </x:c>
    </x:row>
    <x:row r="1159" ht="22" customHeight="1">
      <x:c r="A1159" s="11" t="str">
        <x:v>2036</x:v>
      </x:c>
      <x:c r="B1159" s="8" t="str">
        <x:v>Litware Microwave 0.8CuFt E080 Grey</x:v>
      </x:c>
      <x:c r="C1159" s="8" t="n">
        <x:v>75</x:v>
      </x:c>
      <x:c r="D1159" s="9" t="n">
        <x:v>94.99</x:v>
      </x:c>
      <x:c r="E1159" s="9" t="n">
        <x:v>48.43</x:v>
      </x:c>
      <x:c r="F1159" s="8" t="n">
        <x:f>C1159*D1159</x:f>
        <x:v>7124.25</x:v>
      </x:c>
      <x:c r="G1159" s="8" t="n">
        <x:f>C1159*E1159</x:f>
        <x:v>3632.25</x:v>
      </x:c>
      <x:c r="H1159" s="8" t="n">
        <x:f>F1159-G1159</x:f>
        <x:v>3492</x:v>
      </x:c>
      <x:c r="I1159" s="10" t="n">
        <x:f>H1159/F1159</x:f>
        <x:v>0.4901568586166965</x:v>
      </x:c>
    </x:row>
    <x:row r="1160" ht="22" customHeight="1">
      <x:c r="A1160" s="11" t="str">
        <x:v>2037</x:v>
      </x:c>
      <x:c r="B1160" s="8" t="str">
        <x:v>Litware Microwave 1.5CuFt X110 Red</x:v>
      </x:c>
      <x:c r="C1160" s="8" t="n">
        <x:v>76</x:v>
      </x:c>
      <x:c r="D1160" s="9" t="n">
        <x:v>665.94</x:v>
      </x:c>
      <x:c r="E1160" s="9" t="n">
        <x:v>220.64</x:v>
      </x:c>
      <x:c r="F1160" s="8" t="n">
        <x:f>C1160*D1160</x:f>
        <x:v>50611.44</x:v>
      </x:c>
      <x:c r="G1160" s="8" t="n">
        <x:f>C1160*E1160</x:f>
        <x:v>16768.64</x:v>
      </x:c>
      <x:c r="H1160" s="8" t="n">
        <x:f>F1160-G1160</x:f>
        <x:v>33842.8</x:v>
      </x:c>
      <x:c r="I1160" s="10" t="n">
        <x:f>H1160/F1160</x:f>
        <x:v>0.6686788599573535</x:v>
      </x:c>
    </x:row>
    <x:row r="1161" ht="22" customHeight="1">
      <x:c r="A1161" s="11" t="str">
        <x:v>2038</x:v>
      </x:c>
      <x:c r="B1161" s="8" t="str">
        <x:v>Litware Microwave 2.2CuFt M125 Red</x:v>
      </x:c>
      <x:c r="C1161" s="8" t="n">
        <x:v>39</x:v>
      </x:c>
      <x:c r="D1161" s="9" t="n">
        <x:v>199.99</x:v>
      </x:c>
      <x:c r="E1161" s="9" t="n">
        <x:v>91.97</x:v>
      </x:c>
      <x:c r="F1161" s="8" t="n">
        <x:f>C1161*D1161</x:f>
        <x:v>7799.610000000001</x:v>
      </x:c>
      <x:c r="G1161" s="8" t="n">
        <x:f>C1161*E1161</x:f>
        <x:v>3586.83</x:v>
      </x:c>
      <x:c r="H1161" s="8" t="n">
        <x:f>F1161-G1161</x:f>
        <x:v>4212.780000000001</x:v>
      </x:c>
      <x:c r="I1161" s="10" t="n">
        <x:f>H1161/F1161</x:f>
        <x:v>0.5401270063503175</x:v>
      </x:c>
    </x:row>
    <x:row r="1162" ht="22" customHeight="1">
      <x:c r="A1162" s="11" t="str">
        <x:v>2039</x:v>
      </x:c>
      <x:c r="B1162" s="8" t="str">
        <x:v>Litware Microwave 1.6CuFt M125 Red</x:v>
      </x:c>
      <x:c r="C1162" s="8" t="n">
        <x:v>58</x:v>
      </x:c>
      <x:c r="D1162" s="9" t="n">
        <x:v>179.99</x:v>
      </x:c>
      <x:c r="E1162" s="9" t="n">
        <x:v>82.77</x:v>
      </x:c>
      <x:c r="F1162" s="8" t="n">
        <x:f>C1162*D1162</x:f>
        <x:v>10439.42</x:v>
      </x:c>
      <x:c r="G1162" s="8" t="n">
        <x:f>C1162*E1162</x:f>
        <x:v>4800.66</x:v>
      </x:c>
      <x:c r="H1162" s="8" t="n">
        <x:f>F1162-G1162</x:f>
        <x:v>5638.76</x:v>
      </x:c>
      <x:c r="I1162" s="10" t="n">
        <x:f>H1162/F1162</x:f>
        <x:v>0.5401411189510529</x:v>
      </x:c>
    </x:row>
    <x:row r="1163" ht="22" customHeight="1">
      <x:c r="A1163" s="11" t="str">
        <x:v>204</x:v>
      </x:c>
      <x:c r="B1163" s="8" t="str">
        <x:v>Litware Home Theater System 7.1 Channel X711 Black</x:v>
      </x:c>
      <x:c r="C1163" s="8" t="n">
        <x:v>10</x:v>
      </x:c>
      <x:c r="D1163" s="9" t="n">
        <x:v>1109</x:v>
      </x:c>
      <x:c r="E1163" s="9" t="n">
        <x:v>367.43</x:v>
      </x:c>
      <x:c r="F1163" s="8" t="n">
        <x:f>C1163*D1163</x:f>
        <x:v>11090</x:v>
      </x:c>
      <x:c r="G1163" s="8" t="n">
        <x:f>C1163*E1163</x:f>
        <x:v>3674.3</x:v>
      </x:c>
      <x:c r="H1163" s="8" t="n">
        <x:f>F1163-G1163</x:f>
        <x:v>7415.7</x:v>
      </x:c>
      <x:c r="I1163" s="10" t="n">
        <x:f>H1163/F1163</x:f>
        <x:v>0.6686834986474302</x:v>
      </x:c>
    </x:row>
    <x:row r="1164" ht="22" customHeight="1">
      <x:c r="A1164" s="11" t="str">
        <x:v>2040</x:v>
      </x:c>
      <x:c r="B1164" s="8" t="str">
        <x:v>Litware Microwave 1.0CuFt E110 Red</x:v>
      </x:c>
      <x:c r="C1164" s="8" t="n">
        <x:v>41</x:v>
      </x:c>
      <x:c r="D1164" s="9" t="n">
        <x:v>139.99</x:v>
      </x:c>
      <x:c r="E1164" s="9" t="n">
        <x:v>71.37</x:v>
      </x:c>
      <x:c r="F1164" s="8" t="n">
        <x:f>C1164*D1164</x:f>
        <x:v>5739.59</x:v>
      </x:c>
      <x:c r="G1164" s="8" t="n">
        <x:f>C1164*E1164</x:f>
        <x:v>2926.17</x:v>
      </x:c>
      <x:c r="H1164" s="8" t="n">
        <x:f>F1164-G1164</x:f>
        <x:v>2813.42</x:v>
      </x:c>
      <x:c r="I1164" s="10" t="n">
        <x:f>H1164/F1164</x:f>
        <x:v>0.4901778698478463</x:v>
      </x:c>
    </x:row>
    <x:row r="1165" ht="22" customHeight="1">
      <x:c r="A1165" s="11" t="str">
        <x:v>2041</x:v>
      </x:c>
      <x:c r="B1165" s="8" t="str">
        <x:v>Litware Microwave 0.9CuFt E090 Red</x:v>
      </x:c>
      <x:c r="C1165" s="8" t="n">
        <x:v>36</x:v>
      </x:c>
      <x:c r="D1165" s="9" t="n">
        <x:v>99.99</x:v>
      </x:c>
      <x:c r="E1165" s="9" t="n">
        <x:v>50.98</x:v>
      </x:c>
      <x:c r="F1165" s="8" t="n">
        <x:f>C1165*D1165</x:f>
        <x:v>3599.64</x:v>
      </x:c>
      <x:c r="G1165" s="8" t="n">
        <x:f>C1165*E1165</x:f>
        <x:v>1835.28</x:v>
      </x:c>
      <x:c r="H1165" s="8" t="n">
        <x:f>F1165-G1165</x:f>
        <x:v>1764.36</x:v>
      </x:c>
      <x:c r="I1165" s="10" t="n">
        <x:f>H1165/F1165</x:f>
        <x:v>0.49014901490149015</x:v>
      </x:c>
    </x:row>
    <x:row r="1166" ht="22" customHeight="1">
      <x:c r="A1166" s="11" t="str">
        <x:v>2042</x:v>
      </x:c>
      <x:c r="B1166" s="8" t="str">
        <x:v>Litware Microwave 0.8CuFt E080 Red</x:v>
      </x:c>
      <x:c r="C1166" s="8" t="n">
        <x:v>33</x:v>
      </x:c>
      <x:c r="D1166" s="9" t="n">
        <x:v>94.99</x:v>
      </x:c>
      <x:c r="E1166" s="9" t="n">
        <x:v>48.43</x:v>
      </x:c>
      <x:c r="F1166" s="8" t="n">
        <x:f>C1166*D1166</x:f>
        <x:v>3134.6699999999996</x:v>
      </x:c>
      <x:c r="G1166" s="8" t="n">
        <x:f>C1166*E1166</x:f>
        <x:v>1598.19</x:v>
      </x:c>
      <x:c r="H1166" s="8" t="n">
        <x:f>F1166-G1166</x:f>
        <x:v>1536.4799999999996</x:v>
      </x:c>
      <x:c r="I1166" s="10" t="n">
        <x:f>H1166/F1166</x:f>
        <x:v>0.4901568586166964</x:v>
      </x:c>
    </x:row>
    <x:row r="1167" ht="22" customHeight="1">
      <x:c r="A1167" s="11" t="str">
        <x:v>2043</x:v>
      </x:c>
      <x:c r="B1167" s="8" t="str">
        <x:v>Litware Microwave 1.5CuFt X110 Black</x:v>
      </x:c>
      <x:c r="C1167" s="8" t="n">
        <x:v>61</x:v>
      </x:c>
      <x:c r="D1167" s="9" t="n">
        <x:v>665.94</x:v>
      </x:c>
      <x:c r="E1167" s="9" t="n">
        <x:v>220.64</x:v>
      </x:c>
      <x:c r="F1167" s="8" t="n">
        <x:f>C1167*D1167</x:f>
        <x:v>40622.340000000004</x:v>
      </x:c>
      <x:c r="G1167" s="8" t="n">
        <x:f>C1167*E1167</x:f>
        <x:v>13459.039999999999</x:v>
      </x:c>
      <x:c r="H1167" s="8" t="n">
        <x:f>F1167-G1167</x:f>
        <x:v>27163.300000000003</x:v>
      </x:c>
      <x:c r="I1167" s="10" t="n">
        <x:f>H1167/F1167</x:f>
        <x:v>0.6686788599573535</x:v>
      </x:c>
    </x:row>
    <x:row r="1168" ht="22" customHeight="1">
      <x:c r="A1168" s="11" t="str">
        <x:v>2044</x:v>
      </x:c>
      <x:c r="B1168" s="8" t="str">
        <x:v>Litware Microwave 2.2CuFt M125 Black</x:v>
      </x:c>
      <x:c r="C1168" s="8" t="n">
        <x:v>29</x:v>
      </x:c>
      <x:c r="D1168" s="9" t="n">
        <x:v>199.99</x:v>
      </x:c>
      <x:c r="E1168" s="9" t="n">
        <x:v>91.97</x:v>
      </x:c>
      <x:c r="F1168" s="8" t="n">
        <x:f>C1168*D1168</x:f>
        <x:v>5799.71</x:v>
      </x:c>
      <x:c r="G1168" s="8" t="n">
        <x:f>C1168*E1168</x:f>
        <x:v>2667.13</x:v>
      </x:c>
      <x:c r="H1168" s="8" t="n">
        <x:f>F1168-G1168</x:f>
        <x:v>3132.58</x:v>
      </x:c>
      <x:c r="I1168" s="10" t="n">
        <x:f>H1168/F1168</x:f>
        <x:v>0.5401270063503175</x:v>
      </x:c>
    </x:row>
    <x:row r="1169" ht="22" customHeight="1">
      <x:c r="A1169" s="11" t="str">
        <x:v>2045</x:v>
      </x:c>
      <x:c r="B1169" s="8" t="str">
        <x:v>Litware Microwave 1.6CuFt M125 Black</x:v>
      </x:c>
      <x:c r="C1169" s="8" t="n">
        <x:v>43</x:v>
      </x:c>
      <x:c r="D1169" s="9" t="n">
        <x:v>179.99</x:v>
      </x:c>
      <x:c r="E1169" s="9" t="n">
        <x:v>82.77</x:v>
      </x:c>
      <x:c r="F1169" s="8" t="n">
        <x:f>C1169*D1169</x:f>
        <x:v>7739.570000000001</x:v>
      </x:c>
      <x:c r="G1169" s="8" t="n">
        <x:f>C1169*E1169</x:f>
        <x:v>3559.1099999999997</x:v>
      </x:c>
      <x:c r="H1169" s="8" t="n">
        <x:f>F1169-G1169</x:f>
        <x:v>4180.460000000001</x:v>
      </x:c>
      <x:c r="I1169" s="10" t="n">
        <x:f>H1169/F1169</x:f>
        <x:v>0.5401411189510529</x:v>
      </x:c>
    </x:row>
    <x:row r="1170" ht="22" customHeight="1">
      <x:c r="A1170" s="11" t="str">
        <x:v>2046</x:v>
      </x:c>
      <x:c r="B1170" s="8" t="str">
        <x:v>Litware Microwave 1.0CuFt E110 Black</x:v>
      </x:c>
      <x:c r="C1170" s="8" t="n">
        <x:v>38</x:v>
      </x:c>
      <x:c r="D1170" s="9" t="n">
        <x:v>139.99</x:v>
      </x:c>
      <x:c r="E1170" s="9" t="n">
        <x:v>71.37</x:v>
      </x:c>
      <x:c r="F1170" s="8" t="n">
        <x:f>C1170*D1170</x:f>
        <x:v>5319.620000000001</x:v>
      </x:c>
      <x:c r="G1170" s="8" t="n">
        <x:f>C1170*E1170</x:f>
        <x:v>2712.0600000000004</x:v>
      </x:c>
      <x:c r="H1170" s="8" t="n">
        <x:f>F1170-G1170</x:f>
        <x:v>2607.5600000000004</x:v>
      </x:c>
      <x:c r="I1170" s="10" t="n">
        <x:f>H1170/F1170</x:f>
        <x:v>0.4901778698478463</x:v>
      </x:c>
    </x:row>
    <x:row r="1171" ht="22" customHeight="1">
      <x:c r="A1171" s="11" t="str">
        <x:v>2047</x:v>
      </x:c>
      <x:c r="B1171" s="8" t="str">
        <x:v>Litware Microwave 0.9CuFt E090 Black</x:v>
      </x:c>
      <x:c r="C1171" s="8" t="n">
        <x:v>33</x:v>
      </x:c>
      <x:c r="D1171" s="9" t="n">
        <x:v>99.99</x:v>
      </x:c>
      <x:c r="E1171" s="9" t="n">
        <x:v>50.98</x:v>
      </x:c>
      <x:c r="F1171" s="8" t="n">
        <x:f>C1171*D1171</x:f>
        <x:v>3299.6699999999996</x:v>
      </x:c>
      <x:c r="G1171" s="8" t="n">
        <x:f>C1171*E1171</x:f>
        <x:v>1682.34</x:v>
      </x:c>
      <x:c r="H1171" s="8" t="n">
        <x:f>F1171-G1171</x:f>
        <x:v>1617.3299999999997</x:v>
      </x:c>
      <x:c r="I1171" s="10" t="n">
        <x:f>H1171/F1171</x:f>
        <x:v>0.4901490149014901</x:v>
      </x:c>
    </x:row>
    <x:row r="1172" ht="22" customHeight="1">
      <x:c r="A1172" s="11" t="str">
        <x:v>2048</x:v>
      </x:c>
      <x:c r="B1172" s="8" t="str">
        <x:v>Litware Microwave 0.8CuFt E080 Black</x:v>
      </x:c>
      <x:c r="C1172" s="8" t="n">
        <x:v>24</x:v>
      </x:c>
      <x:c r="D1172" s="9" t="n">
        <x:v>94.99</x:v>
      </x:c>
      <x:c r="E1172" s="9" t="n">
        <x:v>48.43</x:v>
      </x:c>
      <x:c r="F1172" s="8" t="n">
        <x:f>C1172*D1172</x:f>
        <x:v>2279.7599999999998</x:v>
      </x:c>
      <x:c r="G1172" s="8" t="n">
        <x:f>C1172*E1172</x:f>
        <x:v>1162.32</x:v>
      </x:c>
      <x:c r="H1172" s="8" t="n">
        <x:f>F1172-G1172</x:f>
        <x:v>1117.4399999999998</x:v>
      </x:c>
      <x:c r="I1172" s="10" t="n">
        <x:f>H1172/F1172</x:f>
        <x:v>0.49015685861669644</x:v>
      </x:c>
    </x:row>
    <x:row r="1173" ht="22" customHeight="1">
      <x:c r="A1173" s="11" t="str">
        <x:v>2049</x:v>
      </x:c>
      <x:c r="B1173" s="8" t="str">
        <x:v>Litware Microwave 1.5CuFt X110 Blue</x:v>
      </x:c>
      <x:c r="C1173" s="8" t="n">
        <x:v>73</x:v>
      </x:c>
      <x:c r="D1173" s="9" t="n">
        <x:v>665.94</x:v>
      </x:c>
      <x:c r="E1173" s="9" t="n">
        <x:v>220.64</x:v>
      </x:c>
      <x:c r="F1173" s="8" t="n">
        <x:f>C1173*D1173</x:f>
        <x:v>48613.62</x:v>
      </x:c>
      <x:c r="G1173" s="8" t="n">
        <x:f>C1173*E1173</x:f>
        <x:v>16106.72</x:v>
      </x:c>
      <x:c r="H1173" s="8" t="n">
        <x:f>F1173-G1173</x:f>
        <x:v>32506.9</x:v>
      </x:c>
      <x:c r="I1173" s="10" t="n">
        <x:f>H1173/F1173</x:f>
        <x:v>0.6686788599573535</x:v>
      </x:c>
    </x:row>
    <x:row r="1174" ht="22" customHeight="1">
      <x:c r="A1174" s="11" t="str">
        <x:v>205</x:v>
      </x:c>
      <x:c r="B1174" s="8" t="str">
        <x:v>Litware Home Theater System 5.1 Channel M514 Black</x:v>
      </x:c>
      <x:c r="C1174" s="8" t="n">
        <x:v>4</x:v>
      </x:c>
      <x:c r="D1174" s="9" t="n">
        <x:v>599</x:v>
      </x:c>
      <x:c r="E1174" s="9" t="n">
        <x:v>275.46</x:v>
      </x:c>
      <x:c r="F1174" s="8" t="n">
        <x:f>C1174*D1174</x:f>
        <x:v>2396</x:v>
      </x:c>
      <x:c r="G1174" s="8" t="n">
        <x:f>C1174*E1174</x:f>
        <x:v>1101.84</x:v>
      </x:c>
      <x:c r="H1174" s="8" t="n">
        <x:f>F1174-G1174</x:f>
        <x:v>1294.16</x:v>
      </x:c>
      <x:c r="I1174" s="10" t="n">
        <x:f>H1174/F1174</x:f>
        <x:v>0.5401335559265443</x:v>
      </x:c>
    </x:row>
    <x:row r="1175" ht="22" customHeight="1">
      <x:c r="A1175" s="11" t="str">
        <x:v>2050</x:v>
      </x:c>
      <x:c r="B1175" s="8" t="str">
        <x:v>Litware Microwave 2.2CuFt M125 Blue</x:v>
      </x:c>
      <x:c r="C1175" s="8" t="n">
        <x:v>44</x:v>
      </x:c>
      <x:c r="D1175" s="9" t="n">
        <x:v>199.99</x:v>
      </x:c>
      <x:c r="E1175" s="9" t="n">
        <x:v>91.97</x:v>
      </x:c>
      <x:c r="F1175" s="8" t="n">
        <x:f>C1175*D1175</x:f>
        <x:v>8799.560000000001</x:v>
      </x:c>
      <x:c r="G1175" s="8" t="n">
        <x:f>C1175*E1175</x:f>
        <x:v>4046.68</x:v>
      </x:c>
      <x:c r="H1175" s="8" t="n">
        <x:f>F1175-G1175</x:f>
        <x:v>4752.880000000001</x:v>
      </x:c>
      <x:c r="I1175" s="10" t="n">
        <x:f>H1175/F1175</x:f>
        <x:v>0.5401270063503175</x:v>
      </x:c>
    </x:row>
    <x:row r="1176" ht="22" customHeight="1">
      <x:c r="A1176" s="11" t="str">
        <x:v>2051</x:v>
      </x:c>
      <x:c r="B1176" s="8" t="str">
        <x:v>Litware Microwave 1.6CuFt M125 Blue</x:v>
      </x:c>
      <x:c r="C1176" s="8" t="n">
        <x:v>62</x:v>
      </x:c>
      <x:c r="D1176" s="9" t="n">
        <x:v>179.99</x:v>
      </x:c>
      <x:c r="E1176" s="9" t="n">
        <x:v>82.77</x:v>
      </x:c>
      <x:c r="F1176" s="8" t="n">
        <x:f>C1176*D1176</x:f>
        <x:v>11159.380000000001</x:v>
      </x:c>
      <x:c r="G1176" s="8" t="n">
        <x:f>C1176*E1176</x:f>
        <x:v>5131.74</x:v>
      </x:c>
      <x:c r="H1176" s="8" t="n">
        <x:f>F1176-G1176</x:f>
        <x:v>6027.640000000001</x:v>
      </x:c>
      <x:c r="I1176" s="10" t="n">
        <x:f>H1176/F1176</x:f>
        <x:v>0.5401411189510529</x:v>
      </x:c>
    </x:row>
    <x:row r="1177" ht="22" customHeight="1">
      <x:c r="A1177" s="11" t="str">
        <x:v>2052</x:v>
      </x:c>
      <x:c r="B1177" s="8" t="str">
        <x:v>Litware Microwave 1.0CuFt E110 Blue</x:v>
      </x:c>
      <x:c r="C1177" s="8" t="n">
        <x:v>42</x:v>
      </x:c>
      <x:c r="D1177" s="9" t="n">
        <x:v>139.99</x:v>
      </x:c>
      <x:c r="E1177" s="9" t="n">
        <x:v>71.37</x:v>
      </x:c>
      <x:c r="F1177" s="8" t="n">
        <x:f>C1177*D1177</x:f>
        <x:v>5879.58</x:v>
      </x:c>
      <x:c r="G1177" s="8" t="n">
        <x:f>C1177*E1177</x:f>
        <x:v>2997.54</x:v>
      </x:c>
      <x:c r="H1177" s="8" t="n">
        <x:f>F1177-G1177</x:f>
        <x:v>2882.04</x:v>
      </x:c>
      <x:c r="I1177" s="10" t="n">
        <x:f>H1177/F1177</x:f>
        <x:v>0.4901778698478463</x:v>
      </x:c>
    </x:row>
    <x:row r="1178" ht="22" customHeight="1">
      <x:c r="A1178" s="11" t="str">
        <x:v>2053</x:v>
      </x:c>
      <x:c r="B1178" s="8" t="str">
        <x:v>Litware Microwave 0.9CuFt E090 Blue</x:v>
      </x:c>
      <x:c r="C1178" s="8" t="n">
        <x:v>41</x:v>
      </x:c>
      <x:c r="D1178" s="9" t="n">
        <x:v>99.99</x:v>
      </x:c>
      <x:c r="E1178" s="9" t="n">
        <x:v>50.98</x:v>
      </x:c>
      <x:c r="F1178" s="8" t="n">
        <x:f>C1178*D1178</x:f>
        <x:v>4099.59</x:v>
      </x:c>
      <x:c r="G1178" s="8" t="n">
        <x:f>C1178*E1178</x:f>
        <x:v>2090.18</x:v>
      </x:c>
      <x:c r="H1178" s="8" t="n">
        <x:f>F1178-G1178</x:f>
        <x:v>2009.4100000000003</x:v>
      </x:c>
      <x:c r="I1178" s="10" t="n">
        <x:f>H1178/F1178</x:f>
        <x:v>0.4901490149014902</x:v>
      </x:c>
    </x:row>
    <x:row r="1179" ht="22" customHeight="1">
      <x:c r="A1179" s="11" t="str">
        <x:v>2054</x:v>
      </x:c>
      <x:c r="B1179" s="8" t="str">
        <x:v>Litware Microwave 0.8CuFt E080 Blue</x:v>
      </x:c>
      <x:c r="C1179" s="8" t="n">
        <x:v>37</x:v>
      </x:c>
      <x:c r="D1179" s="9" t="n">
        <x:v>94.99</x:v>
      </x:c>
      <x:c r="E1179" s="9" t="n">
        <x:v>48.43</x:v>
      </x:c>
      <x:c r="F1179" s="8" t="n">
        <x:f>C1179*D1179</x:f>
        <x:v>3514.6299999999997</x:v>
      </x:c>
      <x:c r="G1179" s="8" t="n">
        <x:f>C1179*E1179</x:f>
        <x:v>1791.91</x:v>
      </x:c>
      <x:c r="H1179" s="8" t="n">
        <x:f>F1179-G1179</x:f>
        <x:v>1722.7199999999996</x:v>
      </x:c>
      <x:c r="I1179" s="10" t="n">
        <x:f>H1179/F1179</x:f>
        <x:v>0.49015685861669644</x:v>
      </x:c>
    </x:row>
    <x:row r="1180" ht="22" customHeight="1">
      <x:c r="A1180" s="11" t="str">
        <x:v>2055</x:v>
      </x:c>
      <x:c r="B1180" s="8" t="str">
        <x:v>Contoso Microwave 1.5CuFt X0110 White</x:v>
      </x:c>
      <x:c r="C1180" s="8" t="n">
        <x:v>34</x:v>
      </x:c>
      <x:c r="D1180" s="9" t="n">
        <x:v>665.94</x:v>
      </x:c>
      <x:c r="E1180" s="9" t="n">
        <x:v>220.64</x:v>
      </x:c>
      <x:c r="F1180" s="8" t="n">
        <x:f>C1180*D1180</x:f>
        <x:v>22641.960000000003</x:v>
      </x:c>
      <x:c r="G1180" s="8" t="n">
        <x:f>C1180*E1180</x:f>
        <x:v>7501.759999999999</x:v>
      </x:c>
      <x:c r="H1180" s="8" t="n">
        <x:f>F1180-G1180</x:f>
        <x:v>15140.200000000004</x:v>
      </x:c>
      <x:c r="I1180" s="10" t="n">
        <x:f>H1180/F1180</x:f>
        <x:v>0.6686788599573537</x:v>
      </x:c>
    </x:row>
    <x:row r="1181" ht="22" customHeight="1">
      <x:c r="A1181" s="11" t="str">
        <x:v>2056</x:v>
      </x:c>
      <x:c r="B1181" s="8" t="str">
        <x:v>Contoso Microwave 2.2CuFt M0125 White</x:v>
      </x:c>
      <x:c r="C1181" s="8" t="n">
        <x:v>45</x:v>
      </x:c>
      <x:c r="D1181" s="9" t="n">
        <x:v>199.99</x:v>
      </x:c>
      <x:c r="E1181" s="9" t="n">
        <x:v>91.97</x:v>
      </x:c>
      <x:c r="F1181" s="8" t="n">
        <x:f>C1181*D1181</x:f>
        <x:v>8999.550000000001</x:v>
      </x:c>
      <x:c r="G1181" s="8" t="n">
        <x:f>C1181*E1181</x:f>
        <x:v>4138.65</x:v>
      </x:c>
      <x:c r="H1181" s="8" t="n">
        <x:f>F1181-G1181</x:f>
        <x:v>4860.9000000000015</x:v>
      </x:c>
      <x:c r="I1181" s="10" t="n">
        <x:f>H1181/F1181</x:f>
        <x:v>0.5401270063503176</x:v>
      </x:c>
    </x:row>
    <x:row r="1182" ht="22" customHeight="1">
      <x:c r="A1182" s="11" t="str">
        <x:v>2057</x:v>
      </x:c>
      <x:c r="B1182" s="8" t="str">
        <x:v>Contoso Microwave 1.6CuFt M0125 White</x:v>
      </x:c>
      <x:c r="C1182" s="8" t="n">
        <x:v>68</x:v>
      </x:c>
      <x:c r="D1182" s="9" t="n">
        <x:v>179.99</x:v>
      </x:c>
      <x:c r="E1182" s="9" t="n">
        <x:v>82.77</x:v>
      </x:c>
      <x:c r="F1182" s="8" t="n">
        <x:f>C1182*D1182</x:f>
        <x:v>12239.32</x:v>
      </x:c>
      <x:c r="G1182" s="8" t="n">
        <x:f>C1182*E1182</x:f>
        <x:v>5628.36</x:v>
      </x:c>
      <x:c r="H1182" s="8" t="n">
        <x:f>F1182-G1182</x:f>
        <x:v>6610.96</x:v>
      </x:c>
      <x:c r="I1182" s="10" t="n">
        <x:f>H1182/F1182</x:f>
        <x:v>0.5401411189510529</x:v>
      </x:c>
    </x:row>
    <x:row r="1183" ht="22" customHeight="1">
      <x:c r="A1183" s="11" t="str">
        <x:v>2058</x:v>
      </x:c>
      <x:c r="B1183" s="8" t="str">
        <x:v>Contoso Microwave 1.0CuFt E0110 White</x:v>
      </x:c>
      <x:c r="C1183" s="8" t="n">
        <x:v>30</x:v>
      </x:c>
      <x:c r="D1183" s="9" t="n">
        <x:v>139.99</x:v>
      </x:c>
      <x:c r="E1183" s="9" t="n">
        <x:v>71.37</x:v>
      </x:c>
      <x:c r="F1183" s="8" t="n">
        <x:f>C1183*D1183</x:f>
        <x:v>4199.700000000001</x:v>
      </x:c>
      <x:c r="G1183" s="8" t="n">
        <x:f>C1183*E1183</x:f>
        <x:v>2141.1000000000004</x:v>
      </x:c>
      <x:c r="H1183" s="8" t="n">
        <x:f>F1183-G1183</x:f>
        <x:v>2058.6000000000004</x:v>
      </x:c>
      <x:c r="I1183" s="10" t="n">
        <x:f>H1183/F1183</x:f>
        <x:v>0.4901778698478463</x:v>
      </x:c>
    </x:row>
    <x:row r="1184" ht="22" customHeight="1">
      <x:c r="A1184" s="11" t="str">
        <x:v>2059</x:v>
      </x:c>
      <x:c r="B1184" s="8" t="str">
        <x:v>Contoso Microwave 0.9CuFt E0090 White</x:v>
      </x:c>
      <x:c r="C1184" s="8" t="n">
        <x:v>47</x:v>
      </x:c>
      <x:c r="D1184" s="9" t="n">
        <x:v>99.99</x:v>
      </x:c>
      <x:c r="E1184" s="9" t="n">
        <x:v>50.98</x:v>
      </x:c>
      <x:c r="F1184" s="8" t="n">
        <x:f>C1184*D1184</x:f>
        <x:v>4699.53</x:v>
      </x:c>
      <x:c r="G1184" s="8" t="n">
        <x:f>C1184*E1184</x:f>
        <x:v>2396.06</x:v>
      </x:c>
      <x:c r="H1184" s="8" t="n">
        <x:f>F1184-G1184</x:f>
        <x:v>2303.47</x:v>
      </x:c>
      <x:c r="I1184" s="10" t="n">
        <x:f>H1184/F1184</x:f>
        <x:v>0.49014901490149015</x:v>
      </x:c>
    </x:row>
    <x:row r="1185" ht="22" customHeight="1">
      <x:c r="A1185" s="11" t="str">
        <x:v>206</x:v>
      </x:c>
      <x:c r="B1185" s="8" t="str">
        <x:v>Litware Home Theater System 5.1 Channel M515 Black</x:v>
      </x:c>
      <x:c r="C1185" s="8" t="n">
        <x:v>17</x:v>
      </x:c>
      <x:c r="D1185" s="9" t="n">
        <x:v>569</x:v>
      </x:c>
      <x:c r="E1185" s="9" t="n">
        <x:v>261.66</x:v>
      </x:c>
      <x:c r="F1185" s="8" t="n">
        <x:f>C1185*D1185</x:f>
        <x:v>9673</x:v>
      </x:c>
      <x:c r="G1185" s="8" t="n">
        <x:f>C1185*E1185</x:f>
        <x:v>4448.22</x:v>
      </x:c>
      <x:c r="H1185" s="8" t="n">
        <x:f>F1185-G1185</x:f>
        <x:v>5224.78</x:v>
      </x:c>
      <x:c r="I1185" s="10" t="n">
        <x:f>H1185/F1185</x:f>
        <x:v>0.540140597539543</x:v>
      </x:c>
    </x:row>
    <x:row r="1186" ht="22" customHeight="1">
      <x:c r="A1186" s="11" t="str">
        <x:v>2060</x:v>
      </x:c>
      <x:c r="B1186" s="8" t="str">
        <x:v>Contoso Microwave 0.8CuFt E0080 White</x:v>
      </x:c>
      <x:c r="C1186" s="8" t="n">
        <x:v>49</x:v>
      </x:c>
      <x:c r="D1186" s="9" t="n">
        <x:v>94.99</x:v>
      </x:c>
      <x:c r="E1186" s="9" t="n">
        <x:v>48.43</x:v>
      </x:c>
      <x:c r="F1186" s="8" t="n">
        <x:f>C1186*D1186</x:f>
        <x:v>4654.509999999999</x:v>
      </x:c>
      <x:c r="G1186" s="8" t="n">
        <x:f>C1186*E1186</x:f>
        <x:v>2373.07</x:v>
      </x:c>
      <x:c r="H1186" s="8" t="n">
        <x:f>F1186-G1186</x:f>
        <x:v>2281.439999999999</x:v>
      </x:c>
      <x:c r="I1186" s="10" t="n">
        <x:f>H1186/F1186</x:f>
        <x:v>0.4901568586166964</x:v>
      </x:c>
    </x:row>
    <x:row r="1187" ht="22" customHeight="1">
      <x:c r="A1187" s="11" t="str">
        <x:v>2061</x:v>
      </x:c>
      <x:c r="B1187" s="8" t="str">
        <x:v>Contoso Microwave 1.5CuFt X0110 Silver</x:v>
      </x:c>
      <x:c r="C1187" s="8" t="n">
        <x:v>58</x:v>
      </x:c>
      <x:c r="D1187" s="9" t="n">
        <x:v>665.94</x:v>
      </x:c>
      <x:c r="E1187" s="9" t="n">
        <x:v>220.64</x:v>
      </x:c>
      <x:c r="F1187" s="8" t="n">
        <x:f>C1187*D1187</x:f>
        <x:v>38624.520000000004</x:v>
      </x:c>
      <x:c r="G1187" s="8" t="n">
        <x:f>C1187*E1187</x:f>
        <x:v>12797.119999999999</x:v>
      </x:c>
      <x:c r="H1187" s="8" t="n">
        <x:f>F1187-G1187</x:f>
        <x:v>25827.400000000005</x:v>
      </x:c>
      <x:c r="I1187" s="10" t="n">
        <x:f>H1187/F1187</x:f>
        <x:v>0.6686788599573535</x:v>
      </x:c>
    </x:row>
    <x:row r="1188" ht="22" customHeight="1">
      <x:c r="A1188" s="11" t="str">
        <x:v>2062</x:v>
      </x:c>
      <x:c r="B1188" s="8" t="str">
        <x:v>Contoso Microwave 2.2CuFt M0125 Silver</x:v>
      </x:c>
      <x:c r="C1188" s="8" t="n">
        <x:v>43</x:v>
      </x:c>
      <x:c r="D1188" s="9" t="n">
        <x:v>199.99</x:v>
      </x:c>
      <x:c r="E1188" s="9" t="n">
        <x:v>91.97</x:v>
      </x:c>
      <x:c r="F1188" s="8" t="n">
        <x:f>C1188*D1188</x:f>
        <x:v>8599.57</x:v>
      </x:c>
      <x:c r="G1188" s="8" t="n">
        <x:f>C1188*E1188</x:f>
        <x:v>3954.71</x:v>
      </x:c>
      <x:c r="H1188" s="8" t="n">
        <x:f>F1188-G1188</x:f>
        <x:v>4644.86</x:v>
      </x:c>
      <x:c r="I1188" s="10" t="n">
        <x:f>H1188/F1188</x:f>
        <x:v>0.5401270063503175</x:v>
      </x:c>
    </x:row>
    <x:row r="1189" ht="22" customHeight="1">
      <x:c r="A1189" s="11" t="str">
        <x:v>2063</x:v>
      </x:c>
      <x:c r="B1189" s="8" t="str">
        <x:v>Contoso Microwave 1.6CuFt M0125 Silver</x:v>
      </x:c>
      <x:c r="C1189" s="8" t="n">
        <x:v>24</x:v>
      </x:c>
      <x:c r="D1189" s="9" t="n">
        <x:v>179.99</x:v>
      </x:c>
      <x:c r="E1189" s="9" t="n">
        <x:v>82.77</x:v>
      </x:c>
      <x:c r="F1189" s="8" t="n">
        <x:f>C1189*D1189</x:f>
        <x:v>4319.76</x:v>
      </x:c>
      <x:c r="G1189" s="8" t="n">
        <x:f>C1189*E1189</x:f>
        <x:v>1986.48</x:v>
      </x:c>
      <x:c r="H1189" s="8" t="n">
        <x:f>F1189-G1189</x:f>
        <x:v>2333.28</x:v>
      </x:c>
      <x:c r="I1189" s="10" t="n">
        <x:f>H1189/F1189</x:f>
        <x:v>0.5401411189510529</x:v>
      </x:c>
    </x:row>
    <x:row r="1190" ht="22" customHeight="1">
      <x:c r="A1190" s="11" t="str">
        <x:v>2064</x:v>
      </x:c>
      <x:c r="B1190" s="8" t="str">
        <x:v>Contoso Microwave 1.0CuFt E0110 Silver</x:v>
      </x:c>
      <x:c r="C1190" s="8" t="n">
        <x:v>69</x:v>
      </x:c>
      <x:c r="D1190" s="9" t="n">
        <x:v>139.99</x:v>
      </x:c>
      <x:c r="E1190" s="9" t="n">
        <x:v>71.37</x:v>
      </x:c>
      <x:c r="F1190" s="8" t="n">
        <x:f>C1190*D1190</x:f>
        <x:v>9659.310000000001</x:v>
      </x:c>
      <x:c r="G1190" s="8" t="n">
        <x:f>C1190*E1190</x:f>
        <x:v>4924.530000000001</x:v>
      </x:c>
      <x:c r="H1190" s="8" t="n">
        <x:f>F1190-G1190</x:f>
        <x:v>4734.780000000001</x:v>
      </x:c>
      <x:c r="I1190" s="10" t="n">
        <x:f>H1190/F1190</x:f>
        <x:v>0.4901778698478463</x:v>
      </x:c>
    </x:row>
    <x:row r="1191" ht="22" customHeight="1">
      <x:c r="A1191" s="11" t="str">
        <x:v>2065</x:v>
      </x:c>
      <x:c r="B1191" s="8" t="str">
        <x:v>Contoso Microwave 0.9CuFt E0090 Silver</x:v>
      </x:c>
      <x:c r="C1191" s="8" t="n">
        <x:v>43</x:v>
      </x:c>
      <x:c r="D1191" s="9" t="n">
        <x:v>99.99</x:v>
      </x:c>
      <x:c r="E1191" s="9" t="n">
        <x:v>50.98</x:v>
      </x:c>
      <x:c r="F1191" s="8" t="n">
        <x:f>C1191*D1191</x:f>
        <x:v>4299.57</x:v>
      </x:c>
      <x:c r="G1191" s="8" t="n">
        <x:f>C1191*E1191</x:f>
        <x:v>2192.14</x:v>
      </x:c>
      <x:c r="H1191" s="8" t="n">
        <x:f>F1191-G1191</x:f>
        <x:v>2107.43</x:v>
      </x:c>
      <x:c r="I1191" s="10" t="n">
        <x:f>H1191/F1191</x:f>
        <x:v>0.49014901490149015</x:v>
      </x:c>
    </x:row>
    <x:row r="1192" ht="22" customHeight="1">
      <x:c r="A1192" s="11" t="str">
        <x:v>2066</x:v>
      </x:c>
      <x:c r="B1192" s="8" t="str">
        <x:v>Contoso Microwave 0.8CuFt E0080 Silver</x:v>
      </x:c>
      <x:c r="C1192" s="8" t="n">
        <x:v>30</x:v>
      </x:c>
      <x:c r="D1192" s="9" t="n">
        <x:v>94.99</x:v>
      </x:c>
      <x:c r="E1192" s="9" t="n">
        <x:v>48.43</x:v>
      </x:c>
      <x:c r="F1192" s="8" t="n">
        <x:f>C1192*D1192</x:f>
        <x:v>2849.7</x:v>
      </x:c>
      <x:c r="G1192" s="8" t="n">
        <x:f>C1192*E1192</x:f>
        <x:v>1452.9</x:v>
      </x:c>
      <x:c r="H1192" s="8" t="n">
        <x:f>F1192-G1192</x:f>
        <x:v>1396.7999999999997</x:v>
      </x:c>
      <x:c r="I1192" s="10" t="n">
        <x:f>H1192/F1192</x:f>
        <x:v>0.49015685861669644</x:v>
      </x:c>
    </x:row>
    <x:row r="1193" ht="22" customHeight="1">
      <x:c r="A1193" s="11" t="str">
        <x:v>2067</x:v>
      </x:c>
      <x:c r="B1193" s="8" t="str">
        <x:v>Contoso Microwave 1.5CuFt X0110 Grey</x:v>
      </x:c>
      <x:c r="C1193" s="8" t="n">
        <x:v>39</x:v>
      </x:c>
      <x:c r="D1193" s="9" t="n">
        <x:v>665.94</x:v>
      </x:c>
      <x:c r="E1193" s="9" t="n">
        <x:v>220.64</x:v>
      </x:c>
      <x:c r="F1193" s="8" t="n">
        <x:f>C1193*D1193</x:f>
        <x:v>25971.660000000003</x:v>
      </x:c>
      <x:c r="G1193" s="8" t="n">
        <x:f>C1193*E1193</x:f>
        <x:v>8604.96</x:v>
      </x:c>
      <x:c r="H1193" s="8" t="n">
        <x:f>F1193-G1193</x:f>
        <x:v>17366.700000000004</x:v>
      </x:c>
      <x:c r="I1193" s="10" t="n">
        <x:f>H1193/F1193</x:f>
        <x:v>0.6686788599573535</x:v>
      </x:c>
    </x:row>
    <x:row r="1194" ht="22" customHeight="1">
      <x:c r="A1194" s="11" t="str">
        <x:v>2068</x:v>
      </x:c>
      <x:c r="B1194" s="8" t="str">
        <x:v>Contoso Microwave 2.2CuFt M0125 Grey</x:v>
      </x:c>
      <x:c r="C1194" s="8" t="n">
        <x:v>37</x:v>
      </x:c>
      <x:c r="D1194" s="9" t="n">
        <x:v>199.99</x:v>
      </x:c>
      <x:c r="E1194" s="9" t="n">
        <x:v>91.97</x:v>
      </x:c>
      <x:c r="F1194" s="8" t="n">
        <x:f>C1194*D1194</x:f>
        <x:v>7399.63</x:v>
      </x:c>
      <x:c r="G1194" s="8" t="n">
        <x:f>C1194*E1194</x:f>
        <x:v>3402.89</x:v>
      </x:c>
      <x:c r="H1194" s="8" t="n">
        <x:f>F1194-G1194</x:f>
        <x:v>3996.7400000000002</x:v>
      </x:c>
      <x:c r="I1194" s="10" t="n">
        <x:f>H1194/F1194</x:f>
        <x:v>0.5401270063503175</x:v>
      </x:c>
    </x:row>
    <x:row r="1195" ht="22" customHeight="1">
      <x:c r="A1195" s="11" t="str">
        <x:v>2069</x:v>
      </x:c>
      <x:c r="B1195" s="8" t="str">
        <x:v>Contoso Microwave 2.2CuFt M0126 Grey</x:v>
      </x:c>
      <x:c r="C1195" s="8" t="n">
        <x:v>33</x:v>
      </x:c>
      <x:c r="D1195" s="9" t="n">
        <x:v>179.99</x:v>
      </x:c>
      <x:c r="E1195" s="9" t="n">
        <x:v>82.77</x:v>
      </x:c>
      <x:c r="F1195" s="8" t="n">
        <x:f>C1195*D1195</x:f>
        <x:v>5939.67</x:v>
      </x:c>
      <x:c r="G1195" s="8" t="n">
        <x:f>C1195*E1195</x:f>
        <x:v>2731.41</x:v>
      </x:c>
      <x:c r="H1195" s="8" t="n">
        <x:f>F1195-G1195</x:f>
        <x:v>3208.26</x:v>
      </x:c>
      <x:c r="I1195" s="10" t="n">
        <x:f>H1195/F1195</x:f>
        <x:v>0.5401411189510529</x:v>
      </x:c>
    </x:row>
    <x:row r="1196" ht="22" customHeight="1">
      <x:c r="A1196" s="11" t="str">
        <x:v>207</x:v>
      </x:c>
      <x:c r="B1196" s="8" t="str">
        <x:v>Litware Home Theater System 5.1 Channel M516 Black</x:v>
      </x:c>
      <x:c r="C1196" s="8" t="n">
        <x:v>36</x:v>
      </x:c>
      <x:c r="D1196" s="9" t="n">
        <x:v>579</x:v>
      </x:c>
      <x:c r="E1196" s="9" t="n">
        <x:v>266.26</x:v>
      </x:c>
      <x:c r="F1196" s="8" t="n">
        <x:f>C1196*D1196</x:f>
        <x:v>20844</x:v>
      </x:c>
      <x:c r="G1196" s="8" t="n">
        <x:f>C1196*E1196</x:f>
        <x:v>9585.36</x:v>
      </x:c>
      <x:c r="H1196" s="8" t="n">
        <x:f>F1196-G1196</x:f>
        <x:v>11258.64</x:v>
      </x:c>
      <x:c r="I1196" s="10" t="n">
        <x:f>H1196/F1196</x:f>
        <x:v>0.5401381692573403</x:v>
      </x:c>
    </x:row>
    <x:row r="1197" ht="22" customHeight="1">
      <x:c r="A1197" s="11" t="str">
        <x:v>2070</x:v>
      </x:c>
      <x:c r="B1197" s="8" t="str">
        <x:v>Contoso Microwave 1.0CuFt E0110 Grey</x:v>
      </x:c>
      <x:c r="C1197" s="8" t="n">
        <x:v>50</x:v>
      </x:c>
      <x:c r="D1197" s="9" t="n">
        <x:v>139.99</x:v>
      </x:c>
      <x:c r="E1197" s="9" t="n">
        <x:v>71.37</x:v>
      </x:c>
      <x:c r="F1197" s="8" t="n">
        <x:f>C1197*D1197</x:f>
        <x:v>6999.5</x:v>
      </x:c>
      <x:c r="G1197" s="8" t="n">
        <x:f>C1197*E1197</x:f>
        <x:v>3568.5</x:v>
      </x:c>
      <x:c r="H1197" s="8" t="n">
        <x:f>F1197-G1197</x:f>
        <x:v>3431</x:v>
      </x:c>
      <x:c r="I1197" s="10" t="n">
        <x:f>H1197/F1197</x:f>
        <x:v>0.4901778698478463</x:v>
      </x:c>
    </x:row>
    <x:row r="1198" ht="22" customHeight="1">
      <x:c r="A1198" s="11" t="str">
        <x:v>2071</x:v>
      </x:c>
      <x:c r="B1198" s="8" t="str">
        <x:v>Contoso Microwave 0.9CuFt E0090 Grey</x:v>
      </x:c>
      <x:c r="C1198" s="8" t="n">
        <x:v>39</x:v>
      </x:c>
      <x:c r="D1198" s="9" t="n">
        <x:v>99.99</x:v>
      </x:c>
      <x:c r="E1198" s="9" t="n">
        <x:v>50.98</x:v>
      </x:c>
      <x:c r="F1198" s="8" t="n">
        <x:f>C1198*D1198</x:f>
        <x:v>3899.6099999999997</x:v>
      </x:c>
      <x:c r="G1198" s="8" t="n">
        <x:f>C1198*E1198</x:f>
        <x:v>1988.2199999999998</x:v>
      </x:c>
      <x:c r="H1198" s="8" t="n">
        <x:f>F1198-G1198</x:f>
        <x:v>1911.3899999999999</x:v>
      </x:c>
      <x:c r="I1198" s="10" t="n">
        <x:f>H1198/F1198</x:f>
        <x:v>0.49014901490149015</x:v>
      </x:c>
    </x:row>
    <x:row r="1199" ht="22" customHeight="1">
      <x:c r="A1199" s="11" t="str">
        <x:v>2072</x:v>
      </x:c>
      <x:c r="B1199" s="8" t="str">
        <x:v>Contoso Microwave 0.8CuFt E0080 Grey</x:v>
      </x:c>
      <x:c r="C1199" s="8" t="n">
        <x:v>43</x:v>
      </x:c>
      <x:c r="D1199" s="9" t="n">
        <x:v>94.99</x:v>
      </x:c>
      <x:c r="E1199" s="9" t="n">
        <x:v>48.43</x:v>
      </x:c>
      <x:c r="F1199" s="8" t="n">
        <x:f>C1199*D1199</x:f>
        <x:v>4084.5699999999997</x:v>
      </x:c>
      <x:c r="G1199" s="8" t="n">
        <x:f>C1199*E1199</x:f>
        <x:v>2082.49</x:v>
      </x:c>
      <x:c r="H1199" s="8" t="n">
        <x:f>F1199-G1199</x:f>
        <x:v>2002.08</x:v>
      </x:c>
      <x:c r="I1199" s="10" t="n">
        <x:f>H1199/F1199</x:f>
        <x:v>0.4901568586166965</x:v>
      </x:c>
    </x:row>
    <x:row r="1200" ht="22" customHeight="1">
      <x:c r="A1200" s="11" t="str">
        <x:v>2073</x:v>
      </x:c>
      <x:c r="B1200" s="8" t="str">
        <x:v>Contoso Microwave 1.5CuFt X0110 Red</x:v>
      </x:c>
      <x:c r="C1200" s="8" t="n">
        <x:v>36</x:v>
      </x:c>
      <x:c r="D1200" s="9" t="n">
        <x:v>665.94</x:v>
      </x:c>
      <x:c r="E1200" s="9" t="n">
        <x:v>220.64</x:v>
      </x:c>
      <x:c r="F1200" s="8" t="n">
        <x:f>C1200*D1200</x:f>
        <x:v>23973.840000000004</x:v>
      </x:c>
      <x:c r="G1200" s="8" t="n">
        <x:f>C1200*E1200</x:f>
        <x:v>7943.039999999999</x:v>
      </x:c>
      <x:c r="H1200" s="8" t="n">
        <x:f>F1200-G1200</x:f>
        <x:v>16030.800000000005</x:v>
      </x:c>
      <x:c r="I1200" s="10" t="n">
        <x:f>H1200/F1200</x:f>
        <x:v>0.6686788599573537</x:v>
      </x:c>
    </x:row>
    <x:row r="1201" ht="22" customHeight="1">
      <x:c r="A1201" s="11" t="str">
        <x:v>2074</x:v>
      </x:c>
      <x:c r="B1201" s="8" t="str">
        <x:v>Contoso Microwave 2.2CuFt M0125 Red</x:v>
      </x:c>
      <x:c r="C1201" s="8" t="n">
        <x:v>30</x:v>
      </x:c>
      <x:c r="D1201" s="9" t="n">
        <x:v>199.99</x:v>
      </x:c>
      <x:c r="E1201" s="9" t="n">
        <x:v>91.97</x:v>
      </x:c>
      <x:c r="F1201" s="8" t="n">
        <x:f>C1201*D1201</x:f>
        <x:v>5999.700000000001</x:v>
      </x:c>
      <x:c r="G1201" s="8" t="n">
        <x:f>C1201*E1201</x:f>
        <x:v>2759.1</x:v>
      </x:c>
      <x:c r="H1201" s="8" t="n">
        <x:f>F1201-G1201</x:f>
        <x:v>3240.600000000001</x:v>
      </x:c>
      <x:c r="I1201" s="10" t="n">
        <x:f>H1201/F1201</x:f>
        <x:v>0.5401270063503176</x:v>
      </x:c>
    </x:row>
    <x:row r="1202" ht="22" customHeight="1">
      <x:c r="A1202" s="11" t="str">
        <x:v>2075</x:v>
      </x:c>
      <x:c r="B1202" s="8" t="str">
        <x:v>Contoso Microwave 1.6CuFt M0125 Red</x:v>
      </x:c>
      <x:c r="C1202" s="8" t="n">
        <x:v>53</x:v>
      </x:c>
      <x:c r="D1202" s="9" t="n">
        <x:v>179.99</x:v>
      </x:c>
      <x:c r="E1202" s="9" t="n">
        <x:v>82.77</x:v>
      </x:c>
      <x:c r="F1202" s="8" t="n">
        <x:f>C1202*D1202</x:f>
        <x:v>9539.470000000001</x:v>
      </x:c>
      <x:c r="G1202" s="8" t="n">
        <x:f>C1202*E1202</x:f>
        <x:v>4386.8099999999995</x:v>
      </x:c>
      <x:c r="H1202" s="8" t="n">
        <x:f>F1202-G1202</x:f>
        <x:v>5152.660000000002</x:v>
      </x:c>
      <x:c r="I1202" s="10" t="n">
        <x:f>H1202/F1202</x:f>
        <x:v>0.540141118951053</x:v>
      </x:c>
    </x:row>
    <x:row r="1203" ht="22" customHeight="1">
      <x:c r="A1203" s="11" t="str">
        <x:v>2076</x:v>
      </x:c>
      <x:c r="B1203" s="8" t="str">
        <x:v>Contoso Microwave 1.0CuFt E0110 Red</x:v>
      </x:c>
      <x:c r="C1203" s="8" t="n">
        <x:v>67</x:v>
      </x:c>
      <x:c r="D1203" s="9" t="n">
        <x:v>139.99</x:v>
      </x:c>
      <x:c r="E1203" s="9" t="n">
        <x:v>71.37</x:v>
      </x:c>
      <x:c r="F1203" s="8" t="n">
        <x:f>C1203*D1203</x:f>
        <x:v>9379.33</x:v>
      </x:c>
      <x:c r="G1203" s="8" t="n">
        <x:f>C1203*E1203</x:f>
        <x:v>4781.79</x:v>
      </x:c>
      <x:c r="H1203" s="8" t="n">
        <x:f>F1203-G1203</x:f>
        <x:v>4597.54</x:v>
      </x:c>
      <x:c r="I1203" s="10" t="n">
        <x:f>H1203/F1203</x:f>
        <x:v>0.4901778698478463</x:v>
      </x:c>
    </x:row>
    <x:row r="1204" ht="22" customHeight="1">
      <x:c r="A1204" s="11" t="str">
        <x:v>2077</x:v>
      </x:c>
      <x:c r="B1204" s="8" t="str">
        <x:v>Contoso Microwave 0.9CuFt E0090 Red</x:v>
      </x:c>
      <x:c r="C1204" s="8" t="n">
        <x:v>44</x:v>
      </x:c>
      <x:c r="D1204" s="9" t="n">
        <x:v>99.99</x:v>
      </x:c>
      <x:c r="E1204" s="9" t="n">
        <x:v>50.98</x:v>
      </x:c>
      <x:c r="F1204" s="8" t="n">
        <x:f>C1204*D1204</x:f>
        <x:v>4399.5599999999995</x:v>
      </x:c>
      <x:c r="G1204" s="8" t="n">
        <x:f>C1204*E1204</x:f>
        <x:v>2243.12</x:v>
      </x:c>
      <x:c r="H1204" s="8" t="n">
        <x:f>F1204-G1204</x:f>
        <x:v>2156.4399999999996</x:v>
      </x:c>
      <x:c r="I1204" s="10" t="n">
        <x:f>H1204/F1204</x:f>
        <x:v>0.4901490149014901</x:v>
      </x:c>
    </x:row>
    <x:row r="1205" ht="22" customHeight="1">
      <x:c r="A1205" s="11" t="str">
        <x:v>2078</x:v>
      </x:c>
      <x:c r="B1205" s="8" t="str">
        <x:v>Contoso Microwave 0.8CuFt E0080 Red</x:v>
      </x:c>
      <x:c r="C1205" s="8" t="n">
        <x:v>37</x:v>
      </x:c>
      <x:c r="D1205" s="9" t="n">
        <x:v>94.99</x:v>
      </x:c>
      <x:c r="E1205" s="9" t="n">
        <x:v>48.43</x:v>
      </x:c>
      <x:c r="F1205" s="8" t="n">
        <x:f>C1205*D1205</x:f>
        <x:v>3514.6299999999997</x:v>
      </x:c>
      <x:c r="G1205" s="8" t="n">
        <x:f>C1205*E1205</x:f>
        <x:v>1791.91</x:v>
      </x:c>
      <x:c r="H1205" s="8" t="n">
        <x:f>F1205-G1205</x:f>
        <x:v>1722.7199999999996</x:v>
      </x:c>
      <x:c r="I1205" s="10" t="n">
        <x:f>H1205/F1205</x:f>
        <x:v>0.49015685861669644</x:v>
      </x:c>
    </x:row>
    <x:row r="1206" ht="22" customHeight="1">
      <x:c r="A1206" s="11" t="str">
        <x:v>2079</x:v>
      </x:c>
      <x:c r="B1206" s="8" t="str">
        <x:v>Contoso Microwave 1.5CuFt X0110 Black</x:v>
      </x:c>
      <x:c r="C1206" s="8" t="n">
        <x:v>27</x:v>
      </x:c>
      <x:c r="D1206" s="9" t="n">
        <x:v>665.94</x:v>
      </x:c>
      <x:c r="E1206" s="9" t="n">
        <x:v>220.64</x:v>
      </x:c>
      <x:c r="F1206" s="8" t="n">
        <x:f>C1206*D1206</x:f>
        <x:v>17980.38</x:v>
      </x:c>
      <x:c r="G1206" s="8" t="n">
        <x:f>C1206*E1206</x:f>
        <x:v>5957.28</x:v>
      </x:c>
      <x:c r="H1206" s="8" t="n">
        <x:f>F1206-G1206</x:f>
        <x:v>12023.100000000002</x:v>
      </x:c>
      <x:c r="I1206" s="10" t="n">
        <x:f>H1206/F1206</x:f>
        <x:v>0.6686788599573535</x:v>
      </x:c>
    </x:row>
    <x:row r="1207" ht="22" customHeight="1">
      <x:c r="A1207" s="11" t="str">
        <x:v>208</x:v>
      </x:c>
      <x:c r="B1207" s="8" t="str">
        <x:v>Litware Home Theater System 4.1 Channel M410 Silver</x:v>
      </x:c>
      <x:c r="C1207" s="8" t="n">
        <x:v>13</x:v>
      </x:c>
      <x:c r="D1207" s="9" t="n">
        <x:v>599</x:v>
      </x:c>
      <x:c r="E1207" s="9" t="n">
        <x:v>275.46</x:v>
      </x:c>
      <x:c r="F1207" s="8" t="n">
        <x:f>C1207*D1207</x:f>
        <x:v>7787</x:v>
      </x:c>
      <x:c r="G1207" s="8" t="n">
        <x:f>C1207*E1207</x:f>
        <x:v>3580.9799999999996</x:v>
      </x:c>
      <x:c r="H1207" s="8" t="n">
        <x:f>F1207-G1207</x:f>
        <x:v>4206.02</x:v>
      </x:c>
      <x:c r="I1207" s="10" t="n">
        <x:f>H1207/F1207</x:f>
        <x:v>0.5401335559265443</x:v>
      </x:c>
    </x:row>
    <x:row r="1208" ht="22" customHeight="1">
      <x:c r="A1208" s="11" t="str">
        <x:v>2080</x:v>
      </x:c>
      <x:c r="B1208" s="8" t="str">
        <x:v>Contoso Microwave 2.2CuFt M0125 Black</x:v>
      </x:c>
      <x:c r="C1208" s="8" t="n">
        <x:v>29</x:v>
      </x:c>
      <x:c r="D1208" s="9" t="n">
        <x:v>199.99</x:v>
      </x:c>
      <x:c r="E1208" s="9" t="n">
        <x:v>91.97</x:v>
      </x:c>
      <x:c r="F1208" s="8" t="n">
        <x:f>C1208*D1208</x:f>
        <x:v>5799.71</x:v>
      </x:c>
      <x:c r="G1208" s="8" t="n">
        <x:f>C1208*E1208</x:f>
        <x:v>2667.13</x:v>
      </x:c>
      <x:c r="H1208" s="8" t="n">
        <x:f>F1208-G1208</x:f>
        <x:v>3132.58</x:v>
      </x:c>
      <x:c r="I1208" s="10" t="n">
        <x:f>H1208/F1208</x:f>
        <x:v>0.5401270063503175</x:v>
      </x:c>
    </x:row>
    <x:row r="1209" ht="22" customHeight="1">
      <x:c r="A1209" s="11" t="str">
        <x:v>2081</x:v>
      </x:c>
      <x:c r="B1209" s="8" t="str">
        <x:v>Contoso Microwave 1.6CuFt M0125 Black</x:v>
      </x:c>
      <x:c r="C1209" s="8" t="n">
        <x:v>61</x:v>
      </x:c>
      <x:c r="D1209" s="9" t="n">
        <x:v>179.99</x:v>
      </x:c>
      <x:c r="E1209" s="9" t="n">
        <x:v>82.77</x:v>
      </x:c>
      <x:c r="F1209" s="8" t="n">
        <x:f>C1209*D1209</x:f>
        <x:v>10979.390000000001</x:v>
      </x:c>
      <x:c r="G1209" s="8" t="n">
        <x:f>C1209*E1209</x:f>
        <x:v>5048.969999999999</x:v>
      </x:c>
      <x:c r="H1209" s="8" t="n">
        <x:f>F1209-G1209</x:f>
        <x:v>5930.420000000002</x:v>
      </x:c>
      <x:c r="I1209" s="10" t="n">
        <x:f>H1209/F1209</x:f>
        <x:v>0.540141118951053</x:v>
      </x:c>
    </x:row>
    <x:row r="1210" ht="22" customHeight="1">
      <x:c r="A1210" s="11" t="str">
        <x:v>2082</x:v>
      </x:c>
      <x:c r="B1210" s="8" t="str">
        <x:v>Contoso Microwave 1.0CuFt E0110 Black</x:v>
      </x:c>
      <x:c r="C1210" s="8" t="n">
        <x:v>61</x:v>
      </x:c>
      <x:c r="D1210" s="9" t="n">
        <x:v>139.99</x:v>
      </x:c>
      <x:c r="E1210" s="9" t="n">
        <x:v>71.37</x:v>
      </x:c>
      <x:c r="F1210" s="8" t="n">
        <x:f>C1210*D1210</x:f>
        <x:v>8539.390000000001</x:v>
      </x:c>
      <x:c r="G1210" s="8" t="n">
        <x:f>C1210*E1210</x:f>
        <x:v>4353.570000000001</x:v>
      </x:c>
      <x:c r="H1210" s="8" t="n">
        <x:f>F1210-G1210</x:f>
        <x:v>4185.820000000001</x:v>
      </x:c>
      <x:c r="I1210" s="10" t="n">
        <x:f>H1210/F1210</x:f>
        <x:v>0.4901778698478463</x:v>
      </x:c>
    </x:row>
    <x:row r="1211" ht="22" customHeight="1">
      <x:c r="A1211" s="11" t="str">
        <x:v>2083</x:v>
      </x:c>
      <x:c r="B1211" s="8" t="str">
        <x:v>Contoso Microwave 0.9CuFt E0090 Black</x:v>
      </x:c>
      <x:c r="C1211" s="8" t="n">
        <x:v>55</x:v>
      </x:c>
      <x:c r="D1211" s="9" t="n">
        <x:v>99.99</x:v>
      </x:c>
      <x:c r="E1211" s="9" t="n">
        <x:v>50.98</x:v>
      </x:c>
      <x:c r="F1211" s="8" t="n">
        <x:f>C1211*D1211</x:f>
        <x:v>5499.45</x:v>
      </x:c>
      <x:c r="G1211" s="8" t="n">
        <x:f>C1211*E1211</x:f>
        <x:v>2803.8999999999996</x:v>
      </x:c>
      <x:c r="H1211" s="8" t="n">
        <x:f>F1211-G1211</x:f>
        <x:v>2695.55</x:v>
      </x:c>
      <x:c r="I1211" s="10" t="n">
        <x:f>H1211/F1211</x:f>
        <x:v>0.4901490149014902</x:v>
      </x:c>
    </x:row>
    <x:row r="1212" ht="22" customHeight="1">
      <x:c r="A1212" s="11" t="str">
        <x:v>2084</x:v>
      </x:c>
      <x:c r="B1212" s="8" t="str">
        <x:v>Contoso Microwave 0.8CuFt E0080 Black</x:v>
      </x:c>
      <x:c r="C1212" s="8" t="n">
        <x:v>71</x:v>
      </x:c>
      <x:c r="D1212" s="9" t="n">
        <x:v>94.99</x:v>
      </x:c>
      <x:c r="E1212" s="9" t="n">
        <x:v>48.43</x:v>
      </x:c>
      <x:c r="F1212" s="8" t="n">
        <x:f>C1212*D1212</x:f>
        <x:v>6744.29</x:v>
      </x:c>
      <x:c r="G1212" s="8" t="n">
        <x:f>C1212*E1212</x:f>
        <x:v>3438.53</x:v>
      </x:c>
      <x:c r="H1212" s="8" t="n">
        <x:f>F1212-G1212</x:f>
        <x:v>3305.7599999999998</x:v>
      </x:c>
      <x:c r="I1212" s="10" t="n">
        <x:f>H1212/F1212</x:f>
        <x:v>0.49015685861669644</x:v>
      </x:c>
    </x:row>
    <x:row r="1213" ht="22" customHeight="1">
      <x:c r="A1213" s="11" t="str">
        <x:v>2085</x:v>
      </x:c>
      <x:c r="B1213" s="8" t="str">
        <x:v>Contoso Water Heater 7.2GPM X1800 White</x:v>
      </x:c>
      <x:c r="C1213" s="8" t="n">
        <x:v>141</x:v>
      </x:c>
      <x:c r="D1213" s="9" t="n">
        <x:v>1475</x:v>
      </x:c>
      <x:c r="E1213" s="9" t="n">
        <x:v>488.7</x:v>
      </x:c>
      <x:c r="F1213" s="8" t="n">
        <x:f>C1213*D1213</x:f>
        <x:v>207975</x:v>
      </x:c>
      <x:c r="G1213" s="8" t="n">
        <x:f>C1213*E1213</x:f>
        <x:v>68906.7</x:v>
      </x:c>
      <x:c r="H1213" s="8" t="n">
        <x:f>F1213-G1213</x:f>
        <x:v>139068.3</x:v>
      </x:c>
      <x:c r="I1213" s="10" t="n">
        <x:f>H1213/F1213</x:f>
        <x:v>0.6686779661016948</x:v>
      </x:c>
    </x:row>
    <x:row r="1214" ht="22" customHeight="1">
      <x:c r="A1214" s="11" t="str">
        <x:v>2086</x:v>
      </x:c>
      <x:c r="B1214" s="8" t="str">
        <x:v>Contoso Water Heater 4.3GPM M1250 White</x:v>
      </x:c>
      <x:c r="C1214" s="8" t="n">
        <x:v>194</x:v>
      </x:c>
      <x:c r="D1214" s="9" t="n">
        <x:v>877.5</x:v>
      </x:c>
      <x:c r="E1214" s="9" t="n">
        <x:v>403.53</x:v>
      </x:c>
      <x:c r="F1214" s="8" t="n">
        <x:f>C1214*D1214</x:f>
        <x:v>170235</x:v>
      </x:c>
      <x:c r="G1214" s="8" t="n">
        <x:f>C1214*E1214</x:f>
        <x:v>78284.81999999999</x:v>
      </x:c>
      <x:c r="H1214" s="8" t="n">
        <x:f>F1214-G1214</x:f>
        <x:v>91950.18000000001</x:v>
      </x:c>
      <x:c r="I1214" s="10" t="n">
        <x:f>H1214/F1214</x:f>
        <x:v>0.5401367521367522</x:v>
      </x:c>
    </x:row>
    <x:row r="1215" ht="22" customHeight="1">
      <x:c r="A1215" s="11" t="str">
        <x:v>2087</x:v>
      </x:c>
      <x:c r="B1215" s="8" t="str">
        <x:v>Contoso Water Heater 4.0GPM M1250 White</x:v>
      </x:c>
      <x:c r="C1215" s="8" t="n">
        <x:v>168</x:v>
      </x:c>
      <x:c r="D1215" s="9" t="n">
        <x:v>791</x:v>
      </x:c>
      <x:c r="E1215" s="9" t="n">
        <x:v>363.75</x:v>
      </x:c>
      <x:c r="F1215" s="8" t="n">
        <x:f>C1215*D1215</x:f>
        <x:v>132888</x:v>
      </x:c>
      <x:c r="G1215" s="8" t="n">
        <x:f>C1215*E1215</x:f>
        <x:v>61110</x:v>
      </x:c>
      <x:c r="H1215" s="8" t="n">
        <x:f>F1215-G1215</x:f>
        <x:v>71778</x:v>
      </x:c>
      <x:c r="I1215" s="10" t="n">
        <x:f>H1215/F1215</x:f>
        <x:v>0.5401390644753477</x:v>
      </x:c>
    </x:row>
    <x:row r="1216" ht="22" customHeight="1">
      <x:c r="A1216" s="11" t="str">
        <x:v>2088</x:v>
      </x:c>
      <x:c r="B1216" s="8" t="str">
        <x:v>Contoso Water Heater 2.6GPM E0900 White</x:v>
      </x:c>
      <x:c r="C1216" s="8" t="n">
        <x:v>102</x:v>
      </x:c>
      <x:c r="D1216" s="9" t="n">
        <x:v>508</x:v>
      </x:c>
      <x:c r="E1216" s="9" t="n">
        <x:v>258.99</x:v>
      </x:c>
      <x:c r="F1216" s="8" t="n">
        <x:f>C1216*D1216</x:f>
        <x:v>51816</x:v>
      </x:c>
      <x:c r="G1216" s="8" t="n">
        <x:f>C1216*E1216</x:f>
        <x:v>26416.98</x:v>
      </x:c>
      <x:c r="H1216" s="8" t="n">
        <x:f>F1216-G1216</x:f>
        <x:v>25399.02</x:v>
      </x:c>
      <x:c r="I1216" s="10" t="n">
        <x:f>H1216/F1216</x:f>
        <x:v>0.4901771653543307</x:v>
      </x:c>
    </x:row>
    <x:row r="1217" ht="22" customHeight="1">
      <x:c r="A1217" s="11" t="str">
        <x:v>2089</x:v>
      </x:c>
      <x:c r="B1217" s="8" t="str">
        <x:v>Contoso Water Heater 1.5GPM E0800 White</x:v>
      </x:c>
      <x:c r="C1217" s="8" t="n">
        <x:v>182</x:v>
      </x:c>
      <x:c r="D1217" s="9" t="n">
        <x:v>257.5</x:v>
      </x:c>
      <x:c r="E1217" s="9" t="n">
        <x:v>131.28</x:v>
      </x:c>
      <x:c r="F1217" s="8" t="n">
        <x:f>C1217*D1217</x:f>
        <x:v>46865</x:v>
      </x:c>
      <x:c r="G1217" s="8" t="n">
        <x:f>C1217*E1217</x:f>
        <x:v>23892.96</x:v>
      </x:c>
      <x:c r="H1217" s="8" t="n">
        <x:f>F1217-G1217</x:f>
        <x:v>22972.04</x:v>
      </x:c>
      <x:c r="I1217" s="10" t="n">
        <x:f>H1217/F1217</x:f>
        <x:v>0.4901747572815534</x:v>
      </x:c>
    </x:row>
    <x:row r="1218" ht="22" customHeight="1">
      <x:c r="A1218" s="11" t="str">
        <x:v>209</x:v>
      </x:c>
      <x:c r="B1218" s="8" t="str">
        <x:v>Litware Home Theater System 5.1 Channel M511 Silver</x:v>
      </x:c>
      <x:c r="C1218" s="8" t="n">
        <x:v>13</x:v>
      </x:c>
      <x:c r="D1218" s="9" t="n">
        <x:v>699</x:v>
      </x:c>
      <x:c r="E1218" s="9" t="n">
        <x:v>321.44</x:v>
      </x:c>
      <x:c r="F1218" s="8" t="n">
        <x:f>C1218*D1218</x:f>
        <x:v>9087</x:v>
      </x:c>
      <x:c r="G1218" s="8" t="n">
        <x:f>C1218*E1218</x:f>
        <x:v>4178.72</x:v>
      </x:c>
      <x:c r="H1218" s="8" t="n">
        <x:f>F1218-G1218</x:f>
        <x:v>4908.28</x:v>
      </x:c>
      <x:c r="I1218" s="10" t="n">
        <x:f>H1218/F1218</x:f>
        <x:v>0.5401430615164521</x:v>
      </x:c>
    </x:row>
    <x:row r="1219" ht="22" customHeight="1">
      <x:c r="A1219" s="11" t="str">
        <x:v>2090</x:v>
      </x:c>
      <x:c r="B1219" s="8" t="str">
        <x:v>Contoso Water Heater 7.2GPM X1800 Blue</x:v>
      </x:c>
      <x:c r="C1219" s="8" t="n">
        <x:v>110</x:v>
      </x:c>
      <x:c r="D1219" s="9" t="n">
        <x:v>1475</x:v>
      </x:c>
      <x:c r="E1219" s="9" t="n">
        <x:v>488.7</x:v>
      </x:c>
      <x:c r="F1219" s="8" t="n">
        <x:f>C1219*D1219</x:f>
        <x:v>162250</x:v>
      </x:c>
      <x:c r="G1219" s="8" t="n">
        <x:f>C1219*E1219</x:f>
        <x:v>53757</x:v>
      </x:c>
      <x:c r="H1219" s="8" t="n">
        <x:f>F1219-G1219</x:f>
        <x:v>108493</x:v>
      </x:c>
      <x:c r="I1219" s="10" t="n">
        <x:f>H1219/F1219</x:f>
        <x:v>0.6686779661016949</x:v>
      </x:c>
    </x:row>
    <x:row r="1220" ht="22" customHeight="1">
      <x:c r="A1220" s="11" t="str">
        <x:v>2091</x:v>
      </x:c>
      <x:c r="B1220" s="8" t="str">
        <x:v>Contoso Water Heater 4.3GPM M1250 Blue</x:v>
      </x:c>
      <x:c r="C1220" s="8" t="n">
        <x:v>149</x:v>
      </x:c>
      <x:c r="D1220" s="9" t="n">
        <x:v>877.5</x:v>
      </x:c>
      <x:c r="E1220" s="9" t="n">
        <x:v>403.53</x:v>
      </x:c>
      <x:c r="F1220" s="8" t="n">
        <x:f>C1220*D1220</x:f>
        <x:v>130747.5</x:v>
      </x:c>
      <x:c r="G1220" s="8" t="n">
        <x:f>C1220*E1220</x:f>
        <x:v>60125.969999999994</x:v>
      </x:c>
      <x:c r="H1220" s="8" t="n">
        <x:f>F1220-G1220</x:f>
        <x:v>70621.53</x:v>
      </x:c>
      <x:c r="I1220" s="10" t="n">
        <x:f>H1220/F1220</x:f>
        <x:v>0.5401367521367522</x:v>
      </x:c>
    </x:row>
    <x:row r="1221" ht="22" customHeight="1">
      <x:c r="A1221" s="11" t="str">
        <x:v>2092</x:v>
      </x:c>
      <x:c r="B1221" s="8" t="str">
        <x:v>Contoso Water Heater 4.0GPM M1250 Blue</x:v>
      </x:c>
      <x:c r="C1221" s="8" t="n">
        <x:v>154</x:v>
      </x:c>
      <x:c r="D1221" s="9" t="n">
        <x:v>791</x:v>
      </x:c>
      <x:c r="E1221" s="9" t="n">
        <x:v>363.75</x:v>
      </x:c>
      <x:c r="F1221" s="8" t="n">
        <x:f>C1221*D1221</x:f>
        <x:v>121814</x:v>
      </x:c>
      <x:c r="G1221" s="8" t="n">
        <x:f>C1221*E1221</x:f>
        <x:v>56017.5</x:v>
      </x:c>
      <x:c r="H1221" s="8" t="n">
        <x:f>F1221-G1221</x:f>
        <x:v>65796.5</x:v>
      </x:c>
      <x:c r="I1221" s="10" t="n">
        <x:f>H1221/F1221</x:f>
        <x:v>0.5401390644753477</x:v>
      </x:c>
    </x:row>
    <x:row r="1222" ht="22" customHeight="1">
      <x:c r="A1222" s="11" t="str">
        <x:v>2093</x:v>
      </x:c>
      <x:c r="B1222" s="8" t="str">
        <x:v>Contoso Water Heater 2.6GPM E0900 Blue</x:v>
      </x:c>
      <x:c r="C1222" s="8" t="n">
        <x:v>186</x:v>
      </x:c>
      <x:c r="D1222" s="9" t="n">
        <x:v>508</x:v>
      </x:c>
      <x:c r="E1222" s="9" t="n">
        <x:v>258.99</x:v>
      </x:c>
      <x:c r="F1222" s="8" t="n">
        <x:f>C1222*D1222</x:f>
        <x:v>94488</x:v>
      </x:c>
      <x:c r="G1222" s="8" t="n">
        <x:f>C1222*E1222</x:f>
        <x:v>48172.14</x:v>
      </x:c>
      <x:c r="H1222" s="8" t="n">
        <x:f>F1222-G1222</x:f>
        <x:v>46315.86</x:v>
      </x:c>
      <x:c r="I1222" s="10" t="n">
        <x:f>H1222/F1222</x:f>
        <x:v>0.4901771653543307</x:v>
      </x:c>
    </x:row>
    <x:row r="1223" ht="22" customHeight="1">
      <x:c r="A1223" s="11" t="str">
        <x:v>2094</x:v>
      </x:c>
      <x:c r="B1223" s="8" t="str">
        <x:v>Contoso Water Heater 1.5GPM E0800 Blue</x:v>
      </x:c>
      <x:c r="C1223" s="8" t="n">
        <x:v>171</x:v>
      </x:c>
      <x:c r="D1223" s="9" t="n">
        <x:v>257.5</x:v>
      </x:c>
      <x:c r="E1223" s="9" t="n">
        <x:v>131.28</x:v>
      </x:c>
      <x:c r="F1223" s="8" t="n">
        <x:f>C1223*D1223</x:f>
        <x:v>44032.5</x:v>
      </x:c>
      <x:c r="G1223" s="8" t="n">
        <x:f>C1223*E1223</x:f>
        <x:v>22448.88</x:v>
      </x:c>
      <x:c r="H1223" s="8" t="n">
        <x:f>F1223-G1223</x:f>
        <x:v>21583.62</x:v>
      </x:c>
      <x:c r="I1223" s="10" t="n">
        <x:f>H1223/F1223</x:f>
        <x:v>0.49017475728155335</x:v>
      </x:c>
    </x:row>
    <x:row r="1224" ht="22" customHeight="1">
      <x:c r="A1224" s="11" t="str">
        <x:v>2095</x:v>
      </x:c>
      <x:c r="B1224" s="8" t="str">
        <x:v>Contoso Water Heater 7.2GPM X1800 Green</x:v>
      </x:c>
      <x:c r="C1224" s="8" t="n">
        <x:v>147</x:v>
      </x:c>
      <x:c r="D1224" s="9" t="n">
        <x:v>1475</x:v>
      </x:c>
      <x:c r="E1224" s="9" t="n">
        <x:v>488.7</x:v>
      </x:c>
      <x:c r="F1224" s="8" t="n">
        <x:f>C1224*D1224</x:f>
        <x:v>216825</x:v>
      </x:c>
      <x:c r="G1224" s="8" t="n">
        <x:f>C1224*E1224</x:f>
        <x:v>71838.9</x:v>
      </x:c>
      <x:c r="H1224" s="8" t="n">
        <x:f>F1224-G1224</x:f>
        <x:v>144986.1</x:v>
      </x:c>
      <x:c r="I1224" s="10" t="n">
        <x:f>H1224/F1224</x:f>
        <x:v>0.6686779661016949</x:v>
      </x:c>
    </x:row>
    <x:row r="1225" ht="22" customHeight="1">
      <x:c r="A1225" s="11" t="str">
        <x:v>2096</x:v>
      </x:c>
      <x:c r="B1225" s="8" t="str">
        <x:v>Contoso Water Heater 4.3GPM M1250 Green</x:v>
      </x:c>
      <x:c r="C1225" s="8" t="n">
        <x:v>186</x:v>
      </x:c>
      <x:c r="D1225" s="9" t="n">
        <x:v>877.5</x:v>
      </x:c>
      <x:c r="E1225" s="9" t="n">
        <x:v>403.53</x:v>
      </x:c>
      <x:c r="F1225" s="8" t="n">
        <x:f>C1225*D1225</x:f>
        <x:v>163215</x:v>
      </x:c>
      <x:c r="G1225" s="8" t="n">
        <x:f>C1225*E1225</x:f>
        <x:v>75056.58</x:v>
      </x:c>
      <x:c r="H1225" s="8" t="n">
        <x:f>F1225-G1225</x:f>
        <x:v>88158.42</x:v>
      </x:c>
      <x:c r="I1225" s="10" t="n">
        <x:f>H1225/F1225</x:f>
        <x:v>0.5401367521367522</x:v>
      </x:c>
    </x:row>
    <x:row r="1226" ht="22" customHeight="1">
      <x:c r="A1226" s="11" t="str">
        <x:v>2097</x:v>
      </x:c>
      <x:c r="B1226" s="8" t="str">
        <x:v>Contoso Water Heater 4.0GPM M1250 Green</x:v>
      </x:c>
      <x:c r="C1226" s="8" t="n">
        <x:v>135</x:v>
      </x:c>
      <x:c r="D1226" s="9" t="n">
        <x:v>791</x:v>
      </x:c>
      <x:c r="E1226" s="9" t="n">
        <x:v>363.75</x:v>
      </x:c>
      <x:c r="F1226" s="8" t="n">
        <x:f>C1226*D1226</x:f>
        <x:v>106785</x:v>
      </x:c>
      <x:c r="G1226" s="8" t="n">
        <x:f>C1226*E1226</x:f>
        <x:v>49106.25</x:v>
      </x:c>
      <x:c r="H1226" s="8" t="n">
        <x:f>F1226-G1226</x:f>
        <x:v>57678.75</x:v>
      </x:c>
      <x:c r="I1226" s="10" t="n">
        <x:f>H1226/F1226</x:f>
        <x:v>0.5401390644753477</x:v>
      </x:c>
    </x:row>
    <x:row r="1227" ht="22" customHeight="1">
      <x:c r="A1227" s="11" t="str">
        <x:v>2098</x:v>
      </x:c>
      <x:c r="B1227" s="8" t="str">
        <x:v>Contoso Water Heater 2.6GPM E0900 Green</x:v>
      </x:c>
      <x:c r="C1227" s="8" t="n">
        <x:v>140</x:v>
      </x:c>
      <x:c r="D1227" s="9" t="n">
        <x:v>508</x:v>
      </x:c>
      <x:c r="E1227" s="9" t="n">
        <x:v>258.99</x:v>
      </x:c>
      <x:c r="F1227" s="8" t="n">
        <x:f>C1227*D1227</x:f>
        <x:v>71120</x:v>
      </x:c>
      <x:c r="G1227" s="8" t="n">
        <x:f>C1227*E1227</x:f>
        <x:v>36258.6</x:v>
      </x:c>
      <x:c r="H1227" s="8" t="n">
        <x:f>F1227-G1227</x:f>
        <x:v>34861.4</x:v>
      </x:c>
      <x:c r="I1227" s="10" t="n">
        <x:f>H1227/F1227</x:f>
        <x:v>0.4901771653543307</x:v>
      </x:c>
    </x:row>
    <x:row r="1228" ht="22" customHeight="1">
      <x:c r="A1228" s="11" t="str">
        <x:v>2099</x:v>
      </x:c>
      <x:c r="B1228" s="8" t="str">
        <x:v>Contoso Water Heater 1.5GPM E0800 Green</x:v>
      </x:c>
      <x:c r="C1228" s="8" t="n">
        <x:v>132</x:v>
      </x:c>
      <x:c r="D1228" s="9" t="n">
        <x:v>257.5</x:v>
      </x:c>
      <x:c r="E1228" s="9" t="n">
        <x:v>131.28</x:v>
      </x:c>
      <x:c r="F1228" s="8" t="n">
        <x:f>C1228*D1228</x:f>
        <x:v>33990</x:v>
      </x:c>
      <x:c r="G1228" s="8" t="n">
        <x:f>C1228*E1228</x:f>
        <x:v>17328.96</x:v>
      </x:c>
      <x:c r="H1228" s="8" t="n">
        <x:f>F1228-G1228</x:f>
        <x:v>16661.04</x:v>
      </x:c>
      <x:c r="I1228" s="10" t="n">
        <x:f>H1228/F1228</x:f>
        <x:v>0.4901747572815534</x:v>
      </x:c>
    </x:row>
    <x:row r="1229" ht="22" customHeight="1">
      <x:c r="A1229" s="11" t="str">
        <x:v>21</x:v>
      </x:c>
      <x:c r="B1229" s="8" t="str">
        <x:v>Contoso 8GB MP3 Player new model M820 Blue</x:v>
      </x:c>
      <x:c r="C1229" s="8" t="n">
        <x:v>62</x:v>
      </x:c>
      <x:c r="D1229" s="9" t="n">
        <x:v>134</x:v>
      </x:c>
      <x:c r="E1229" s="9" t="n">
        <x:v>61.62</x:v>
      </x:c>
      <x:c r="F1229" s="8" t="n">
        <x:f>C1229*D1229</x:f>
        <x:v>8308</x:v>
      </x:c>
      <x:c r="G1229" s="8" t="n">
        <x:f>C1229*E1229</x:f>
        <x:v>3820.44</x:v>
      </x:c>
      <x:c r="H1229" s="8" t="n">
        <x:f>F1229-G1229</x:f>
        <x:v>4487.5599999999995</x:v>
      </x:c>
      <x:c r="I1229" s="10" t="n">
        <x:f>H1229/F1229</x:f>
        <x:v>0.5401492537313433</x:v>
      </x:c>
    </x:row>
    <x:row r="1230" ht="22" customHeight="1">
      <x:c r="A1230" s="11" t="str">
        <x:v>210</x:v>
      </x:c>
      <x:c r="B1230" s="8" t="str">
        <x:v>Litware Home Theater System 2.1 Channel E210 Silver</x:v>
      </x:c>
      <x:c r="C1230" s="8" t="n">
        <x:v>8</x:v>
      </x:c>
      <x:c r="D1230" s="9" t="n">
        <x:v>299</x:v>
      </x:c>
      <x:c r="E1230" s="9" t="n">
        <x:v>152.44</x:v>
      </x:c>
      <x:c r="F1230" s="8" t="n">
        <x:f>C1230*D1230</x:f>
        <x:v>2392</x:v>
      </x:c>
      <x:c r="G1230" s="8" t="n">
        <x:f>C1230*E1230</x:f>
        <x:v>1219.52</x:v>
      </x:c>
      <x:c r="H1230" s="8" t="n">
        <x:f>F1230-G1230</x:f>
        <x:v>1172.48</x:v>
      </x:c>
      <x:c r="I1230" s="10" t="n">
        <x:f>H1230/F1230</x:f>
        <x:v>0.4901672240802676</x:v>
      </x:c>
    </x:row>
    <x:row r="1231" ht="22" customHeight="1">
      <x:c r="A1231" s="11" t="str">
        <x:v>2100</x:v>
      </x:c>
      <x:c r="B1231" s="8" t="str">
        <x:v>Contoso Water Heater 7.2GPM X1800 Silver</x:v>
      </x:c>
      <x:c r="C1231" s="8" t="n">
        <x:v>157</x:v>
      </x:c>
      <x:c r="D1231" s="9" t="n">
        <x:v>1475</x:v>
      </x:c>
      <x:c r="E1231" s="9" t="n">
        <x:v>488.7</x:v>
      </x:c>
      <x:c r="F1231" s="8" t="n">
        <x:f>C1231*D1231</x:f>
        <x:v>231575</x:v>
      </x:c>
      <x:c r="G1231" s="8" t="n">
        <x:f>C1231*E1231</x:f>
        <x:v>76725.9</x:v>
      </x:c>
      <x:c r="H1231" s="8" t="n">
        <x:f>F1231-G1231</x:f>
        <x:v>154849.1</x:v>
      </x:c>
      <x:c r="I1231" s="10" t="n">
        <x:f>H1231/F1231</x:f>
        <x:v>0.6686779661016949</x:v>
      </x:c>
    </x:row>
    <x:row r="1232" ht="22" customHeight="1">
      <x:c r="A1232" s="11" t="str">
        <x:v>2101</x:v>
      </x:c>
      <x:c r="B1232" s="8" t="str">
        <x:v>Contoso Water Heater 4.3GPM M1250 Silver</x:v>
      </x:c>
      <x:c r="C1232" s="8" t="n">
        <x:v>127</x:v>
      </x:c>
      <x:c r="D1232" s="9" t="n">
        <x:v>877.5</x:v>
      </x:c>
      <x:c r="E1232" s="9" t="n">
        <x:v>403.53</x:v>
      </x:c>
      <x:c r="F1232" s="8" t="n">
        <x:f>C1232*D1232</x:f>
        <x:v>111442.5</x:v>
      </x:c>
      <x:c r="G1232" s="8" t="n">
        <x:f>C1232*E1232</x:f>
        <x:v>51248.31</x:v>
      </x:c>
      <x:c r="H1232" s="8" t="n">
        <x:f>F1232-G1232</x:f>
        <x:v>60194.19</x:v>
      </x:c>
      <x:c r="I1232" s="10" t="n">
        <x:f>H1232/F1232</x:f>
        <x:v>0.5401367521367522</x:v>
      </x:c>
    </x:row>
    <x:row r="1233" ht="22" customHeight="1">
      <x:c r="A1233" s="11" t="str">
        <x:v>2102</x:v>
      </x:c>
      <x:c r="B1233" s="8" t="str">
        <x:v>Contoso Water Heater 4.0GPM M1250 Silver</x:v>
      </x:c>
      <x:c r="C1233" s="8" t="n">
        <x:v>190</x:v>
      </x:c>
      <x:c r="D1233" s="9" t="n">
        <x:v>791</x:v>
      </x:c>
      <x:c r="E1233" s="9" t="n">
        <x:v>363.75</x:v>
      </x:c>
      <x:c r="F1233" s="8" t="n">
        <x:f>C1233*D1233</x:f>
        <x:v>150290</x:v>
      </x:c>
      <x:c r="G1233" s="8" t="n">
        <x:f>C1233*E1233</x:f>
        <x:v>69112.5</x:v>
      </x:c>
      <x:c r="H1233" s="8" t="n">
        <x:f>F1233-G1233</x:f>
        <x:v>81177.5</x:v>
      </x:c>
      <x:c r="I1233" s="10" t="n">
        <x:f>H1233/F1233</x:f>
        <x:v>0.5401390644753477</x:v>
      </x:c>
    </x:row>
    <x:row r="1234" ht="22" customHeight="1">
      <x:c r="A1234" s="11" t="str">
        <x:v>2103</x:v>
      </x:c>
      <x:c r="B1234" s="8" t="str">
        <x:v>Contoso Water Heater 2.6GPM E0900 Silver</x:v>
      </x:c>
      <x:c r="C1234" s="8" t="n">
        <x:v>195</x:v>
      </x:c>
      <x:c r="D1234" s="9" t="n">
        <x:v>508</x:v>
      </x:c>
      <x:c r="E1234" s="9" t="n">
        <x:v>258.99</x:v>
      </x:c>
      <x:c r="F1234" s="8" t="n">
        <x:f>C1234*D1234</x:f>
        <x:v>99060</x:v>
      </x:c>
      <x:c r="G1234" s="8" t="n">
        <x:f>C1234*E1234</x:f>
        <x:v>50503.05</x:v>
      </x:c>
      <x:c r="H1234" s="8" t="n">
        <x:f>F1234-G1234</x:f>
        <x:v>48556.95</x:v>
      </x:c>
      <x:c r="I1234" s="10" t="n">
        <x:f>H1234/F1234</x:f>
        <x:v>0.4901771653543307</x:v>
      </x:c>
    </x:row>
    <x:row r="1235" ht="22" customHeight="1">
      <x:c r="A1235" s="11" t="str">
        <x:v>2104</x:v>
      </x:c>
      <x:c r="B1235" s="8" t="str">
        <x:v>Contoso Water Heater 1.5GPM E0800 Silver</x:v>
      </x:c>
      <x:c r="C1235" s="8" t="n">
        <x:v>94</x:v>
      </x:c>
      <x:c r="D1235" s="9" t="n">
        <x:v>257.5</x:v>
      </x:c>
      <x:c r="E1235" s="9" t="n">
        <x:v>131.28</x:v>
      </x:c>
      <x:c r="F1235" s="8" t="n">
        <x:f>C1235*D1235</x:f>
        <x:v>24205</x:v>
      </x:c>
      <x:c r="G1235" s="8" t="n">
        <x:f>C1235*E1235</x:f>
        <x:v>12340.32</x:v>
      </x:c>
      <x:c r="H1235" s="8" t="n">
        <x:f>F1235-G1235</x:f>
        <x:v>11864.68</x:v>
      </x:c>
      <x:c r="I1235" s="10" t="n">
        <x:f>H1235/F1235</x:f>
        <x:v>0.4901747572815534</x:v>
      </x:c>
    </x:row>
    <x:row r="1236" ht="22" customHeight="1">
      <x:c r="A1236" s="11" t="str">
        <x:v>2105</x:v>
      </x:c>
      <x:c r="B1236" s="8" t="str">
        <x:v>Contoso Water Heater 7.2GPM X1800 Grey</x:v>
      </x:c>
      <x:c r="C1236" s="8" t="n">
        <x:v>138</x:v>
      </x:c>
      <x:c r="D1236" s="9" t="n">
        <x:v>1475</x:v>
      </x:c>
      <x:c r="E1236" s="9" t="n">
        <x:v>488.7</x:v>
      </x:c>
      <x:c r="F1236" s="8" t="n">
        <x:f>C1236*D1236</x:f>
        <x:v>203550</x:v>
      </x:c>
      <x:c r="G1236" s="8" t="n">
        <x:f>C1236*E1236</x:f>
        <x:v>67440.59999999999</x:v>
      </x:c>
      <x:c r="H1236" s="8" t="n">
        <x:f>F1236-G1236</x:f>
        <x:v>136109.40000000002</x:v>
      </x:c>
      <x:c r="I1236" s="10" t="n">
        <x:f>H1236/F1236</x:f>
        <x:v>0.668677966101695</x:v>
      </x:c>
    </x:row>
    <x:row r="1237" ht="22" customHeight="1">
      <x:c r="A1237" s="11" t="str">
        <x:v>2106</x:v>
      </x:c>
      <x:c r="B1237" s="8" t="str">
        <x:v>Contoso Water Heater 4.3GPM M1250 Grey</x:v>
      </x:c>
      <x:c r="C1237" s="8" t="n">
        <x:v>207</x:v>
      </x:c>
      <x:c r="D1237" s="9" t="n">
        <x:v>877.5</x:v>
      </x:c>
      <x:c r="E1237" s="9" t="n">
        <x:v>403.53</x:v>
      </x:c>
      <x:c r="F1237" s="8" t="n">
        <x:f>C1237*D1237</x:f>
        <x:v>181642.5</x:v>
      </x:c>
      <x:c r="G1237" s="8" t="n">
        <x:f>C1237*E1237</x:f>
        <x:v>83530.70999999999</x:v>
      </x:c>
      <x:c r="H1237" s="8" t="n">
        <x:f>F1237-G1237</x:f>
        <x:v>98111.79000000001</x:v>
      </x:c>
      <x:c r="I1237" s="10" t="n">
        <x:f>H1237/F1237</x:f>
        <x:v>0.5401367521367522</x:v>
      </x:c>
    </x:row>
    <x:row r="1238" ht="22" customHeight="1">
      <x:c r="A1238" s="11" t="str">
        <x:v>2107</x:v>
      </x:c>
      <x:c r="B1238" s="8" t="str">
        <x:v>Contoso Water Heater 4.0GPM M1250 Grey</x:v>
      </x:c>
      <x:c r="C1238" s="8" t="n">
        <x:v>130</x:v>
      </x:c>
      <x:c r="D1238" s="9" t="n">
        <x:v>791</x:v>
      </x:c>
      <x:c r="E1238" s="9" t="n">
        <x:v>363.75</x:v>
      </x:c>
      <x:c r="F1238" s="8" t="n">
        <x:f>C1238*D1238</x:f>
        <x:v>102830</x:v>
      </x:c>
      <x:c r="G1238" s="8" t="n">
        <x:f>C1238*E1238</x:f>
        <x:v>47287.5</x:v>
      </x:c>
      <x:c r="H1238" s="8" t="n">
        <x:f>F1238-G1238</x:f>
        <x:v>55542.5</x:v>
      </x:c>
      <x:c r="I1238" s="10" t="n">
        <x:f>H1238/F1238</x:f>
        <x:v>0.5401390644753477</x:v>
      </x:c>
    </x:row>
    <x:row r="1239" ht="22" customHeight="1">
      <x:c r="A1239" s="11" t="str">
        <x:v>2108</x:v>
      </x:c>
      <x:c r="B1239" s="8" t="str">
        <x:v>Contoso Water Heater 2.6GPM E0900 Grey</x:v>
      </x:c>
      <x:c r="C1239" s="8" t="n">
        <x:v>109</x:v>
      </x:c>
      <x:c r="D1239" s="9" t="n">
        <x:v>508</x:v>
      </x:c>
      <x:c r="E1239" s="9" t="n">
        <x:v>258.99</x:v>
      </x:c>
      <x:c r="F1239" s="8" t="n">
        <x:f>C1239*D1239</x:f>
        <x:v>55372</x:v>
      </x:c>
      <x:c r="G1239" s="8" t="n">
        <x:f>C1239*E1239</x:f>
        <x:v>28229.91</x:v>
      </x:c>
      <x:c r="H1239" s="8" t="n">
        <x:f>F1239-G1239</x:f>
        <x:v>27142.09</x:v>
      </x:c>
      <x:c r="I1239" s="10" t="n">
        <x:f>H1239/F1239</x:f>
        <x:v>0.4901771653543307</x:v>
      </x:c>
    </x:row>
    <x:row r="1240" ht="22" customHeight="1">
      <x:c r="A1240" s="11" t="str">
        <x:v>2109</x:v>
      </x:c>
      <x:c r="B1240" s="8" t="str">
        <x:v>Contoso Water Heater 1.5GPM E0800 Grey</x:v>
      </x:c>
      <x:c r="C1240" s="8" t="n">
        <x:v>159</x:v>
      </x:c>
      <x:c r="D1240" s="9" t="n">
        <x:v>257.5</x:v>
      </x:c>
      <x:c r="E1240" s="9" t="n">
        <x:v>131.28</x:v>
      </x:c>
      <x:c r="F1240" s="8" t="n">
        <x:f>C1240*D1240</x:f>
        <x:v>40942.5</x:v>
      </x:c>
      <x:c r="G1240" s="8" t="n">
        <x:f>C1240*E1240</x:f>
        <x:v>20873.52</x:v>
      </x:c>
      <x:c r="H1240" s="8" t="n">
        <x:f>F1240-G1240</x:f>
        <x:v>20068.98</x:v>
      </x:c>
      <x:c r="I1240" s="10" t="n">
        <x:f>H1240/F1240</x:f>
        <x:v>0.4901747572815534</x:v>
      </x:c>
    </x:row>
    <x:row r="1241" ht="22" customHeight="1">
      <x:c r="A1241" s="11" t="str">
        <x:v>211</x:v>
      </x:c>
      <x:c r="B1241" s="8" t="str">
        <x:v>Litware Home Theater System 5.1 Channel M510 Silver</x:v>
      </x:c>
      <x:c r="C1241" s="8" t="n">
        <x:v>21</x:v>
      </x:c>
      <x:c r="D1241" s="9" t="n">
        <x:v>639</x:v>
      </x:c>
      <x:c r="E1241" s="9" t="n">
        <x:v>293.85</x:v>
      </x:c>
      <x:c r="F1241" s="8" t="n">
        <x:f>C1241*D1241</x:f>
        <x:v>13419</x:v>
      </x:c>
      <x:c r="G1241" s="8" t="n">
        <x:f>C1241*E1241</x:f>
        <x:v>6170.85</x:v>
      </x:c>
      <x:c r="H1241" s="8" t="n">
        <x:f>F1241-G1241</x:f>
        <x:v>7248.15</x:v>
      </x:c>
      <x:c r="I1241" s="10" t="n">
        <x:f>H1241/F1241</x:f>
        <x:v>0.5401408450704225</x:v>
      </x:c>
    </x:row>
    <x:row r="1242" ht="22" customHeight="1">
      <x:c r="A1242" s="11" t="str">
        <x:v>2110</x:v>
      </x:c>
      <x:c r="B1242" s="8" t="str">
        <x:v>Contoso Water Heater 7.2GPM X1800 Red</x:v>
      </x:c>
      <x:c r="C1242" s="8" t="n">
        <x:v>135</x:v>
      </x:c>
      <x:c r="D1242" s="9" t="n">
        <x:v>1475</x:v>
      </x:c>
      <x:c r="E1242" s="9" t="n">
        <x:v>488.7</x:v>
      </x:c>
      <x:c r="F1242" s="8" t="n">
        <x:f>C1242*D1242</x:f>
        <x:v>199125</x:v>
      </x:c>
      <x:c r="G1242" s="8" t="n">
        <x:f>C1242*E1242</x:f>
        <x:v>65974.5</x:v>
      </x:c>
      <x:c r="H1242" s="8" t="n">
        <x:f>F1242-G1242</x:f>
        <x:v>133150.5</x:v>
      </x:c>
      <x:c r="I1242" s="10" t="n">
        <x:f>H1242/F1242</x:f>
        <x:v>0.6686779661016949</x:v>
      </x:c>
    </x:row>
    <x:row r="1243" ht="22" customHeight="1">
      <x:c r="A1243" s="11" t="str">
        <x:v>2111</x:v>
      </x:c>
      <x:c r="B1243" s="8" t="str">
        <x:v>Contoso Water Heater 4.3GPM M1250 Red</x:v>
      </x:c>
      <x:c r="C1243" s="8" t="n">
        <x:v>100</x:v>
      </x:c>
      <x:c r="D1243" s="9" t="n">
        <x:v>877.5</x:v>
      </x:c>
      <x:c r="E1243" s="9" t="n">
        <x:v>403.53</x:v>
      </x:c>
      <x:c r="F1243" s="8" t="n">
        <x:f>C1243*D1243</x:f>
        <x:v>87750</x:v>
      </x:c>
      <x:c r="G1243" s="8" t="n">
        <x:f>C1243*E1243</x:f>
        <x:v>40353</x:v>
      </x:c>
      <x:c r="H1243" s="8" t="n">
        <x:f>F1243-G1243</x:f>
        <x:v>47397</x:v>
      </x:c>
      <x:c r="I1243" s="10" t="n">
        <x:f>H1243/F1243</x:f>
        <x:v>0.5401367521367522</x:v>
      </x:c>
    </x:row>
    <x:row r="1244" ht="22" customHeight="1">
      <x:c r="A1244" s="11" t="str">
        <x:v>2112</x:v>
      </x:c>
      <x:c r="B1244" s="8" t="str">
        <x:v>Contoso Water Heater 4.0GPM M1250 Red</x:v>
      </x:c>
      <x:c r="C1244" s="8" t="n">
        <x:v>112</x:v>
      </x:c>
      <x:c r="D1244" s="9" t="n">
        <x:v>791</x:v>
      </x:c>
      <x:c r="E1244" s="9" t="n">
        <x:v>363.75</x:v>
      </x:c>
      <x:c r="F1244" s="8" t="n">
        <x:f>C1244*D1244</x:f>
        <x:v>88592</x:v>
      </x:c>
      <x:c r="G1244" s="8" t="n">
        <x:f>C1244*E1244</x:f>
        <x:v>40740</x:v>
      </x:c>
      <x:c r="H1244" s="8" t="n">
        <x:f>F1244-G1244</x:f>
        <x:v>47852</x:v>
      </x:c>
      <x:c r="I1244" s="10" t="n">
        <x:f>H1244/F1244</x:f>
        <x:v>0.5401390644753477</x:v>
      </x:c>
    </x:row>
    <x:row r="1245" ht="22" customHeight="1">
      <x:c r="A1245" s="11" t="str">
        <x:v>2113</x:v>
      </x:c>
      <x:c r="B1245" s="8" t="str">
        <x:v>Contoso Water Heater 2.6GPM E0900 Red</x:v>
      </x:c>
      <x:c r="C1245" s="8" t="n">
        <x:v>125</x:v>
      </x:c>
      <x:c r="D1245" s="9" t="n">
        <x:v>508</x:v>
      </x:c>
      <x:c r="E1245" s="9" t="n">
        <x:v>258.99</x:v>
      </x:c>
      <x:c r="F1245" s="8" t="n">
        <x:f>C1245*D1245</x:f>
        <x:v>63500</x:v>
      </x:c>
      <x:c r="G1245" s="8" t="n">
        <x:f>C1245*E1245</x:f>
        <x:v>32373.75</x:v>
      </x:c>
      <x:c r="H1245" s="8" t="n">
        <x:f>F1245-G1245</x:f>
        <x:v>31126.25</x:v>
      </x:c>
      <x:c r="I1245" s="10" t="n">
        <x:f>H1245/F1245</x:f>
        <x:v>0.4901771653543307</x:v>
      </x:c>
    </x:row>
    <x:row r="1246" ht="22" customHeight="1">
      <x:c r="A1246" s="11" t="str">
        <x:v>2114</x:v>
      </x:c>
      <x:c r="B1246" s="8" t="str">
        <x:v>Contoso Water Heater 1.5GPM E0800 Red</x:v>
      </x:c>
      <x:c r="C1246" s="8" t="n">
        <x:v>161</x:v>
      </x:c>
      <x:c r="D1246" s="9" t="n">
        <x:v>257.5</x:v>
      </x:c>
      <x:c r="E1246" s="9" t="n">
        <x:v>131.28</x:v>
      </x:c>
      <x:c r="F1246" s="8" t="n">
        <x:f>C1246*D1246</x:f>
        <x:v>41457.5</x:v>
      </x:c>
      <x:c r="G1246" s="8" t="n">
        <x:f>C1246*E1246</x:f>
        <x:v>21136.08</x:v>
      </x:c>
      <x:c r="H1246" s="8" t="n">
        <x:f>F1246-G1246</x:f>
        <x:v>20321.42</x:v>
      </x:c>
      <x:c r="I1246" s="10" t="n">
        <x:f>H1246/F1246</x:f>
        <x:v>0.49017475728155335</x:v>
      </x:c>
    </x:row>
    <x:row r="1247" ht="22" customHeight="1">
      <x:c r="A1247" s="11" t="str">
        <x:v>2115</x:v>
      </x:c>
      <x:c r="B1247" s="8" t="str">
        <x:v>Contoso Water Heater 4.3GPM M1250 Yellow</x:v>
      </x:c>
      <x:c r="C1247" s="8" t="n">
        <x:v>127</x:v>
      </x:c>
      <x:c r="D1247" s="9" t="n">
        <x:v>877.5</x:v>
      </x:c>
      <x:c r="E1247" s="9" t="n">
        <x:v>403.53</x:v>
      </x:c>
      <x:c r="F1247" s="8" t="n">
        <x:f>C1247*D1247</x:f>
        <x:v>111442.5</x:v>
      </x:c>
      <x:c r="G1247" s="8" t="n">
        <x:f>C1247*E1247</x:f>
        <x:v>51248.31</x:v>
      </x:c>
      <x:c r="H1247" s="8" t="n">
        <x:f>F1247-G1247</x:f>
        <x:v>60194.19</x:v>
      </x:c>
      <x:c r="I1247" s="10" t="n">
        <x:f>H1247/F1247</x:f>
        <x:v>0.5401367521367522</x:v>
      </x:c>
    </x:row>
    <x:row r="1248" ht="22" customHeight="1">
      <x:c r="A1248" s="11" t="str">
        <x:v>2116</x:v>
      </x:c>
      <x:c r="B1248" s="8" t="str">
        <x:v>Contoso Coffee Maker Super-Auto 12C X1250 Black</x:v>
      </x:c>
      <x:c r="C1248" s="8" t="n">
        <x:v>41</x:v>
      </x:c>
      <x:c r="D1248" s="9" t="n">
        <x:v>1650</x:v>
      </x:c>
      <x:c r="E1248" s="9" t="n">
        <x:v>546.68</x:v>
      </x:c>
      <x:c r="F1248" s="8" t="n">
        <x:f>C1248*D1248</x:f>
        <x:v>67650</x:v>
      </x:c>
      <x:c r="G1248" s="8" t="n">
        <x:f>C1248*E1248</x:f>
        <x:v>22413.879999999997</x:v>
      </x:c>
      <x:c r="H1248" s="8" t="n">
        <x:f>F1248-G1248</x:f>
        <x:v>45236.12</x:v>
      </x:c>
      <x:c r="I1248" s="10" t="n">
        <x:f>H1248/F1248</x:f>
        <x:v>0.6686787878787879</x:v>
      </x:c>
    </x:row>
    <x:row r="1249" ht="22" customHeight="1">
      <x:c r="A1249" s="11" t="str">
        <x:v>2117</x:v>
      </x:c>
      <x:c r="B1249" s="8" t="str">
        <x:v>Contoso Coffee Maker Auto 10C M1000 Black</x:v>
      </x:c>
      <x:c r="C1249" s="8" t="n">
        <x:v>20</x:v>
      </x:c>
      <x:c r="D1249" s="9" t="n">
        <x:v>745.99</x:v>
      </x:c>
      <x:c r="E1249" s="9" t="n">
        <x:v>343.05</x:v>
      </x:c>
      <x:c r="F1249" s="8" t="n">
        <x:f>C1249*D1249</x:f>
        <x:v>14919.8</x:v>
      </x:c>
      <x:c r="G1249" s="8" t="n">
        <x:f>C1249*E1249</x:f>
        <x:v>6861</x:v>
      </x:c>
      <x:c r="H1249" s="8" t="n">
        <x:f>F1249-G1249</x:f>
        <x:v>8058.799999999999</x:v>
      </x:c>
      <x:c r="I1249" s="10" t="n">
        <x:f>H1249/F1249</x:f>
        <x:v>0.5401412887572219</x:v>
      </x:c>
    </x:row>
    <x:row r="1250" ht="22" customHeight="1">
      <x:c r="A1250" s="11" t="str">
        <x:v>2118</x:v>
      </x:c>
      <x:c r="B1250" s="8" t="str">
        <x:v>Contoso Coffee Maker 12C M1000 Black</x:v>
      </x:c>
      <x:c r="C1250" s="8" t="n">
        <x:v>35</x:v>
      </x:c>
      <x:c r="D1250" s="9" t="n">
        <x:v>445</x:v>
      </x:c>
      <x:c r="E1250" s="9" t="n">
        <x:v>204.64</x:v>
      </x:c>
      <x:c r="F1250" s="8" t="n">
        <x:f>C1250*D1250</x:f>
        <x:v>15575</x:v>
      </x:c>
      <x:c r="G1250" s="8" t="n">
        <x:f>C1250*E1250</x:f>
        <x:v>7162.4</x:v>
      </x:c>
      <x:c r="H1250" s="8" t="n">
        <x:f>F1250-G1250</x:f>
        <x:v>8412.6</x:v>
      </x:c>
      <x:c r="I1250" s="10" t="n">
        <x:f>H1250/F1250</x:f>
        <x:v>0.5401348314606742</x:v>
      </x:c>
    </x:row>
    <x:row r="1251" ht="22" customHeight="1">
      <x:c r="A1251" s="11" t="str">
        <x:v>2119</x:v>
      </x:c>
      <x:c r="B1251" s="8" t="str">
        <x:v>Contoso Coffee Maker Auto 5C E0900 Black</x:v>
      </x:c>
      <x:c r="C1251" s="8" t="n">
        <x:v>20</x:v>
      </x:c>
      <x:c r="D1251" s="9" t="n">
        <x:v>163</x:v>
      </x:c>
      <x:c r="E1251" s="9" t="n">
        <x:v>83.1</x:v>
      </x:c>
      <x:c r="F1251" s="8" t="n">
        <x:f>C1251*D1251</x:f>
        <x:v>3260</x:v>
      </x:c>
      <x:c r="G1251" s="8" t="n">
        <x:f>C1251*E1251</x:f>
        <x:v>1662</x:v>
      </x:c>
      <x:c r="H1251" s="8" t="n">
        <x:f>F1251-G1251</x:f>
        <x:v>1598</x:v>
      </x:c>
      <x:c r="I1251" s="10" t="n">
        <x:f>H1251/F1251</x:f>
        <x:v>0.4901840490797546</x:v>
      </x:c>
    </x:row>
    <x:row r="1252" ht="22" customHeight="1">
      <x:c r="A1252" s="11" t="str">
        <x:v>212</x:v>
      </x:c>
      <x:c r="B1252" s="8" t="str">
        <x:v>Litware Home Theater System 2.1 Channel E211 Silver</x:v>
      </x:c>
      <x:c r="C1252" s="8" t="n">
        <x:v>16</x:v>
      </x:c>
      <x:c r="D1252" s="9" t="n">
        <x:v>269.9</x:v>
      </x:c>
      <x:c r="E1252" s="9" t="n">
        <x:v>137.6</x:v>
      </x:c>
      <x:c r="F1252" s="8" t="n">
        <x:f>C1252*D1252</x:f>
        <x:v>4318.4</x:v>
      </x:c>
      <x:c r="G1252" s="8" t="n">
        <x:f>C1252*E1252</x:f>
        <x:v>2201.6</x:v>
      </x:c>
      <x:c r="H1252" s="8" t="n">
        <x:f>F1252-G1252</x:f>
        <x:v>2116.7999999999997</x:v>
      </x:c>
      <x:c r="I1252" s="10" t="n">
        <x:f>H1252/F1252</x:f>
        <x:v>0.4901815487217488</x:v>
      </x:c>
    </x:row>
    <x:row r="1253" ht="22" customHeight="1">
      <x:c r="A1253" s="11" t="str">
        <x:v>2120</x:v>
      </x:c>
      <x:c r="B1253" s="8" t="str">
        <x:v>Contoso Coffee Maker 5C E0900 Black</x:v>
      </x:c>
      <x:c r="C1253" s="8" t="n">
        <x:v>9</x:v>
      </x:c>
      <x:c r="D1253" s="9" t="n">
        <x:v>149</x:v>
      </x:c>
      <x:c r="E1253" s="9" t="n">
        <x:v>75.96</x:v>
      </x:c>
      <x:c r="F1253" s="8" t="n">
        <x:f>C1253*D1253</x:f>
        <x:v>1341</x:v>
      </x:c>
      <x:c r="G1253" s="8" t="n">
        <x:f>C1253*E1253</x:f>
        <x:v>683.64</x:v>
      </x:c>
      <x:c r="H1253" s="8" t="n">
        <x:f>F1253-G1253</x:f>
        <x:v>657.36</x:v>
      </x:c>
      <x:c r="I1253" s="10" t="n">
        <x:f>H1253/F1253</x:f>
        <x:v>0.4902013422818792</x:v>
      </x:c>
    </x:row>
    <x:row r="1254" ht="22" customHeight="1">
      <x:c r="A1254" s="11" t="str">
        <x:v>2121</x:v>
      </x:c>
      <x:c r="B1254" s="8" t="str">
        <x:v>Contoso Coffee Maker 4C E0800 Black</x:v>
      </x:c>
      <x:c r="C1254" s="8" t="n">
        <x:v>46</x:v>
      </x:c>
      <x:c r="D1254" s="9" t="n">
        <x:v>129.9</x:v>
      </x:c>
      <x:c r="E1254" s="9" t="n">
        <x:v>66.23</x:v>
      </x:c>
      <x:c r="F1254" s="8" t="n">
        <x:f>C1254*D1254</x:f>
        <x:v>5975.400000000001</x:v>
      </x:c>
      <x:c r="G1254" s="8" t="n">
        <x:f>C1254*E1254</x:f>
        <x:v>3046.5800000000004</x:v>
      </x:c>
      <x:c r="H1254" s="8" t="n">
        <x:f>F1254-G1254</x:f>
        <x:v>2928.82</x:v>
      </x:c>
      <x:c r="I1254" s="10" t="n">
        <x:f>H1254/F1254</x:f>
        <x:v>0.4901462663587375</x:v>
      </x:c>
    </x:row>
    <x:row r="1255" ht="22" customHeight="1">
      <x:c r="A1255" s="11" t="str">
        <x:v>2122</x:v>
      </x:c>
      <x:c r="B1255" s="8" t="str">
        <x:v>Contoso Coffee Maker Super-Auto 12C X1250 Silver</x:v>
      </x:c>
      <x:c r="C1255" s="8" t="n">
        <x:v>25</x:v>
      </x:c>
      <x:c r="D1255" s="9" t="n">
        <x:v>1650</x:v>
      </x:c>
      <x:c r="E1255" s="9" t="n">
        <x:v>546.68</x:v>
      </x:c>
      <x:c r="F1255" s="8" t="n">
        <x:f>C1255*D1255</x:f>
        <x:v>41250</x:v>
      </x:c>
      <x:c r="G1255" s="8" t="n">
        <x:f>C1255*E1255</x:f>
        <x:v>13666.999999999998</x:v>
      </x:c>
      <x:c r="H1255" s="8" t="n">
        <x:f>F1255-G1255</x:f>
        <x:v>27583</x:v>
      </x:c>
      <x:c r="I1255" s="10" t="n">
        <x:f>H1255/F1255</x:f>
        <x:v>0.6686787878787879</x:v>
      </x:c>
    </x:row>
    <x:row r="1256" ht="22" customHeight="1">
      <x:c r="A1256" s="11" t="str">
        <x:v>2123</x:v>
      </x:c>
      <x:c r="B1256" s="8" t="str">
        <x:v>Contoso Coffee Maker Auto 10C M1000 Silver</x:v>
      </x:c>
      <x:c r="C1256" s="8" t="n">
        <x:v>42</x:v>
      </x:c>
      <x:c r="D1256" s="9" t="n">
        <x:v>745.99</x:v>
      </x:c>
      <x:c r="E1256" s="9" t="n">
        <x:v>343.05</x:v>
      </x:c>
      <x:c r="F1256" s="8" t="n">
        <x:f>C1256*D1256</x:f>
        <x:v>31331.58</x:v>
      </x:c>
      <x:c r="G1256" s="8" t="n">
        <x:f>C1256*E1256</x:f>
        <x:v>14408.1</x:v>
      </x:c>
      <x:c r="H1256" s="8" t="n">
        <x:f>F1256-G1256</x:f>
        <x:v>16923.480000000003</x:v>
      </x:c>
      <x:c r="I1256" s="10" t="n">
        <x:f>H1256/F1256</x:f>
        <x:v>0.540141288757222</x:v>
      </x:c>
    </x:row>
    <x:row r="1257" ht="22" customHeight="1">
      <x:c r="A1257" s="11" t="str">
        <x:v>2124</x:v>
      </x:c>
      <x:c r="B1257" s="8" t="str">
        <x:v>Contoso Coffee Maker 12C M1000 Silver</x:v>
      </x:c>
      <x:c r="C1257" s="8" t="n">
        <x:v>39</x:v>
      </x:c>
      <x:c r="D1257" s="9" t="n">
        <x:v>445</x:v>
      </x:c>
      <x:c r="E1257" s="9" t="n">
        <x:v>204.64</x:v>
      </x:c>
      <x:c r="F1257" s="8" t="n">
        <x:f>C1257*D1257</x:f>
        <x:v>17355</x:v>
      </x:c>
      <x:c r="G1257" s="8" t="n">
        <x:f>C1257*E1257</x:f>
        <x:v>7980.959999999999</x:v>
      </x:c>
      <x:c r="H1257" s="8" t="n">
        <x:f>F1257-G1257</x:f>
        <x:v>9374.04</x:v>
      </x:c>
      <x:c r="I1257" s="10" t="n">
        <x:f>H1257/F1257</x:f>
        <x:v>0.5401348314606742</x:v>
      </x:c>
    </x:row>
    <x:row r="1258" ht="22" customHeight="1">
      <x:c r="A1258" s="11" t="str">
        <x:v>2125</x:v>
      </x:c>
      <x:c r="B1258" s="8" t="str">
        <x:v>Contoso Coffee Maker Auto 5C E0900 Silver</x:v>
      </x:c>
      <x:c r="C1258" s="8" t="n">
        <x:v>20</x:v>
      </x:c>
      <x:c r="D1258" s="9" t="n">
        <x:v>163</x:v>
      </x:c>
      <x:c r="E1258" s="9" t="n">
        <x:v>83.1</x:v>
      </x:c>
      <x:c r="F1258" s="8" t="n">
        <x:f>C1258*D1258</x:f>
        <x:v>3260</x:v>
      </x:c>
      <x:c r="G1258" s="8" t="n">
        <x:f>C1258*E1258</x:f>
        <x:v>1662</x:v>
      </x:c>
      <x:c r="H1258" s="8" t="n">
        <x:f>F1258-G1258</x:f>
        <x:v>1598</x:v>
      </x:c>
      <x:c r="I1258" s="10" t="n">
        <x:f>H1258/F1258</x:f>
        <x:v>0.4901840490797546</x:v>
      </x:c>
    </x:row>
    <x:row r="1259" ht="22" customHeight="1">
      <x:c r="A1259" s="11" t="str">
        <x:v>2126</x:v>
      </x:c>
      <x:c r="B1259" s="8" t="str">
        <x:v>Contoso Coffee Maker 5C E0900 Silver</x:v>
      </x:c>
      <x:c r="C1259" s="8" t="n">
        <x:v>42</x:v>
      </x:c>
      <x:c r="D1259" s="9" t="n">
        <x:v>149</x:v>
      </x:c>
      <x:c r="E1259" s="9" t="n">
        <x:v>75.96</x:v>
      </x:c>
      <x:c r="F1259" s="8" t="n">
        <x:f>C1259*D1259</x:f>
        <x:v>6258</x:v>
      </x:c>
      <x:c r="G1259" s="8" t="n">
        <x:f>C1259*E1259</x:f>
        <x:v>3190.3199999999997</x:v>
      </x:c>
      <x:c r="H1259" s="8" t="n">
        <x:f>F1259-G1259</x:f>
        <x:v>3067.6800000000003</x:v>
      </x:c>
      <x:c r="I1259" s="10" t="n">
        <x:f>H1259/F1259</x:f>
        <x:v>0.4902013422818792</x:v>
      </x:c>
    </x:row>
    <x:row r="1260" ht="22" customHeight="1">
      <x:c r="A1260" s="11" t="str">
        <x:v>2127</x:v>
      </x:c>
      <x:c r="B1260" s="8" t="str">
        <x:v>Contoso Coffee Maker 4C E0800 Silver</x:v>
      </x:c>
      <x:c r="C1260" s="8" t="n">
        <x:v>35</x:v>
      </x:c>
      <x:c r="D1260" s="9" t="n">
        <x:v>129.9</x:v>
      </x:c>
      <x:c r="E1260" s="9" t="n">
        <x:v>66.23</x:v>
      </x:c>
      <x:c r="F1260" s="8" t="n">
        <x:f>C1260*D1260</x:f>
        <x:v>4546.5</x:v>
      </x:c>
      <x:c r="G1260" s="8" t="n">
        <x:f>C1260*E1260</x:f>
        <x:v>2318.05</x:v>
      </x:c>
      <x:c r="H1260" s="8" t="n">
        <x:f>F1260-G1260</x:f>
        <x:v>2228.45</x:v>
      </x:c>
      <x:c r="I1260" s="10" t="n">
        <x:f>H1260/F1260</x:f>
        <x:v>0.4901462663587374</x:v>
      </x:c>
    </x:row>
    <x:row r="1261" ht="22" customHeight="1">
      <x:c r="A1261" s="11" t="str">
        <x:v>2128</x:v>
      </x:c>
      <x:c r="B1261" s="8" t="str">
        <x:v>Contoso Coffee Maker Super-Auto 12C X1250 White</x:v>
      </x:c>
      <x:c r="C1261" s="8" t="n">
        <x:v>41</x:v>
      </x:c>
      <x:c r="D1261" s="9" t="n">
        <x:v>1650</x:v>
      </x:c>
      <x:c r="E1261" s="9" t="n">
        <x:v>546.68</x:v>
      </x:c>
      <x:c r="F1261" s="8" t="n">
        <x:f>C1261*D1261</x:f>
        <x:v>67650</x:v>
      </x:c>
      <x:c r="G1261" s="8" t="n">
        <x:f>C1261*E1261</x:f>
        <x:v>22413.879999999997</x:v>
      </x:c>
      <x:c r="H1261" s="8" t="n">
        <x:f>F1261-G1261</x:f>
        <x:v>45236.12</x:v>
      </x:c>
      <x:c r="I1261" s="10" t="n">
        <x:f>H1261/F1261</x:f>
        <x:v>0.6686787878787879</x:v>
      </x:c>
    </x:row>
    <x:row r="1262" ht="22" customHeight="1">
      <x:c r="A1262" s="11" t="str">
        <x:v>2129</x:v>
      </x:c>
      <x:c r="B1262" s="8" t="str">
        <x:v>Contoso Coffee Maker Auto 10C M1000 White</x:v>
      </x:c>
      <x:c r="C1262" s="8" t="n">
        <x:v>52</x:v>
      </x:c>
      <x:c r="D1262" s="9" t="n">
        <x:v>745.99</x:v>
      </x:c>
      <x:c r="E1262" s="9" t="n">
        <x:v>343.05</x:v>
      </x:c>
      <x:c r="F1262" s="8" t="n">
        <x:f>C1262*D1262</x:f>
        <x:v>38791.48</x:v>
      </x:c>
      <x:c r="G1262" s="8" t="n">
        <x:f>C1262*E1262</x:f>
        <x:v>17838.600000000002</x:v>
      </x:c>
      <x:c r="H1262" s="8" t="n">
        <x:f>F1262-G1262</x:f>
        <x:v>20952.88</x:v>
      </x:c>
      <x:c r="I1262" s="10" t="n">
        <x:f>H1262/F1262</x:f>
        <x:v>0.5401412887572219</x:v>
      </x:c>
    </x:row>
    <x:row r="1263" ht="22" customHeight="1">
      <x:c r="A1263" s="11" t="str">
        <x:v>213</x:v>
      </x:c>
      <x:c r="B1263" s="8" t="str">
        <x:v>Litware Home Theater System 2.1 Channel E212 Silver</x:v>
      </x:c>
      <x:c r="C1263" s="8" t="n">
        <x:v>4</x:v>
      </x:c>
      <x:c r="D1263" s="9" t="n">
        <x:v>299.9</x:v>
      </x:c>
      <x:c r="E1263" s="9" t="n">
        <x:v>152.9</x:v>
      </x:c>
      <x:c r="F1263" s="8" t="n">
        <x:f>C1263*D1263</x:f>
        <x:v>1199.6</x:v>
      </x:c>
      <x:c r="G1263" s="8" t="n">
        <x:f>C1263*E1263</x:f>
        <x:v>611.6</x:v>
      </x:c>
      <x:c r="H1263" s="8" t="n">
        <x:f>F1263-G1263</x:f>
        <x:v>587.9999999999999</x:v>
      </x:c>
      <x:c r="I1263" s="10" t="n">
        <x:f>H1263/F1263</x:f>
        <x:v>0.49016338779593194</x:v>
      </x:c>
    </x:row>
    <x:row r="1264" ht="22" customHeight="1">
      <x:c r="A1264" s="11" t="str">
        <x:v>2130</x:v>
      </x:c>
      <x:c r="B1264" s="8" t="str">
        <x:v>Contoso Coffee Maker 12C M1000 White</x:v>
      </x:c>
      <x:c r="C1264" s="8" t="n">
        <x:v>32</x:v>
      </x:c>
      <x:c r="D1264" s="9" t="n">
        <x:v>445</x:v>
      </x:c>
      <x:c r="E1264" s="9" t="n">
        <x:v>204.64</x:v>
      </x:c>
      <x:c r="F1264" s="8" t="n">
        <x:f>C1264*D1264</x:f>
        <x:v>14240</x:v>
      </x:c>
      <x:c r="G1264" s="8" t="n">
        <x:f>C1264*E1264</x:f>
        <x:v>6548.48</x:v>
      </x:c>
      <x:c r="H1264" s="8" t="n">
        <x:f>F1264-G1264</x:f>
        <x:v>7691.52</x:v>
      </x:c>
      <x:c r="I1264" s="10" t="n">
        <x:f>H1264/F1264</x:f>
        <x:v>0.5401348314606742</x:v>
      </x:c>
    </x:row>
    <x:row r="1265" ht="22" customHeight="1">
      <x:c r="A1265" s="11" t="str">
        <x:v>2131</x:v>
      </x:c>
      <x:c r="B1265" s="8" t="str">
        <x:v>Contoso Coffee Maker Auto 5C E0900 White</x:v>
      </x:c>
      <x:c r="C1265" s="8" t="n">
        <x:v>36</x:v>
      </x:c>
      <x:c r="D1265" s="9" t="n">
        <x:v>163</x:v>
      </x:c>
      <x:c r="E1265" s="9" t="n">
        <x:v>83.1</x:v>
      </x:c>
      <x:c r="F1265" s="8" t="n">
        <x:f>C1265*D1265</x:f>
        <x:v>5868</x:v>
      </x:c>
      <x:c r="G1265" s="8" t="n">
        <x:f>C1265*E1265</x:f>
        <x:v>2991.6</x:v>
      </x:c>
      <x:c r="H1265" s="8" t="n">
        <x:f>F1265-G1265</x:f>
        <x:v>2876.4</x:v>
      </x:c>
      <x:c r="I1265" s="10" t="n">
        <x:f>H1265/F1265</x:f>
        <x:v>0.4901840490797546</x:v>
      </x:c>
    </x:row>
    <x:row r="1266" ht="22" customHeight="1">
      <x:c r="A1266" s="11" t="str">
        <x:v>2132</x:v>
      </x:c>
      <x:c r="B1266" s="8" t="str">
        <x:v>Contoso Coffee Maker 5C E0900 White</x:v>
      </x:c>
      <x:c r="C1266" s="8" t="n">
        <x:v>47</x:v>
      </x:c>
      <x:c r="D1266" s="9" t="n">
        <x:v>149</x:v>
      </x:c>
      <x:c r="E1266" s="9" t="n">
        <x:v>75.96</x:v>
      </x:c>
      <x:c r="F1266" s="8" t="n">
        <x:f>C1266*D1266</x:f>
        <x:v>7003</x:v>
      </x:c>
      <x:c r="G1266" s="8" t="n">
        <x:f>C1266*E1266</x:f>
        <x:v>3570.12</x:v>
      </x:c>
      <x:c r="H1266" s="8" t="n">
        <x:f>F1266-G1266</x:f>
        <x:v>3432.88</x:v>
      </x:c>
      <x:c r="I1266" s="10" t="n">
        <x:f>H1266/F1266</x:f>
        <x:v>0.4902013422818792</x:v>
      </x:c>
    </x:row>
    <x:row r="1267" ht="22" customHeight="1">
      <x:c r="A1267" s="11" t="str">
        <x:v>2133</x:v>
      </x:c>
      <x:c r="B1267" s="8" t="str">
        <x:v>Contoso Coffee Maker 4C E0800 White</x:v>
      </x:c>
      <x:c r="C1267" s="8" t="n">
        <x:v>30</x:v>
      </x:c>
      <x:c r="D1267" s="9" t="n">
        <x:v>129.9</x:v>
      </x:c>
      <x:c r="E1267" s="9" t="n">
        <x:v>66.23</x:v>
      </x:c>
      <x:c r="F1267" s="8" t="n">
        <x:f>C1267*D1267</x:f>
        <x:v>3897</x:v>
      </x:c>
      <x:c r="G1267" s="8" t="n">
        <x:f>C1267*E1267</x:f>
        <x:v>1986.9</x:v>
      </x:c>
      <x:c r="H1267" s="8" t="n">
        <x:f>F1267-G1267</x:f>
        <x:v>1910.1</x:v>
      </x:c>
      <x:c r="I1267" s="10" t="n">
        <x:f>H1267/F1267</x:f>
        <x:v>0.4901462663587375</x:v>
      </x:c>
    </x:row>
    <x:row r="1268" ht="22" customHeight="1">
      <x:c r="A1268" s="11" t="str">
        <x:v>2134</x:v>
      </x:c>
      <x:c r="B1268" s="8" t="str">
        <x:v>Contoso Coffee Maker Super-Auto 12C X1250 Grey</x:v>
      </x:c>
      <x:c r="C1268" s="8" t="n">
        <x:v>18</x:v>
      </x:c>
      <x:c r="D1268" s="9" t="n">
        <x:v>1650</x:v>
      </x:c>
      <x:c r="E1268" s="9" t="n">
        <x:v>546.68</x:v>
      </x:c>
      <x:c r="F1268" s="8" t="n">
        <x:f>C1268*D1268</x:f>
        <x:v>29700</x:v>
      </x:c>
      <x:c r="G1268" s="8" t="n">
        <x:f>C1268*E1268</x:f>
        <x:v>9840.24</x:v>
      </x:c>
      <x:c r="H1268" s="8" t="n">
        <x:f>F1268-G1268</x:f>
        <x:v>19859.760000000002</x:v>
      </x:c>
      <x:c r="I1268" s="10" t="n">
        <x:f>H1268/F1268</x:f>
        <x:v>0.668678787878788</x:v>
      </x:c>
    </x:row>
    <x:row r="1269" ht="22" customHeight="1">
      <x:c r="A1269" s="11" t="str">
        <x:v>2135</x:v>
      </x:c>
      <x:c r="B1269" s="8" t="str">
        <x:v>Contoso Coffee Maker Auto 10C M1000 Grey</x:v>
      </x:c>
      <x:c r="C1269" s="8" t="n">
        <x:v>19</x:v>
      </x:c>
      <x:c r="D1269" s="9" t="n">
        <x:v>745.99</x:v>
      </x:c>
      <x:c r="E1269" s="9" t="n">
        <x:v>343.05</x:v>
      </x:c>
      <x:c r="F1269" s="8" t="n">
        <x:f>C1269*D1269</x:f>
        <x:v>14173.81</x:v>
      </x:c>
      <x:c r="G1269" s="8" t="n">
        <x:f>C1269*E1269</x:f>
        <x:v>6517.95</x:v>
      </x:c>
      <x:c r="H1269" s="8" t="n">
        <x:f>F1269-G1269</x:f>
        <x:v>7655.86</x:v>
      </x:c>
      <x:c r="I1269" s="10" t="n">
        <x:f>H1269/F1269</x:f>
        <x:v>0.5401412887572219</x:v>
      </x:c>
    </x:row>
    <x:row r="1270" ht="22" customHeight="1">
      <x:c r="A1270" s="11" t="str">
        <x:v>2136</x:v>
      </x:c>
      <x:c r="B1270" s="8" t="str">
        <x:v>Contoso Coffee Maker 12C M1000 Grey</x:v>
      </x:c>
      <x:c r="C1270" s="8" t="n">
        <x:v>43</x:v>
      </x:c>
      <x:c r="D1270" s="9" t="n">
        <x:v>445</x:v>
      </x:c>
      <x:c r="E1270" s="9" t="n">
        <x:v>204.64</x:v>
      </x:c>
      <x:c r="F1270" s="8" t="n">
        <x:f>C1270*D1270</x:f>
        <x:v>19135</x:v>
      </x:c>
      <x:c r="G1270" s="8" t="n">
        <x:f>C1270*E1270</x:f>
        <x:v>8799.519999999999</x:v>
      </x:c>
      <x:c r="H1270" s="8" t="n">
        <x:f>F1270-G1270</x:f>
        <x:v>10335.480000000001</x:v>
      </x:c>
      <x:c r="I1270" s="10" t="n">
        <x:f>H1270/F1270</x:f>
        <x:v>0.5401348314606742</x:v>
      </x:c>
    </x:row>
    <x:row r="1271" ht="22" customHeight="1">
      <x:c r="A1271" s="11" t="str">
        <x:v>2137</x:v>
      </x:c>
      <x:c r="B1271" s="8" t="str">
        <x:v>Contoso Coffee Maker Auto 5C E0900 Grey</x:v>
      </x:c>
      <x:c r="C1271" s="8" t="n">
        <x:v>42</x:v>
      </x:c>
      <x:c r="D1271" s="9" t="n">
        <x:v>163</x:v>
      </x:c>
      <x:c r="E1271" s="9" t="n">
        <x:v>83.1</x:v>
      </x:c>
      <x:c r="F1271" s="8" t="n">
        <x:f>C1271*D1271</x:f>
        <x:v>6846</x:v>
      </x:c>
      <x:c r="G1271" s="8" t="n">
        <x:f>C1271*E1271</x:f>
        <x:v>3490.2</x:v>
      </x:c>
      <x:c r="H1271" s="8" t="n">
        <x:f>F1271-G1271</x:f>
        <x:v>3355.8</x:v>
      </x:c>
      <x:c r="I1271" s="10" t="n">
        <x:f>H1271/F1271</x:f>
        <x:v>0.4901840490797546</x:v>
      </x:c>
    </x:row>
    <x:row r="1272" ht="22" customHeight="1">
      <x:c r="A1272" s="11" t="str">
        <x:v>2138</x:v>
      </x:c>
      <x:c r="B1272" s="8" t="str">
        <x:v>Contoso Coffee Maker 5C E0900 Grey</x:v>
      </x:c>
      <x:c r="C1272" s="8" t="n">
        <x:v>19</x:v>
      </x:c>
      <x:c r="D1272" s="9" t="n">
        <x:v>149</x:v>
      </x:c>
      <x:c r="E1272" s="9" t="n">
        <x:v>75.96</x:v>
      </x:c>
      <x:c r="F1272" s="8" t="n">
        <x:f>C1272*D1272</x:f>
        <x:v>2831</x:v>
      </x:c>
      <x:c r="G1272" s="8" t="n">
        <x:f>C1272*E1272</x:f>
        <x:v>1443.2399999999998</x:v>
      </x:c>
      <x:c r="H1272" s="8" t="n">
        <x:f>F1272-G1272</x:f>
        <x:v>1387.7600000000002</x:v>
      </x:c>
      <x:c r="I1272" s="10" t="n">
        <x:f>H1272/F1272</x:f>
        <x:v>0.4902013422818793</x:v>
      </x:c>
    </x:row>
    <x:row r="1273" ht="22" customHeight="1">
      <x:c r="A1273" s="11" t="str">
        <x:v>2139</x:v>
      </x:c>
      <x:c r="B1273" s="8" t="str">
        <x:v>Contoso Coffee Maker 4C E0800 Grey</x:v>
      </x:c>
      <x:c r="C1273" s="8" t="n">
        <x:v>30</x:v>
      </x:c>
      <x:c r="D1273" s="9" t="n">
        <x:v>129.9</x:v>
      </x:c>
      <x:c r="E1273" s="9" t="n">
        <x:v>66.23</x:v>
      </x:c>
      <x:c r="F1273" s="8" t="n">
        <x:f>C1273*D1273</x:f>
        <x:v>3897</x:v>
      </x:c>
      <x:c r="G1273" s="8" t="n">
        <x:f>C1273*E1273</x:f>
        <x:v>1986.9</x:v>
      </x:c>
      <x:c r="H1273" s="8" t="n">
        <x:f>F1273-G1273</x:f>
        <x:v>1910.1</x:v>
      </x:c>
      <x:c r="I1273" s="10" t="n">
        <x:f>H1273/F1273</x:f>
        <x:v>0.4901462663587375</x:v>
      </x:c>
    </x:row>
    <x:row r="1274" ht="22" customHeight="1">
      <x:c r="A1274" s="11" t="str">
        <x:v>214</x:v>
      </x:c>
      <x:c r="B1274" s="8" t="str">
        <x:v>Litware Home Theater System 4.1 Channel M411 Silver</x:v>
      </x:c>
      <x:c r="C1274" s="8" t="n">
        <x:v>7</x:v>
      </x:c>
      <x:c r="D1274" s="9" t="n">
        <x:v>599</x:v>
      </x:c>
      <x:c r="E1274" s="9" t="n">
        <x:v>275.46</x:v>
      </x:c>
      <x:c r="F1274" s="8" t="n">
        <x:f>C1274*D1274</x:f>
        <x:v>4193</x:v>
      </x:c>
      <x:c r="G1274" s="8" t="n">
        <x:f>C1274*E1274</x:f>
        <x:v>1928.2199999999998</x:v>
      </x:c>
      <x:c r="H1274" s="8" t="n">
        <x:f>F1274-G1274</x:f>
        <x:v>2264.78</x:v>
      </x:c>
      <x:c r="I1274" s="10" t="n">
        <x:f>H1274/F1274</x:f>
        <x:v>0.5401335559265443</x:v>
      </x:c>
    </x:row>
    <x:row r="1275" ht="22" customHeight="1">
      <x:c r="A1275" s="11" t="str">
        <x:v>2140</x:v>
      </x:c>
      <x:c r="B1275" s="8" t="str">
        <x:v>Adventure Works Coffee Maker Super-Auto 12C X125 Black</x:v>
      </x:c>
      <x:c r="C1275" s="8" t="n">
        <x:v>18</x:v>
      </x:c>
      <x:c r="D1275" s="9" t="n">
        <x:v>1650</x:v>
      </x:c>
      <x:c r="E1275" s="9" t="n">
        <x:v>546.68</x:v>
      </x:c>
      <x:c r="F1275" s="8" t="n">
        <x:f>C1275*D1275</x:f>
        <x:v>29700</x:v>
      </x:c>
      <x:c r="G1275" s="8" t="n">
        <x:f>C1275*E1275</x:f>
        <x:v>9840.24</x:v>
      </x:c>
      <x:c r="H1275" s="8" t="n">
        <x:f>F1275-G1275</x:f>
        <x:v>19859.760000000002</x:v>
      </x:c>
      <x:c r="I1275" s="10" t="n">
        <x:f>H1275/F1275</x:f>
        <x:v>0.668678787878788</x:v>
      </x:c>
    </x:row>
    <x:row r="1276" ht="22" customHeight="1">
      <x:c r="A1276" s="11" t="str">
        <x:v>2141</x:v>
      </x:c>
      <x:c r="B1276" s="8" t="str">
        <x:v>Adventure Works Coffee Maker Auto 10C M100 Black</x:v>
      </x:c>
      <x:c r="C1276" s="8" t="n">
        <x:v>25</x:v>
      </x:c>
      <x:c r="D1276" s="9" t="n">
        <x:v>745.99</x:v>
      </x:c>
      <x:c r="E1276" s="9" t="n">
        <x:v>343.05</x:v>
      </x:c>
      <x:c r="F1276" s="8" t="n">
        <x:f>C1276*D1276</x:f>
        <x:v>18649.75</x:v>
      </x:c>
      <x:c r="G1276" s="8" t="n">
        <x:f>C1276*E1276</x:f>
        <x:v>8576.25</x:v>
      </x:c>
      <x:c r="H1276" s="8" t="n">
        <x:f>F1276-G1276</x:f>
        <x:v>10073.5</x:v>
      </x:c>
      <x:c r="I1276" s="10" t="n">
        <x:f>H1276/F1276</x:f>
        <x:v>0.5401412887572219</x:v>
      </x:c>
    </x:row>
    <x:row r="1277" ht="22" customHeight="1">
      <x:c r="A1277" s="11" t="str">
        <x:v>2142</x:v>
      </x:c>
      <x:c r="B1277" s="8" t="str">
        <x:v>Adventure Works Coffee Maker 12C M100 Black</x:v>
      </x:c>
      <x:c r="C1277" s="8" t="n">
        <x:v>22</x:v>
      </x:c>
      <x:c r="D1277" s="9" t="n">
        <x:v>445</x:v>
      </x:c>
      <x:c r="E1277" s="9" t="n">
        <x:v>204.64</x:v>
      </x:c>
      <x:c r="F1277" s="8" t="n">
        <x:f>C1277*D1277</x:f>
        <x:v>9790</x:v>
      </x:c>
      <x:c r="G1277" s="8" t="n">
        <x:f>C1277*E1277</x:f>
        <x:v>4502.08</x:v>
      </x:c>
      <x:c r="H1277" s="8" t="n">
        <x:f>F1277-G1277</x:f>
        <x:v>5287.92</x:v>
      </x:c>
      <x:c r="I1277" s="10" t="n">
        <x:f>H1277/F1277</x:f>
        <x:v>0.5401348314606742</x:v>
      </x:c>
    </x:row>
    <x:row r="1278" ht="22" customHeight="1">
      <x:c r="A1278" s="11" t="str">
        <x:v>2143</x:v>
      </x:c>
      <x:c r="B1278" s="8" t="str">
        <x:v>Adventure Works Coffee Maker Auto 5C E090 Black</x:v>
      </x:c>
      <x:c r="C1278" s="8" t="n">
        <x:v>28</x:v>
      </x:c>
      <x:c r="D1278" s="9" t="n">
        <x:v>163</x:v>
      </x:c>
      <x:c r="E1278" s="9" t="n">
        <x:v>83.1</x:v>
      </x:c>
      <x:c r="F1278" s="8" t="n">
        <x:f>C1278*D1278</x:f>
        <x:v>4564</x:v>
      </x:c>
      <x:c r="G1278" s="8" t="n">
        <x:f>C1278*E1278</x:f>
        <x:v>2326.7999999999997</x:v>
      </x:c>
      <x:c r="H1278" s="8" t="n">
        <x:f>F1278-G1278</x:f>
        <x:v>2237.2000000000003</x:v>
      </x:c>
      <x:c r="I1278" s="10" t="n">
        <x:f>H1278/F1278</x:f>
        <x:v>0.49018404907975466</x:v>
      </x:c>
    </x:row>
    <x:row r="1279" ht="22" customHeight="1">
      <x:c r="A1279" s="11" t="str">
        <x:v>2144</x:v>
      </x:c>
      <x:c r="B1279" s="8" t="str">
        <x:v>Adventure Works Coffee Maker 5C E090 Black</x:v>
      </x:c>
      <x:c r="C1279" s="8" t="n">
        <x:v>36</x:v>
      </x:c>
      <x:c r="D1279" s="9" t="n">
        <x:v>149</x:v>
      </x:c>
      <x:c r="E1279" s="9" t="n">
        <x:v>75.96</x:v>
      </x:c>
      <x:c r="F1279" s="8" t="n">
        <x:f>C1279*D1279</x:f>
        <x:v>5364</x:v>
      </x:c>
      <x:c r="G1279" s="8" t="n">
        <x:f>C1279*E1279</x:f>
        <x:v>2734.56</x:v>
      </x:c>
      <x:c r="H1279" s="8" t="n">
        <x:f>F1279-G1279</x:f>
        <x:v>2629.44</x:v>
      </x:c>
      <x:c r="I1279" s="10" t="n">
        <x:f>H1279/F1279</x:f>
        <x:v>0.4902013422818792</x:v>
      </x:c>
    </x:row>
    <x:row r="1280" ht="22" customHeight="1">
      <x:c r="A1280" s="11" t="str">
        <x:v>2145</x:v>
      </x:c>
      <x:c r="B1280" s="8" t="str">
        <x:v>Adventure Works Coffee Maker 4C E080 Black</x:v>
      </x:c>
      <x:c r="C1280" s="8" t="n">
        <x:v>29</x:v>
      </x:c>
      <x:c r="D1280" s="9" t="n">
        <x:v>129.9</x:v>
      </x:c>
      <x:c r="E1280" s="9" t="n">
        <x:v>66.23</x:v>
      </x:c>
      <x:c r="F1280" s="8" t="n">
        <x:f>C1280*D1280</x:f>
        <x:v>3767.1000000000004</x:v>
      </x:c>
      <x:c r="G1280" s="8" t="n">
        <x:f>C1280*E1280</x:f>
        <x:v>1920.67</x:v>
      </x:c>
      <x:c r="H1280" s="8" t="n">
        <x:f>F1280-G1280</x:f>
        <x:v>1846.4300000000003</x:v>
      </x:c>
      <x:c r="I1280" s="10" t="n">
        <x:f>H1280/F1280</x:f>
        <x:v>0.49014626635873754</x:v>
      </x:c>
    </x:row>
    <x:row r="1281" ht="22" customHeight="1">
      <x:c r="A1281" s="11" t="str">
        <x:v>2146</x:v>
      </x:c>
      <x:c r="B1281" s="8" t="str">
        <x:v>Adventure Works Coffee Maker Super-Auto 12C X125 Silver</x:v>
      </x:c>
      <x:c r="C1281" s="8" t="n">
        <x:v>17</x:v>
      </x:c>
      <x:c r="D1281" s="9" t="n">
        <x:v>1650</x:v>
      </x:c>
      <x:c r="E1281" s="9" t="n">
        <x:v>546.68</x:v>
      </x:c>
      <x:c r="F1281" s="8" t="n">
        <x:f>C1281*D1281</x:f>
        <x:v>28050</x:v>
      </x:c>
      <x:c r="G1281" s="8" t="n">
        <x:f>C1281*E1281</x:f>
        <x:v>9293.56</x:v>
      </x:c>
      <x:c r="H1281" s="8" t="n">
        <x:f>F1281-G1281</x:f>
        <x:v>18756.440000000002</x:v>
      </x:c>
      <x:c r="I1281" s="10" t="n">
        <x:f>H1281/F1281</x:f>
        <x:v>0.668678787878788</x:v>
      </x:c>
    </x:row>
    <x:row r="1282" ht="22" customHeight="1">
      <x:c r="A1282" s="11" t="str">
        <x:v>2147</x:v>
      </x:c>
      <x:c r="B1282" s="8" t="str">
        <x:v>Adventure Works Coffee Maker Auto 10C M100 Silver</x:v>
      </x:c>
      <x:c r="C1282" s="8" t="n">
        <x:v>34</x:v>
      </x:c>
      <x:c r="D1282" s="9" t="n">
        <x:v>745.99</x:v>
      </x:c>
      <x:c r="E1282" s="9" t="n">
        <x:v>343.05</x:v>
      </x:c>
      <x:c r="F1282" s="8" t="n">
        <x:f>C1282*D1282</x:f>
        <x:v>25363.66</x:v>
      </x:c>
      <x:c r="G1282" s="8" t="n">
        <x:f>C1282*E1282</x:f>
        <x:v>11663.7</x:v>
      </x:c>
      <x:c r="H1282" s="8" t="n">
        <x:f>F1282-G1282</x:f>
        <x:v>13699.96</x:v>
      </x:c>
      <x:c r="I1282" s="10" t="n">
        <x:f>H1282/F1282</x:f>
        <x:v>0.5401412887572219</x:v>
      </x:c>
    </x:row>
    <x:row r="1283" ht="22" customHeight="1">
      <x:c r="A1283" s="11" t="str">
        <x:v>2148</x:v>
      </x:c>
      <x:c r="B1283" s="8" t="str">
        <x:v>Adventure Works Coffee Maker 12C M100 Silver</x:v>
      </x:c>
      <x:c r="C1283" s="8" t="n">
        <x:v>41</x:v>
      </x:c>
      <x:c r="D1283" s="9" t="n">
        <x:v>445</x:v>
      </x:c>
      <x:c r="E1283" s="9" t="n">
        <x:v>204.64</x:v>
      </x:c>
      <x:c r="F1283" s="8" t="n">
        <x:f>C1283*D1283</x:f>
        <x:v>18245</x:v>
      </x:c>
      <x:c r="G1283" s="8" t="n">
        <x:f>C1283*E1283</x:f>
        <x:v>8390.24</x:v>
      </x:c>
      <x:c r="H1283" s="8" t="n">
        <x:f>F1283-G1283</x:f>
        <x:v>9854.76</x:v>
      </x:c>
      <x:c r="I1283" s="10" t="n">
        <x:f>H1283/F1283</x:f>
        <x:v>0.5401348314606742</x:v>
      </x:c>
    </x:row>
    <x:row r="1284" ht="22" customHeight="1">
      <x:c r="A1284" s="11" t="str">
        <x:v>2149</x:v>
      </x:c>
      <x:c r="B1284" s="8" t="str">
        <x:v>Adventure Works Coffee Maker Auto 5C E090 Silver</x:v>
      </x:c>
      <x:c r="C1284" s="8" t="n">
        <x:v>27</x:v>
      </x:c>
      <x:c r="D1284" s="9" t="n">
        <x:v>163</x:v>
      </x:c>
      <x:c r="E1284" s="9" t="n">
        <x:v>83.1</x:v>
      </x:c>
      <x:c r="F1284" s="8" t="n">
        <x:f>C1284*D1284</x:f>
        <x:v>4401</x:v>
      </x:c>
      <x:c r="G1284" s="8" t="n">
        <x:f>C1284*E1284</x:f>
        <x:v>2243.7</x:v>
      </x:c>
      <x:c r="H1284" s="8" t="n">
        <x:f>F1284-G1284</x:f>
        <x:v>2157.3</x:v>
      </x:c>
      <x:c r="I1284" s="10" t="n">
        <x:f>H1284/F1284</x:f>
        <x:v>0.49018404907975466</x:v>
      </x:c>
    </x:row>
    <x:row r="1285" ht="22" customHeight="1">
      <x:c r="A1285" s="11" t="str">
        <x:v>215</x:v>
      </x:c>
      <x:c r="B1285" s="8" t="str">
        <x:v>Litware Home Theater System 4.1 Channel M412 Silver</x:v>
      </x:c>
      <x:c r="C1285" s="8" t="n">
        <x:v>16</x:v>
      </x:c>
      <x:c r="D1285" s="9" t="n">
        <x:v>569</x:v>
      </x:c>
      <x:c r="E1285" s="9" t="n">
        <x:v>261.66</x:v>
      </x:c>
      <x:c r="F1285" s="8" t="n">
        <x:f>C1285*D1285</x:f>
        <x:v>9104</x:v>
      </x:c>
      <x:c r="G1285" s="8" t="n">
        <x:f>C1285*E1285</x:f>
        <x:v>4186.56</x:v>
      </x:c>
      <x:c r="H1285" s="8" t="n">
        <x:f>F1285-G1285</x:f>
        <x:v>4917.44</x:v>
      </x:c>
      <x:c r="I1285" s="10" t="n">
        <x:f>H1285/F1285</x:f>
        <x:v>0.540140597539543</x:v>
      </x:c>
    </x:row>
    <x:row r="1286" ht="22" customHeight="1">
      <x:c r="A1286" s="11" t="str">
        <x:v>2150</x:v>
      </x:c>
      <x:c r="B1286" s="8" t="str">
        <x:v>Adventure Works Coffee Maker 5C E090 Silver</x:v>
      </x:c>
      <x:c r="C1286" s="8" t="n">
        <x:v>26</x:v>
      </x:c>
      <x:c r="D1286" s="9" t="n">
        <x:v>149</x:v>
      </x:c>
      <x:c r="E1286" s="9" t="n">
        <x:v>75.96</x:v>
      </x:c>
      <x:c r="F1286" s="8" t="n">
        <x:f>C1286*D1286</x:f>
        <x:v>3874</x:v>
      </x:c>
      <x:c r="G1286" s="8" t="n">
        <x:f>C1286*E1286</x:f>
        <x:v>1974.9599999999998</x:v>
      </x:c>
      <x:c r="H1286" s="8" t="n">
        <x:f>F1286-G1286</x:f>
        <x:v>1899.0400000000002</x:v>
      </x:c>
      <x:c r="I1286" s="10" t="n">
        <x:f>H1286/F1286</x:f>
        <x:v>0.4902013422818792</x:v>
      </x:c>
    </x:row>
    <x:row r="1287" ht="22" customHeight="1">
      <x:c r="A1287" s="11" t="str">
        <x:v>2151</x:v>
      </x:c>
      <x:c r="B1287" s="8" t="str">
        <x:v>Adventure Works Coffee Maker 4C E080 Silver</x:v>
      </x:c>
      <x:c r="C1287" s="8" t="n">
        <x:v>33</x:v>
      </x:c>
      <x:c r="D1287" s="9" t="n">
        <x:v>129.9</x:v>
      </x:c>
      <x:c r="E1287" s="9" t="n">
        <x:v>66.23</x:v>
      </x:c>
      <x:c r="F1287" s="8" t="n">
        <x:f>C1287*D1287</x:f>
        <x:v>4286.7</x:v>
      </x:c>
      <x:c r="G1287" s="8" t="n">
        <x:f>C1287*E1287</x:f>
        <x:v>2185.59</x:v>
      </x:c>
      <x:c r="H1287" s="8" t="n">
        <x:f>F1287-G1287</x:f>
        <x:v>2101.1099999999997</x:v>
      </x:c>
      <x:c r="I1287" s="10" t="n">
        <x:f>H1287/F1287</x:f>
        <x:v>0.4901462663587374</x:v>
      </x:c>
    </x:row>
    <x:row r="1288" ht="22" customHeight="1">
      <x:c r="A1288" s="11" t="str">
        <x:v>2152</x:v>
      </x:c>
      <x:c r="B1288" s="8" t="str">
        <x:v>Adventure Works Coffee Maker Super-Auto 12C X125 White</x:v>
      </x:c>
      <x:c r="C1288" s="8" t="n">
        <x:v>43</x:v>
      </x:c>
      <x:c r="D1288" s="9" t="n">
        <x:v>1650</x:v>
      </x:c>
      <x:c r="E1288" s="9" t="n">
        <x:v>546.68</x:v>
      </x:c>
      <x:c r="F1288" s="8" t="n">
        <x:f>C1288*D1288</x:f>
        <x:v>70950</x:v>
      </x:c>
      <x:c r="G1288" s="8" t="n">
        <x:f>C1288*E1288</x:f>
        <x:v>23507.239999999998</x:v>
      </x:c>
      <x:c r="H1288" s="8" t="n">
        <x:f>F1288-G1288</x:f>
        <x:v>47442.76</x:v>
      </x:c>
      <x:c r="I1288" s="10" t="n">
        <x:f>H1288/F1288</x:f>
        <x:v>0.6686787878787879</x:v>
      </x:c>
    </x:row>
    <x:row r="1289" ht="22" customHeight="1">
      <x:c r="A1289" s="11" t="str">
        <x:v>2153</x:v>
      </x:c>
      <x:c r="B1289" s="8" t="str">
        <x:v>Adventure Works Coffee Maker Auto 10C M100 White</x:v>
      </x:c>
      <x:c r="C1289" s="8" t="n">
        <x:v>20</x:v>
      </x:c>
      <x:c r="D1289" s="9" t="n">
        <x:v>745.99</x:v>
      </x:c>
      <x:c r="E1289" s="9" t="n">
        <x:v>343.05</x:v>
      </x:c>
      <x:c r="F1289" s="8" t="n">
        <x:f>C1289*D1289</x:f>
        <x:v>14919.8</x:v>
      </x:c>
      <x:c r="G1289" s="8" t="n">
        <x:f>C1289*E1289</x:f>
        <x:v>6861</x:v>
      </x:c>
      <x:c r="H1289" s="8" t="n">
        <x:f>F1289-G1289</x:f>
        <x:v>8058.799999999999</x:v>
      </x:c>
      <x:c r="I1289" s="10" t="n">
        <x:f>H1289/F1289</x:f>
        <x:v>0.5401412887572219</x:v>
      </x:c>
    </x:row>
    <x:row r="1290" ht="22" customHeight="1">
      <x:c r="A1290" s="11" t="str">
        <x:v>2154</x:v>
      </x:c>
      <x:c r="B1290" s="8" t="str">
        <x:v>Adventure Works Coffee Maker 12C M100 White</x:v>
      </x:c>
      <x:c r="C1290" s="8" t="n">
        <x:v>33</x:v>
      </x:c>
      <x:c r="D1290" s="9" t="n">
        <x:v>445</x:v>
      </x:c>
      <x:c r="E1290" s="9" t="n">
        <x:v>204.64</x:v>
      </x:c>
      <x:c r="F1290" s="8" t="n">
        <x:f>C1290*D1290</x:f>
        <x:v>14685</x:v>
      </x:c>
      <x:c r="G1290" s="8" t="n">
        <x:f>C1290*E1290</x:f>
        <x:v>6753.12</x:v>
      </x:c>
      <x:c r="H1290" s="8" t="n">
        <x:f>F1290-G1290</x:f>
        <x:v>7931.88</x:v>
      </x:c>
      <x:c r="I1290" s="10" t="n">
        <x:f>H1290/F1290</x:f>
        <x:v>0.5401348314606742</x:v>
      </x:c>
    </x:row>
    <x:row r="1291" ht="22" customHeight="1">
      <x:c r="A1291" s="11" t="str">
        <x:v>2155</x:v>
      </x:c>
      <x:c r="B1291" s="8" t="str">
        <x:v>Adventure Works Coffee Maker Auto 5C E090 White</x:v>
      </x:c>
      <x:c r="C1291" s="8" t="n">
        <x:v>35</x:v>
      </x:c>
      <x:c r="D1291" s="9" t="n">
        <x:v>163</x:v>
      </x:c>
      <x:c r="E1291" s="9" t="n">
        <x:v>83.1</x:v>
      </x:c>
      <x:c r="F1291" s="8" t="n">
        <x:f>C1291*D1291</x:f>
        <x:v>5705</x:v>
      </x:c>
      <x:c r="G1291" s="8" t="n">
        <x:f>C1291*E1291</x:f>
        <x:v>2908.5</x:v>
      </x:c>
      <x:c r="H1291" s="8" t="n">
        <x:f>F1291-G1291</x:f>
        <x:v>2796.5</x:v>
      </x:c>
      <x:c r="I1291" s="10" t="n">
        <x:f>H1291/F1291</x:f>
        <x:v>0.4901840490797546</x:v>
      </x:c>
    </x:row>
    <x:row r="1292" ht="22" customHeight="1">
      <x:c r="A1292" s="11" t="str">
        <x:v>2156</x:v>
      </x:c>
      <x:c r="B1292" s="8" t="str">
        <x:v>Adventure Works Coffee Maker 5C E090 White</x:v>
      </x:c>
      <x:c r="C1292" s="8" t="n">
        <x:v>32</x:v>
      </x:c>
      <x:c r="D1292" s="9" t="n">
        <x:v>149</x:v>
      </x:c>
      <x:c r="E1292" s="9" t="n">
        <x:v>75.96</x:v>
      </x:c>
      <x:c r="F1292" s="8" t="n">
        <x:f>C1292*D1292</x:f>
        <x:v>4768</x:v>
      </x:c>
      <x:c r="G1292" s="8" t="n">
        <x:f>C1292*E1292</x:f>
        <x:v>2430.72</x:v>
      </x:c>
      <x:c r="H1292" s="8" t="n">
        <x:f>F1292-G1292</x:f>
        <x:v>2337.28</x:v>
      </x:c>
      <x:c r="I1292" s="10" t="n">
        <x:f>H1292/F1292</x:f>
        <x:v>0.4902013422818792</x:v>
      </x:c>
    </x:row>
    <x:row r="1293" ht="22" customHeight="1">
      <x:c r="A1293" s="11" t="str">
        <x:v>2157</x:v>
      </x:c>
      <x:c r="B1293" s="8" t="str">
        <x:v>Adventure Works Coffee Maker 4C E080 White</x:v>
      </x:c>
      <x:c r="C1293" s="8" t="n">
        <x:v>14</x:v>
      </x:c>
      <x:c r="D1293" s="9" t="n">
        <x:v>129.9</x:v>
      </x:c>
      <x:c r="E1293" s="9" t="n">
        <x:v>66.23</x:v>
      </x:c>
      <x:c r="F1293" s="8" t="n">
        <x:f>C1293*D1293</x:f>
        <x:v>1818.6000000000001</x:v>
      </x:c>
      <x:c r="G1293" s="8" t="n">
        <x:f>C1293*E1293</x:f>
        <x:v>927.22</x:v>
      </x:c>
      <x:c r="H1293" s="8" t="n">
        <x:f>F1293-G1293</x:f>
        <x:v>891.3800000000001</x:v>
      </x:c>
      <x:c r="I1293" s="10" t="n">
        <x:f>H1293/F1293</x:f>
        <x:v>0.49014626635873754</x:v>
      </x:c>
    </x:row>
    <x:row r="1294" ht="22" customHeight="1">
      <x:c r="A1294" s="11" t="str">
        <x:v>2158</x:v>
      </x:c>
      <x:c r="B1294" s="8" t="str">
        <x:v>Adventure Works Coffee Maker Super-Auto 12C X125 Grey</x:v>
      </x:c>
      <x:c r="C1294" s="8" t="n">
        <x:v>9</x:v>
      </x:c>
      <x:c r="D1294" s="9" t="n">
        <x:v>1650</x:v>
      </x:c>
      <x:c r="E1294" s="9" t="n">
        <x:v>546.68</x:v>
      </x:c>
      <x:c r="F1294" s="8" t="n">
        <x:f>C1294*D1294</x:f>
        <x:v>14850</x:v>
      </x:c>
      <x:c r="G1294" s="8" t="n">
        <x:f>C1294*E1294</x:f>
        <x:v>4920.12</x:v>
      </x:c>
      <x:c r="H1294" s="8" t="n">
        <x:f>F1294-G1294</x:f>
        <x:v>9929.880000000001</x:v>
      </x:c>
      <x:c r="I1294" s="10" t="n">
        <x:f>H1294/F1294</x:f>
        <x:v>0.668678787878788</x:v>
      </x:c>
    </x:row>
    <x:row r="1295" ht="22" customHeight="1">
      <x:c r="A1295" s="11" t="str">
        <x:v>2159</x:v>
      </x:c>
      <x:c r="B1295" s="8" t="str">
        <x:v>Adventure Works Coffee Maker Auto 10C M100 Grey</x:v>
      </x:c>
      <x:c r="C1295" s="8" t="n">
        <x:v>25</x:v>
      </x:c>
      <x:c r="D1295" s="9" t="n">
        <x:v>745.99</x:v>
      </x:c>
      <x:c r="E1295" s="9" t="n">
        <x:v>343.05</x:v>
      </x:c>
      <x:c r="F1295" s="8" t="n">
        <x:f>C1295*D1295</x:f>
        <x:v>18649.75</x:v>
      </x:c>
      <x:c r="G1295" s="8" t="n">
        <x:f>C1295*E1295</x:f>
        <x:v>8576.25</x:v>
      </x:c>
      <x:c r="H1295" s="8" t="n">
        <x:f>F1295-G1295</x:f>
        <x:v>10073.5</x:v>
      </x:c>
      <x:c r="I1295" s="10" t="n">
        <x:f>H1295/F1295</x:f>
        <x:v>0.5401412887572219</x:v>
      </x:c>
    </x:row>
    <x:row r="1296" ht="22" customHeight="1">
      <x:c r="A1296" s="11" t="str">
        <x:v>216</x:v>
      </x:c>
      <x:c r="B1296" s="8" t="str">
        <x:v>Litware Home Theater System 4.1 Channel M413 Silver</x:v>
      </x:c>
      <x:c r="C1296" s="8" t="n">
        <x:v>6</x:v>
      </x:c>
      <x:c r="D1296" s="9" t="n">
        <x:v>549</x:v>
      </x:c>
      <x:c r="E1296" s="9" t="n">
        <x:v>252.47</x:v>
      </x:c>
      <x:c r="F1296" s="8" t="n">
        <x:f>C1296*D1296</x:f>
        <x:v>3294</x:v>
      </x:c>
      <x:c r="G1296" s="8" t="n">
        <x:f>C1296*E1296</x:f>
        <x:v>1514.82</x:v>
      </x:c>
      <x:c r="H1296" s="8" t="n">
        <x:f>F1296-G1296</x:f>
        <x:v>1779.18</x:v>
      </x:c>
      <x:c r="I1296" s="10" t="n">
        <x:f>H1296/F1296</x:f>
        <x:v>0.540127504553734</x:v>
      </x:c>
    </x:row>
    <x:row r="1297" ht="22" customHeight="1">
      <x:c r="A1297" s="11" t="str">
        <x:v>2160</x:v>
      </x:c>
      <x:c r="B1297" s="8" t="str">
        <x:v>Adventure Works Coffee Maker 12C M100 Grey</x:v>
      </x:c>
      <x:c r="C1297" s="8" t="n">
        <x:v>45</x:v>
      </x:c>
      <x:c r="D1297" s="9" t="n">
        <x:v>445</x:v>
      </x:c>
      <x:c r="E1297" s="9" t="n">
        <x:v>204.64</x:v>
      </x:c>
      <x:c r="F1297" s="8" t="n">
        <x:f>C1297*D1297</x:f>
        <x:v>20025</x:v>
      </x:c>
      <x:c r="G1297" s="8" t="n">
        <x:f>C1297*E1297</x:f>
        <x:v>9208.8</x:v>
      </x:c>
      <x:c r="H1297" s="8" t="n">
        <x:f>F1297-G1297</x:f>
        <x:v>10816.2</x:v>
      </x:c>
      <x:c r="I1297" s="10" t="n">
        <x:f>H1297/F1297</x:f>
        <x:v>0.5401348314606742</x:v>
      </x:c>
    </x:row>
    <x:row r="1298" ht="22" customHeight="1">
      <x:c r="A1298" s="11" t="str">
        <x:v>2161</x:v>
      </x:c>
      <x:c r="B1298" s="8" t="str">
        <x:v>Adventure Works Coffee Maker Auto 5C E090 Grey</x:v>
      </x:c>
      <x:c r="C1298" s="8" t="n">
        <x:v>31</x:v>
      </x:c>
      <x:c r="D1298" s="9" t="n">
        <x:v>163</x:v>
      </x:c>
      <x:c r="E1298" s="9" t="n">
        <x:v>83.1</x:v>
      </x:c>
      <x:c r="F1298" s="8" t="n">
        <x:f>C1298*D1298</x:f>
        <x:v>5053</x:v>
      </x:c>
      <x:c r="G1298" s="8" t="n">
        <x:f>C1298*E1298</x:f>
        <x:v>2576.1</x:v>
      </x:c>
      <x:c r="H1298" s="8" t="n">
        <x:f>F1298-G1298</x:f>
        <x:v>2476.9</x:v>
      </x:c>
      <x:c r="I1298" s="10" t="n">
        <x:f>H1298/F1298</x:f>
        <x:v>0.4901840490797546</x:v>
      </x:c>
    </x:row>
    <x:row r="1299" ht="22" customHeight="1">
      <x:c r="A1299" s="11" t="str">
        <x:v>2162</x:v>
      </x:c>
      <x:c r="B1299" s="8" t="str">
        <x:v>Adventure Works Coffee Maker 5C E090 Grey</x:v>
      </x:c>
      <x:c r="C1299" s="8" t="n">
        <x:v>40</x:v>
      </x:c>
      <x:c r="D1299" s="9" t="n">
        <x:v>149</x:v>
      </x:c>
      <x:c r="E1299" s="9" t="n">
        <x:v>75.96</x:v>
      </x:c>
      <x:c r="F1299" s="8" t="n">
        <x:f>C1299*D1299</x:f>
        <x:v>5960</x:v>
      </x:c>
      <x:c r="G1299" s="8" t="n">
        <x:f>C1299*E1299</x:f>
        <x:v>3038.3999999999996</x:v>
      </x:c>
      <x:c r="H1299" s="8" t="n">
        <x:f>F1299-G1299</x:f>
        <x:v>2921.6000000000004</x:v>
      </x:c>
      <x:c r="I1299" s="10" t="n">
        <x:f>H1299/F1299</x:f>
        <x:v>0.4902013422818793</x:v>
      </x:c>
    </x:row>
    <x:row r="1300" ht="22" customHeight="1">
      <x:c r="A1300" s="11" t="str">
        <x:v>2163</x:v>
      </x:c>
      <x:c r="B1300" s="8" t="str">
        <x:v>Adventure Works Coffee Maker 4C E080 Grey</x:v>
      </x:c>
      <x:c r="C1300" s="8" t="n">
        <x:v>33</x:v>
      </x:c>
      <x:c r="D1300" s="9" t="n">
        <x:v>129.9</x:v>
      </x:c>
      <x:c r="E1300" s="9" t="n">
        <x:v>66.23</x:v>
      </x:c>
      <x:c r="F1300" s="8" t="n">
        <x:f>C1300*D1300</x:f>
        <x:v>4286.7</x:v>
      </x:c>
      <x:c r="G1300" s="8" t="n">
        <x:f>C1300*E1300</x:f>
        <x:v>2185.59</x:v>
      </x:c>
      <x:c r="H1300" s="8" t="n">
        <x:f>F1300-G1300</x:f>
        <x:v>2101.1099999999997</x:v>
      </x:c>
      <x:c r="I1300" s="10" t="n">
        <x:f>H1300/F1300</x:f>
        <x:v>0.4901462663587374</x:v>
      </x:c>
    </x:row>
    <x:row r="1301" ht="22" customHeight="1">
      <x:c r="A1301" s="11" t="str">
        <x:v>2164</x:v>
      </x:c>
      <x:c r="B1301" s="8" t="str">
        <x:v>Fabrikam Coffee Maker Super-Auto 12C X125 Black</x:v>
      </x:c>
      <x:c r="C1301" s="8" t="n">
        <x:v>18</x:v>
      </x:c>
      <x:c r="D1301" s="9" t="n">
        <x:v>1650</x:v>
      </x:c>
      <x:c r="E1301" s="9" t="n">
        <x:v>546.68</x:v>
      </x:c>
      <x:c r="F1301" s="8" t="n">
        <x:f>C1301*D1301</x:f>
        <x:v>29700</x:v>
      </x:c>
      <x:c r="G1301" s="8" t="n">
        <x:f>C1301*E1301</x:f>
        <x:v>9840.24</x:v>
      </x:c>
      <x:c r="H1301" s="8" t="n">
        <x:f>F1301-G1301</x:f>
        <x:v>19859.760000000002</x:v>
      </x:c>
      <x:c r="I1301" s="10" t="n">
        <x:f>H1301/F1301</x:f>
        <x:v>0.668678787878788</x:v>
      </x:c>
    </x:row>
    <x:row r="1302" ht="22" customHeight="1">
      <x:c r="A1302" s="11" t="str">
        <x:v>2165</x:v>
      </x:c>
      <x:c r="B1302" s="8" t="str">
        <x:v>Fabrikam Coffee Maker Auto 10C M100 Black</x:v>
      </x:c>
      <x:c r="C1302" s="8" t="n">
        <x:v>20</x:v>
      </x:c>
      <x:c r="D1302" s="9" t="n">
        <x:v>745.99</x:v>
      </x:c>
      <x:c r="E1302" s="9" t="n">
        <x:v>343.05</x:v>
      </x:c>
      <x:c r="F1302" s="8" t="n">
        <x:f>C1302*D1302</x:f>
        <x:v>14919.8</x:v>
      </x:c>
      <x:c r="G1302" s="8" t="n">
        <x:f>C1302*E1302</x:f>
        <x:v>6861</x:v>
      </x:c>
      <x:c r="H1302" s="8" t="n">
        <x:f>F1302-G1302</x:f>
        <x:v>8058.799999999999</x:v>
      </x:c>
      <x:c r="I1302" s="10" t="n">
        <x:f>H1302/F1302</x:f>
        <x:v>0.5401412887572219</x:v>
      </x:c>
    </x:row>
    <x:row r="1303" ht="22" customHeight="1">
      <x:c r="A1303" s="11" t="str">
        <x:v>2166</x:v>
      </x:c>
      <x:c r="B1303" s="8" t="str">
        <x:v>Fabrikam Coffee Maker 12C M100 Black</x:v>
      </x:c>
      <x:c r="C1303" s="8" t="n">
        <x:v>35</x:v>
      </x:c>
      <x:c r="D1303" s="9" t="n">
        <x:v>445</x:v>
      </x:c>
      <x:c r="E1303" s="9" t="n">
        <x:v>204.64</x:v>
      </x:c>
      <x:c r="F1303" s="8" t="n">
        <x:f>C1303*D1303</x:f>
        <x:v>15575</x:v>
      </x:c>
      <x:c r="G1303" s="8" t="n">
        <x:f>C1303*E1303</x:f>
        <x:v>7162.4</x:v>
      </x:c>
      <x:c r="H1303" s="8" t="n">
        <x:f>F1303-G1303</x:f>
        <x:v>8412.6</x:v>
      </x:c>
      <x:c r="I1303" s="10" t="n">
        <x:f>H1303/F1303</x:f>
        <x:v>0.5401348314606742</x:v>
      </x:c>
    </x:row>
    <x:row r="1304" ht="22" customHeight="1">
      <x:c r="A1304" s="11" t="str">
        <x:v>2167</x:v>
      </x:c>
      <x:c r="B1304" s="8" t="str">
        <x:v>Fabrikam Coffee Maker Auto 5C E090 Black</x:v>
      </x:c>
      <x:c r="C1304" s="8" t="n">
        <x:v>47</x:v>
      </x:c>
      <x:c r="D1304" s="9" t="n">
        <x:v>163</x:v>
      </x:c>
      <x:c r="E1304" s="9" t="n">
        <x:v>83.1</x:v>
      </x:c>
      <x:c r="F1304" s="8" t="n">
        <x:f>C1304*D1304</x:f>
        <x:v>7661</x:v>
      </x:c>
      <x:c r="G1304" s="8" t="n">
        <x:f>C1304*E1304</x:f>
        <x:v>3905.7</x:v>
      </x:c>
      <x:c r="H1304" s="8" t="n">
        <x:f>F1304-G1304</x:f>
        <x:v>3755.3</x:v>
      </x:c>
      <x:c r="I1304" s="10" t="n">
        <x:f>H1304/F1304</x:f>
        <x:v>0.4901840490797546</x:v>
      </x:c>
    </x:row>
    <x:row r="1305" ht="22" customHeight="1">
      <x:c r="A1305" s="11" t="str">
        <x:v>2168</x:v>
      </x:c>
      <x:c r="B1305" s="8" t="str">
        <x:v>Fabrikam Coffee Maker 5C E090 Black</x:v>
      </x:c>
      <x:c r="C1305" s="8" t="n">
        <x:v>36</x:v>
      </x:c>
      <x:c r="D1305" s="9" t="n">
        <x:v>149</x:v>
      </x:c>
      <x:c r="E1305" s="9" t="n">
        <x:v>75.96</x:v>
      </x:c>
      <x:c r="F1305" s="8" t="n">
        <x:f>C1305*D1305</x:f>
        <x:v>5364</x:v>
      </x:c>
      <x:c r="G1305" s="8" t="n">
        <x:f>C1305*E1305</x:f>
        <x:v>2734.56</x:v>
      </x:c>
      <x:c r="H1305" s="8" t="n">
        <x:f>F1305-G1305</x:f>
        <x:v>2629.44</x:v>
      </x:c>
      <x:c r="I1305" s="10" t="n">
        <x:f>H1305/F1305</x:f>
        <x:v>0.4902013422818792</x:v>
      </x:c>
    </x:row>
    <x:row r="1306" ht="22" customHeight="1">
      <x:c r="A1306" s="11" t="str">
        <x:v>2169</x:v>
      </x:c>
      <x:c r="B1306" s="8" t="str">
        <x:v>Fabrikam Coffee Maker 4C E080 Black</x:v>
      </x:c>
      <x:c r="C1306" s="8" t="n">
        <x:v>36</x:v>
      </x:c>
      <x:c r="D1306" s="9" t="n">
        <x:v>129.9</x:v>
      </x:c>
      <x:c r="E1306" s="9" t="n">
        <x:v>66.23</x:v>
      </x:c>
      <x:c r="F1306" s="8" t="n">
        <x:f>C1306*D1306</x:f>
        <x:v>4676.400000000001</x:v>
      </x:c>
      <x:c r="G1306" s="8" t="n">
        <x:f>C1306*E1306</x:f>
        <x:v>2384.28</x:v>
      </x:c>
      <x:c r="H1306" s="8" t="n">
        <x:f>F1306-G1306</x:f>
        <x:v>2292.1200000000003</x:v>
      </x:c>
      <x:c r="I1306" s="10" t="n">
        <x:f>H1306/F1306</x:f>
        <x:v>0.4901462663587375</x:v>
      </x:c>
    </x:row>
    <x:row r="1307" ht="22" customHeight="1">
      <x:c r="A1307" s="11" t="str">
        <x:v>217</x:v>
      </x:c>
      <x:c r="B1307" s="8" t="str">
        <x:v>Litware Home Theater System 5.1 Channel M512 Silver</x:v>
      </x:c>
      <x:c r="C1307" s="8" t="n">
        <x:v>20</x:v>
      </x:c>
      <x:c r="D1307" s="9" t="n">
        <x:v>699</x:v>
      </x:c>
      <x:c r="E1307" s="9" t="n">
        <x:v>321.44</x:v>
      </x:c>
      <x:c r="F1307" s="8" t="n">
        <x:f>C1307*D1307</x:f>
        <x:v>13980</x:v>
      </x:c>
      <x:c r="G1307" s="8" t="n">
        <x:f>C1307*E1307</x:f>
        <x:v>6428.8</x:v>
      </x:c>
      <x:c r="H1307" s="8" t="n">
        <x:f>F1307-G1307</x:f>
        <x:v>7551.2</x:v>
      </x:c>
      <x:c r="I1307" s="10" t="n">
        <x:f>H1307/F1307</x:f>
        <x:v>0.5401430615164521</x:v>
      </x:c>
    </x:row>
    <x:row r="1308" ht="22" customHeight="1">
      <x:c r="A1308" s="11" t="str">
        <x:v>2170</x:v>
      </x:c>
      <x:c r="B1308" s="8" t="str">
        <x:v>Fabrikam Coffee Maker Super-Auto 12C X125 Silver</x:v>
      </x:c>
      <x:c r="C1308" s="8" t="n">
        <x:v>40</x:v>
      </x:c>
      <x:c r="D1308" s="9" t="n">
        <x:v>1650</x:v>
      </x:c>
      <x:c r="E1308" s="9" t="n">
        <x:v>546.68</x:v>
      </x:c>
      <x:c r="F1308" s="8" t="n">
        <x:f>C1308*D1308</x:f>
        <x:v>66000</x:v>
      </x:c>
      <x:c r="G1308" s="8" t="n">
        <x:f>C1308*E1308</x:f>
        <x:v>21867.199999999997</x:v>
      </x:c>
      <x:c r="H1308" s="8" t="n">
        <x:f>F1308-G1308</x:f>
        <x:v>44132.8</x:v>
      </x:c>
      <x:c r="I1308" s="10" t="n">
        <x:f>H1308/F1308</x:f>
        <x:v>0.6686787878787879</x:v>
      </x:c>
    </x:row>
    <x:row r="1309" ht="22" customHeight="1">
      <x:c r="A1309" s="11" t="str">
        <x:v>2171</x:v>
      </x:c>
      <x:c r="B1309" s="8" t="str">
        <x:v>Fabrikam Coffee Maker Auto 10C M100 Silver</x:v>
      </x:c>
      <x:c r="C1309" s="8" t="n">
        <x:v>20</x:v>
      </x:c>
      <x:c r="D1309" s="9" t="n">
        <x:v>745.99</x:v>
      </x:c>
      <x:c r="E1309" s="9" t="n">
        <x:v>343.05</x:v>
      </x:c>
      <x:c r="F1309" s="8" t="n">
        <x:f>C1309*D1309</x:f>
        <x:v>14919.8</x:v>
      </x:c>
      <x:c r="G1309" s="8" t="n">
        <x:f>C1309*E1309</x:f>
        <x:v>6861</x:v>
      </x:c>
      <x:c r="H1309" s="8" t="n">
        <x:f>F1309-G1309</x:f>
        <x:v>8058.799999999999</x:v>
      </x:c>
      <x:c r="I1309" s="10" t="n">
        <x:f>H1309/F1309</x:f>
        <x:v>0.5401412887572219</x:v>
      </x:c>
    </x:row>
    <x:row r="1310" ht="22" customHeight="1">
      <x:c r="A1310" s="11" t="str">
        <x:v>2172</x:v>
      </x:c>
      <x:c r="B1310" s="8" t="str">
        <x:v>Fabrikam Coffee Maker 12C M100 Silver</x:v>
      </x:c>
      <x:c r="C1310" s="8" t="n">
        <x:v>33</x:v>
      </x:c>
      <x:c r="D1310" s="9" t="n">
        <x:v>445</x:v>
      </x:c>
      <x:c r="E1310" s="9" t="n">
        <x:v>204.64</x:v>
      </x:c>
      <x:c r="F1310" s="8" t="n">
        <x:f>C1310*D1310</x:f>
        <x:v>14685</x:v>
      </x:c>
      <x:c r="G1310" s="8" t="n">
        <x:f>C1310*E1310</x:f>
        <x:v>6753.12</x:v>
      </x:c>
      <x:c r="H1310" s="8" t="n">
        <x:f>F1310-G1310</x:f>
        <x:v>7931.88</x:v>
      </x:c>
      <x:c r="I1310" s="10" t="n">
        <x:f>H1310/F1310</x:f>
        <x:v>0.5401348314606742</x:v>
      </x:c>
    </x:row>
    <x:row r="1311" ht="22" customHeight="1">
      <x:c r="A1311" s="11" t="str">
        <x:v>2173</x:v>
      </x:c>
      <x:c r="B1311" s="8" t="str">
        <x:v>Fabrikam Coffee Maker Auto 5C E090 Silver</x:v>
      </x:c>
      <x:c r="C1311" s="8" t="n">
        <x:v>36</x:v>
      </x:c>
      <x:c r="D1311" s="9" t="n">
        <x:v>163</x:v>
      </x:c>
      <x:c r="E1311" s="9" t="n">
        <x:v>83.1</x:v>
      </x:c>
      <x:c r="F1311" s="8" t="n">
        <x:f>C1311*D1311</x:f>
        <x:v>5868</x:v>
      </x:c>
      <x:c r="G1311" s="8" t="n">
        <x:f>C1311*E1311</x:f>
        <x:v>2991.6</x:v>
      </x:c>
      <x:c r="H1311" s="8" t="n">
        <x:f>F1311-G1311</x:f>
        <x:v>2876.4</x:v>
      </x:c>
      <x:c r="I1311" s="10" t="n">
        <x:f>H1311/F1311</x:f>
        <x:v>0.4901840490797546</x:v>
      </x:c>
    </x:row>
    <x:row r="1312" ht="22" customHeight="1">
      <x:c r="A1312" s="11" t="str">
        <x:v>2174</x:v>
      </x:c>
      <x:c r="B1312" s="8" t="str">
        <x:v>Fabrikam Coffee Maker 5C E090 Silver</x:v>
      </x:c>
      <x:c r="C1312" s="8" t="n">
        <x:v>33</x:v>
      </x:c>
      <x:c r="D1312" s="9" t="n">
        <x:v>149</x:v>
      </x:c>
      <x:c r="E1312" s="9" t="n">
        <x:v>75.96</x:v>
      </x:c>
      <x:c r="F1312" s="8" t="n">
        <x:f>C1312*D1312</x:f>
        <x:v>4917</x:v>
      </x:c>
      <x:c r="G1312" s="8" t="n">
        <x:f>C1312*E1312</x:f>
        <x:v>2506.68</x:v>
      </x:c>
      <x:c r="H1312" s="8" t="n">
        <x:f>F1312-G1312</x:f>
        <x:v>2410.32</x:v>
      </x:c>
      <x:c r="I1312" s="10" t="n">
        <x:f>H1312/F1312</x:f>
        <x:v>0.4902013422818792</x:v>
      </x:c>
    </x:row>
    <x:row r="1313" ht="22" customHeight="1">
      <x:c r="A1313" s="11" t="str">
        <x:v>2175</x:v>
      </x:c>
      <x:c r="B1313" s="8" t="str">
        <x:v>Fabrikam Coffee Maker 4C E080 Silver</x:v>
      </x:c>
      <x:c r="C1313" s="8" t="n">
        <x:v>30</x:v>
      </x:c>
      <x:c r="D1313" s="9" t="n">
        <x:v>129.9</x:v>
      </x:c>
      <x:c r="E1313" s="9" t="n">
        <x:v>66.23</x:v>
      </x:c>
      <x:c r="F1313" s="8" t="n">
        <x:f>C1313*D1313</x:f>
        <x:v>3897</x:v>
      </x:c>
      <x:c r="G1313" s="8" t="n">
        <x:f>C1313*E1313</x:f>
        <x:v>1986.9</x:v>
      </x:c>
      <x:c r="H1313" s="8" t="n">
        <x:f>F1313-G1313</x:f>
        <x:v>1910.1</x:v>
      </x:c>
      <x:c r="I1313" s="10" t="n">
        <x:f>H1313/F1313</x:f>
        <x:v>0.4901462663587375</x:v>
      </x:c>
    </x:row>
    <x:row r="1314" ht="22" customHeight="1">
      <x:c r="A1314" s="11" t="str">
        <x:v>2176</x:v>
      </x:c>
      <x:c r="B1314" s="8" t="str">
        <x:v>Fabrikam Coffee Maker Super-Auto 12C X125 White</x:v>
      </x:c>
      <x:c r="C1314" s="8" t="n">
        <x:v>41</x:v>
      </x:c>
      <x:c r="D1314" s="9" t="n">
        <x:v>1650</x:v>
      </x:c>
      <x:c r="E1314" s="9" t="n">
        <x:v>546.68</x:v>
      </x:c>
      <x:c r="F1314" s="8" t="n">
        <x:f>C1314*D1314</x:f>
        <x:v>67650</x:v>
      </x:c>
      <x:c r="G1314" s="8" t="n">
        <x:f>C1314*E1314</x:f>
        <x:v>22413.879999999997</x:v>
      </x:c>
      <x:c r="H1314" s="8" t="n">
        <x:f>F1314-G1314</x:f>
        <x:v>45236.12</x:v>
      </x:c>
      <x:c r="I1314" s="10" t="n">
        <x:f>H1314/F1314</x:f>
        <x:v>0.6686787878787879</x:v>
      </x:c>
    </x:row>
    <x:row r="1315" ht="22" customHeight="1">
      <x:c r="A1315" s="11" t="str">
        <x:v>2177</x:v>
      </x:c>
      <x:c r="B1315" s="8" t="str">
        <x:v>Fabrikam Coffee Maker Auto 10C M100 White</x:v>
      </x:c>
      <x:c r="C1315" s="8" t="n">
        <x:v>24</x:v>
      </x:c>
      <x:c r="D1315" s="9" t="n">
        <x:v>745.99</x:v>
      </x:c>
      <x:c r="E1315" s="9" t="n">
        <x:v>343.05</x:v>
      </x:c>
      <x:c r="F1315" s="8" t="n">
        <x:f>C1315*D1315</x:f>
        <x:v>17903.760000000002</x:v>
      </x:c>
      <x:c r="G1315" s="8" t="n">
        <x:f>C1315*E1315</x:f>
        <x:v>8233.2</x:v>
      </x:c>
      <x:c r="H1315" s="8" t="n">
        <x:f>F1315-G1315</x:f>
        <x:v>9670.560000000001</x:v>
      </x:c>
      <x:c r="I1315" s="10" t="n">
        <x:f>H1315/F1315</x:f>
        <x:v>0.540141288757222</x:v>
      </x:c>
    </x:row>
    <x:row r="1316" ht="22" customHeight="1">
      <x:c r="A1316" s="11" t="str">
        <x:v>2178</x:v>
      </x:c>
      <x:c r="B1316" s="8" t="str">
        <x:v>Fabrikam Coffee Maker 12C M100 White</x:v>
      </x:c>
      <x:c r="C1316" s="8" t="n">
        <x:v>32</x:v>
      </x:c>
      <x:c r="D1316" s="9" t="n">
        <x:v>445</x:v>
      </x:c>
      <x:c r="E1316" s="9" t="n">
        <x:v>204.64</x:v>
      </x:c>
      <x:c r="F1316" s="8" t="n">
        <x:f>C1316*D1316</x:f>
        <x:v>14240</x:v>
      </x:c>
      <x:c r="G1316" s="8" t="n">
        <x:f>C1316*E1316</x:f>
        <x:v>6548.48</x:v>
      </x:c>
      <x:c r="H1316" s="8" t="n">
        <x:f>F1316-G1316</x:f>
        <x:v>7691.52</x:v>
      </x:c>
      <x:c r="I1316" s="10" t="n">
        <x:f>H1316/F1316</x:f>
        <x:v>0.5401348314606742</x:v>
      </x:c>
    </x:row>
    <x:row r="1317" ht="22" customHeight="1">
      <x:c r="A1317" s="11" t="str">
        <x:v>2179</x:v>
      </x:c>
      <x:c r="B1317" s="8" t="str">
        <x:v>Fabrikam Coffee Maker Auto 5C E090 White</x:v>
      </x:c>
      <x:c r="C1317" s="8" t="n">
        <x:v>15</x:v>
      </x:c>
      <x:c r="D1317" s="9" t="n">
        <x:v>163</x:v>
      </x:c>
      <x:c r="E1317" s="9" t="n">
        <x:v>83.1</x:v>
      </x:c>
      <x:c r="F1317" s="8" t="n">
        <x:f>C1317*D1317</x:f>
        <x:v>2445</x:v>
      </x:c>
      <x:c r="G1317" s="8" t="n">
        <x:f>C1317*E1317</x:f>
        <x:v>1246.5</x:v>
      </x:c>
      <x:c r="H1317" s="8" t="n">
        <x:f>F1317-G1317</x:f>
        <x:v>1198.5</x:v>
      </x:c>
      <x:c r="I1317" s="10" t="n">
        <x:f>H1317/F1317</x:f>
        <x:v>0.4901840490797546</x:v>
      </x:c>
    </x:row>
    <x:row r="1318" ht="22" customHeight="1">
      <x:c r="A1318" s="11" t="str">
        <x:v>218</x:v>
      </x:c>
      <x:c r="B1318" s="8" t="str">
        <x:v>Litware Home Theater System 5.1 Channel M513 Silver</x:v>
      </x:c>
      <x:c r="C1318" s="8" t="n">
        <x:v>15</x:v>
      </x:c>
      <x:c r="D1318" s="9" t="n">
        <x:v>689</x:v>
      </x:c>
      <x:c r="E1318" s="9" t="n">
        <x:v>316.85</x:v>
      </x:c>
      <x:c r="F1318" s="8" t="n">
        <x:f>C1318*D1318</x:f>
        <x:v>10335</x:v>
      </x:c>
      <x:c r="G1318" s="8" t="n">
        <x:f>C1318*E1318</x:f>
        <x:v>4752.75</x:v>
      </x:c>
      <x:c r="H1318" s="8" t="n">
        <x:f>F1318-G1318</x:f>
        <x:v>5582.25</x:v>
      </x:c>
      <x:c r="I1318" s="10" t="n">
        <x:f>H1318/F1318</x:f>
        <x:v>0.5401306240928883</x:v>
      </x:c>
    </x:row>
    <x:row r="1319" ht="22" customHeight="1">
      <x:c r="A1319" s="11" t="str">
        <x:v>2180</x:v>
      </x:c>
      <x:c r="B1319" s="8" t="str">
        <x:v>Fabrikam Coffee Maker 5C E090 White</x:v>
      </x:c>
      <x:c r="C1319" s="8" t="n">
        <x:v>54</x:v>
      </x:c>
      <x:c r="D1319" s="9" t="n">
        <x:v>149</x:v>
      </x:c>
      <x:c r="E1319" s="9" t="n">
        <x:v>75.96</x:v>
      </x:c>
      <x:c r="F1319" s="8" t="n">
        <x:f>C1319*D1319</x:f>
        <x:v>8046</x:v>
      </x:c>
      <x:c r="G1319" s="8" t="n">
        <x:f>C1319*E1319</x:f>
        <x:v>4101.839999999999</x:v>
      </x:c>
      <x:c r="H1319" s="8" t="n">
        <x:f>F1319-G1319</x:f>
        <x:v>3944.1600000000008</x:v>
      </x:c>
      <x:c r="I1319" s="10" t="n">
        <x:f>H1319/F1319</x:f>
        <x:v>0.4902013422818793</x:v>
      </x:c>
    </x:row>
    <x:row r="1320" ht="22" customHeight="1">
      <x:c r="A1320" s="11" t="str">
        <x:v>2181</x:v>
      </x:c>
      <x:c r="B1320" s="8" t="str">
        <x:v>Fabrikam Coffee Maker 4C E080 White</x:v>
      </x:c>
      <x:c r="C1320" s="8" t="n">
        <x:v>41</x:v>
      </x:c>
      <x:c r="D1320" s="9" t="n">
        <x:v>129.9</x:v>
      </x:c>
      <x:c r="E1320" s="9" t="n">
        <x:v>66.23</x:v>
      </x:c>
      <x:c r="F1320" s="8" t="n">
        <x:f>C1320*D1320</x:f>
        <x:v>5325.900000000001</x:v>
      </x:c>
      <x:c r="G1320" s="8" t="n">
        <x:f>C1320*E1320</x:f>
        <x:v>2715.4300000000003</x:v>
      </x:c>
      <x:c r="H1320" s="8" t="n">
        <x:f>F1320-G1320</x:f>
        <x:v>2610.4700000000003</x:v>
      </x:c>
      <x:c r="I1320" s="10" t="n">
        <x:f>H1320/F1320</x:f>
        <x:v>0.4901462663587375</x:v>
      </x:c>
    </x:row>
    <x:row r="1321" ht="22" customHeight="1">
      <x:c r="A1321" s="11" t="str">
        <x:v>2182</x:v>
      </x:c>
      <x:c r="B1321" s="8" t="str">
        <x:v>Fabrikam Coffee Maker Super-Auto 12C X125 Grey</x:v>
      </x:c>
      <x:c r="C1321" s="8" t="n">
        <x:v>22</x:v>
      </x:c>
      <x:c r="D1321" s="9" t="n">
        <x:v>1650</x:v>
      </x:c>
      <x:c r="E1321" s="9" t="n">
        <x:v>546.68</x:v>
      </x:c>
      <x:c r="F1321" s="8" t="n">
        <x:f>C1321*D1321</x:f>
        <x:v>36300</x:v>
      </x:c>
      <x:c r="G1321" s="8" t="n">
        <x:f>C1321*E1321</x:f>
        <x:v>12026.96</x:v>
      </x:c>
      <x:c r="H1321" s="8" t="n">
        <x:f>F1321-G1321</x:f>
        <x:v>24273.04</x:v>
      </x:c>
      <x:c r="I1321" s="10" t="n">
        <x:f>H1321/F1321</x:f>
        <x:v>0.6686787878787879</x:v>
      </x:c>
    </x:row>
    <x:row r="1322" ht="22" customHeight="1">
      <x:c r="A1322" s="11" t="str">
        <x:v>2183</x:v>
      </x:c>
      <x:c r="B1322" s="8" t="str">
        <x:v>Fabrikam Coffee Maker Auto 10C M100 Grey</x:v>
      </x:c>
      <x:c r="C1322" s="8" t="n">
        <x:v>28</x:v>
      </x:c>
      <x:c r="D1322" s="9" t="n">
        <x:v>745.99</x:v>
      </x:c>
      <x:c r="E1322" s="9" t="n">
        <x:v>343.05</x:v>
      </x:c>
      <x:c r="F1322" s="8" t="n">
        <x:f>C1322*D1322</x:f>
        <x:v>20887.72</x:v>
      </x:c>
      <x:c r="G1322" s="8" t="n">
        <x:f>C1322*E1322</x:f>
        <x:v>9605.4</x:v>
      </x:c>
      <x:c r="H1322" s="8" t="n">
        <x:f>F1322-G1322</x:f>
        <x:v>11282.320000000002</x:v>
      </x:c>
      <x:c r="I1322" s="10" t="n">
        <x:f>H1322/F1322</x:f>
        <x:v>0.540141288757222</x:v>
      </x:c>
    </x:row>
    <x:row r="1323" ht="22" customHeight="1">
      <x:c r="A1323" s="11" t="str">
        <x:v>2184</x:v>
      </x:c>
      <x:c r="B1323" s="8" t="str">
        <x:v>Fabrikam Coffee Maker 12C M100 Grey</x:v>
      </x:c>
      <x:c r="C1323" s="8" t="n">
        <x:v>20</x:v>
      </x:c>
      <x:c r="D1323" s="9" t="n">
        <x:v>445</x:v>
      </x:c>
      <x:c r="E1323" s="9" t="n">
        <x:v>204.64</x:v>
      </x:c>
      <x:c r="F1323" s="8" t="n">
        <x:f>C1323*D1323</x:f>
        <x:v>8900</x:v>
      </x:c>
      <x:c r="G1323" s="8" t="n">
        <x:f>C1323*E1323</x:f>
        <x:v>4092.7999999999997</x:v>
      </x:c>
      <x:c r="H1323" s="8" t="n">
        <x:f>F1323-G1323</x:f>
        <x:v>4807.200000000001</x:v>
      </x:c>
      <x:c r="I1323" s="10" t="n">
        <x:f>H1323/F1323</x:f>
        <x:v>0.5401348314606742</x:v>
      </x:c>
    </x:row>
    <x:row r="1324" ht="22" customHeight="1">
      <x:c r="A1324" s="11" t="str">
        <x:v>2185</x:v>
      </x:c>
      <x:c r="B1324" s="8" t="str">
        <x:v>Fabrikam Coffee Maker Auto 5C E090 Grey</x:v>
      </x:c>
      <x:c r="C1324" s="8" t="n">
        <x:v>28</x:v>
      </x:c>
      <x:c r="D1324" s="9" t="n">
        <x:v>163</x:v>
      </x:c>
      <x:c r="E1324" s="9" t="n">
        <x:v>83.1</x:v>
      </x:c>
      <x:c r="F1324" s="8" t="n">
        <x:f>C1324*D1324</x:f>
        <x:v>4564</x:v>
      </x:c>
      <x:c r="G1324" s="8" t="n">
        <x:f>C1324*E1324</x:f>
        <x:v>2326.7999999999997</x:v>
      </x:c>
      <x:c r="H1324" s="8" t="n">
        <x:f>F1324-G1324</x:f>
        <x:v>2237.2000000000003</x:v>
      </x:c>
      <x:c r="I1324" s="10" t="n">
        <x:f>H1324/F1324</x:f>
        <x:v>0.49018404907975466</x:v>
      </x:c>
    </x:row>
    <x:row r="1325" ht="22" customHeight="1">
      <x:c r="A1325" s="11" t="str">
        <x:v>2186</x:v>
      </x:c>
      <x:c r="B1325" s="8" t="str">
        <x:v>Fabrikam Coffee Maker 5C E090 Grey</x:v>
      </x:c>
      <x:c r="C1325" s="8" t="n">
        <x:v>51</x:v>
      </x:c>
      <x:c r="D1325" s="9" t="n">
        <x:v>149</x:v>
      </x:c>
      <x:c r="E1325" s="9" t="n">
        <x:v>75.96</x:v>
      </x:c>
      <x:c r="F1325" s="8" t="n">
        <x:f>C1325*D1325</x:f>
        <x:v>7599</x:v>
      </x:c>
      <x:c r="G1325" s="8" t="n">
        <x:f>C1325*E1325</x:f>
        <x:v>3873.9599999999996</x:v>
      </x:c>
      <x:c r="H1325" s="8" t="n">
        <x:f>F1325-G1325</x:f>
        <x:v>3725.0400000000004</x:v>
      </x:c>
      <x:c r="I1325" s="10" t="n">
        <x:f>H1325/F1325</x:f>
        <x:v>0.4902013422818792</x:v>
      </x:c>
    </x:row>
    <x:row r="1326" ht="22" customHeight="1">
      <x:c r="A1326" s="11" t="str">
        <x:v>2187</x:v>
      </x:c>
      <x:c r="B1326" s="8" t="str">
        <x:v>Fabrikam Coffee Maker 4C E080 Grey</x:v>
      </x:c>
      <x:c r="C1326" s="8" t="n">
        <x:v>23</x:v>
      </x:c>
      <x:c r="D1326" s="9" t="n">
        <x:v>129.9</x:v>
      </x:c>
      <x:c r="E1326" s="9" t="n">
        <x:v>66.23</x:v>
      </x:c>
      <x:c r="F1326" s="8" t="n">
        <x:f>C1326*D1326</x:f>
        <x:v>2987.7000000000003</x:v>
      </x:c>
      <x:c r="G1326" s="8" t="n">
        <x:f>C1326*E1326</x:f>
        <x:v>1523.2900000000002</x:v>
      </x:c>
      <x:c r="H1326" s="8" t="n">
        <x:f>F1326-G1326</x:f>
        <x:v>1464.41</x:v>
      </x:c>
      <x:c r="I1326" s="10" t="n">
        <x:f>H1326/F1326</x:f>
        <x:v>0.4901462663587375</x:v>
      </x:c>
    </x:row>
    <x:row r="1327" ht="22" customHeight="1">
      <x:c r="A1327" s="11" t="str">
        <x:v>2188</x:v>
      </x:c>
      <x:c r="B1327" s="8" t="str">
        <x:v>Fabrikam Coffee Maker 12C M100 Gold</x:v>
      </x:c>
      <x:c r="C1327" s="8" t="n">
        <x:v>34</x:v>
      </x:c>
      <x:c r="D1327" s="9" t="n">
        <x:v>445</x:v>
      </x:c>
      <x:c r="E1327" s="9" t="n">
        <x:v>204.64</x:v>
      </x:c>
      <x:c r="F1327" s="8" t="n">
        <x:f>C1327*D1327</x:f>
        <x:v>15130</x:v>
      </x:c>
      <x:c r="G1327" s="8" t="n">
        <x:f>C1327*E1327</x:f>
        <x:v>6957.759999999999</x:v>
      </x:c>
      <x:c r="H1327" s="8" t="n">
        <x:f>F1327-G1327</x:f>
        <x:v>8172.240000000001</x:v>
      </x:c>
      <x:c r="I1327" s="10" t="n">
        <x:f>H1327/F1327</x:f>
        <x:v>0.5401348314606742</x:v>
      </x:c>
    </x:row>
    <x:row r="1328" ht="22" customHeight="1">
      <x:c r="A1328" s="11" t="str">
        <x:v>2189</x:v>
      </x:c>
      <x:c r="B1328" s="8" t="str">
        <x:v>Fabrikam Coffee Maker Auto 5C E090 Gold</x:v>
      </x:c>
      <x:c r="C1328" s="8" t="n">
        <x:v>19</x:v>
      </x:c>
      <x:c r="D1328" s="9" t="n">
        <x:v>163</x:v>
      </x:c>
      <x:c r="E1328" s="9" t="n">
        <x:v>83.1</x:v>
      </x:c>
      <x:c r="F1328" s="8" t="n">
        <x:f>C1328*D1328</x:f>
        <x:v>3097</x:v>
      </x:c>
      <x:c r="G1328" s="8" t="n">
        <x:f>C1328*E1328</x:f>
        <x:v>1578.8999999999999</x:v>
      </x:c>
      <x:c r="H1328" s="8" t="n">
        <x:f>F1328-G1328</x:f>
        <x:v>1518.1000000000001</x:v>
      </x:c>
      <x:c r="I1328" s="10" t="n">
        <x:f>H1328/F1328</x:f>
        <x:v>0.49018404907975466</x:v>
      </x:c>
    </x:row>
    <x:row r="1329" ht="22" customHeight="1">
      <x:c r="A1329" s="11" t="str">
        <x:v>219</x:v>
      </x:c>
      <x:c r="B1329" s="8" t="str">
        <x:v>Litware Home Theater System 7.1 Channel M710 Silver</x:v>
      </x:c>
      <x:c r="C1329" s="8" t="n">
        <x:v>27</x:v>
      </x:c>
      <x:c r="D1329" s="9" t="n">
        <x:v>799</x:v>
      </x:c>
      <x:c r="E1329" s="9" t="n">
        <x:v>264.72</x:v>
      </x:c>
      <x:c r="F1329" s="8" t="n">
        <x:f>C1329*D1329</x:f>
        <x:v>21573</x:v>
      </x:c>
      <x:c r="G1329" s="8" t="n">
        <x:f>C1329*E1329</x:f>
        <x:v>7147.4400000000005</x:v>
      </x:c>
      <x:c r="H1329" s="8" t="n">
        <x:f>F1329-G1329</x:f>
        <x:v>14425.56</x:v>
      </x:c>
      <x:c r="I1329" s="10" t="n">
        <x:f>H1329/F1329</x:f>
        <x:v>0.6686858573216521</x:v>
      </x:c>
    </x:row>
    <x:row r="1330" ht="22" customHeight="1">
      <x:c r="A1330" s="11" t="str">
        <x:v>2192</x:v>
      </x:c>
      <x:c r="B1330" s="8" t="str">
        <x:v>Adventure Works Chandelier M8150 Black</x:v>
      </x:c>
      <x:c r="C1330" s="8" t="n">
        <x:v>1</x:v>
      </x:c>
      <x:c r="D1330" s="9" t="n">
        <x:v>268.5</x:v>
      </x:c>
      <x:c r="E1330" s="9" t="n">
        <x:v>123.47</x:v>
      </x:c>
      <x:c r="F1330" s="8" t="n">
        <x:f>C1330*D1330</x:f>
        <x:v>268.5</x:v>
      </x:c>
      <x:c r="G1330" s="8" t="n">
        <x:f>C1330*E1330</x:f>
        <x:v>123.47</x:v>
      </x:c>
      <x:c r="H1330" s="8" t="n">
        <x:f>F1330-G1330</x:f>
        <x:v>145.03</x:v>
      </x:c>
      <x:c r="I1330" s="10" t="n">
        <x:f>H1330/F1330</x:f>
        <x:v>0.540148975791434</x:v>
      </x:c>
    </x:row>
    <x:row r="1331" ht="22" customHeight="1">
      <x:c r="A1331" s="11" t="str">
        <x:v>2194</x:v>
      </x:c>
      <x:c r="B1331" s="8" t="str">
        <x:v>Adventure Works Wall Lamp E2150 Black</x:v>
      </x:c>
      <x:c r="C1331" s="8" t="n">
        <x:v>4</x:v>
      </x:c>
      <x:c r="D1331" s="9" t="n">
        <x:v>119.99</x:v>
      </x:c>
      <x:c r="E1331" s="9" t="n">
        <x:v>61.17</x:v>
      </x:c>
      <x:c r="F1331" s="8" t="n">
        <x:f>C1331*D1331</x:f>
        <x:v>479.96</x:v>
      </x:c>
      <x:c r="G1331" s="8" t="n">
        <x:f>C1331*E1331</x:f>
        <x:v>244.68</x:v>
      </x:c>
      <x:c r="H1331" s="8" t="n">
        <x:f>F1331-G1331</x:f>
        <x:v>235.27999999999997</x:v>
      </x:c>
      <x:c r="I1331" s="10" t="n">
        <x:f>H1331/F1331</x:f>
        <x:v>0.49020751729310774</x:v>
      </x:c>
    </x:row>
    <x:row r="1332" ht="22" customHeight="1">
      <x:c r="A1332" s="11" t="str">
        <x:v>2195</x:v>
      </x:c>
      <x:c r="B1332" s="8" t="str">
        <x:v>Adventure Works Wall Lamp E3150 Black</x:v>
      </x:c>
      <x:c r="C1332" s="8" t="n">
        <x:v>10</x:v>
      </x:c>
      <x:c r="D1332" s="9" t="n">
        <x:v>101.99</x:v>
      </x:c>
      <x:c r="E1332" s="9" t="n">
        <x:v>52</x:v>
      </x:c>
      <x:c r="F1332" s="8" t="n">
        <x:f>C1332*D1332</x:f>
        <x:v>1019.9</x:v>
      </x:c>
      <x:c r="G1332" s="8" t="n">
        <x:f>C1332*E1332</x:f>
        <x:v>520</x:v>
      </x:c>
      <x:c r="H1332" s="8" t="n">
        <x:f>F1332-G1332</x:f>
        <x:v>499.9</x:v>
      </x:c>
      <x:c r="I1332" s="10" t="n">
        <x:f>H1332/F1332</x:f>
        <x:v>0.4901460927541916</x:v>
      </x:c>
    </x:row>
    <x:row r="1333" ht="22" customHeight="1">
      <x:c r="A1333" s="11" t="str">
        <x:v>2196</x:v>
      </x:c>
      <x:c r="B1333" s="8" t="str">
        <x:v>Adventure Works Desk Lamp E1300 Black</x:v>
      </x:c>
      <x:c r="C1333" s="8" t="n">
        <x:v>1</x:v>
      </x:c>
      <x:c r="D1333" s="9" t="n">
        <x:v>79.95</x:v>
      </x:c>
      <x:c r="E1333" s="9" t="n">
        <x:v>40.76</x:v>
      </x:c>
      <x:c r="F1333" s="8" t="n">
        <x:f>C1333*D1333</x:f>
        <x:v>79.95</x:v>
      </x:c>
      <x:c r="G1333" s="8" t="n">
        <x:f>C1333*E1333</x:f>
        <x:v>40.76</x:v>
      </x:c>
      <x:c r="H1333" s="8" t="n">
        <x:f>F1333-G1333</x:f>
        <x:v>39.190000000000005</x:v>
      </x:c>
      <x:c r="I1333" s="10" t="n">
        <x:f>H1333/F1333</x:f>
        <x:v>0.4901813633520951</x:v>
      </x:c>
    </x:row>
    <x:row r="1334" ht="22" customHeight="1">
      <x:c r="A1334" s="11" t="str">
        <x:v>2197</x:v>
      </x:c>
      <x:c r="B1334" s="8" t="str">
        <x:v>Adventure Works Desk Lamp E1200 Black</x:v>
      </x:c>
      <x:c r="C1334" s="8" t="n">
        <x:v>13</x:v>
      </x:c>
      <x:c r="D1334" s="9" t="n">
        <x:v>29.99</x:v>
      </x:c>
      <x:c r="E1334" s="9" t="n">
        <x:v>15.29</x:v>
      </x:c>
      <x:c r="F1334" s="8" t="n">
        <x:f>C1334*D1334</x:f>
        <x:v>389.87</x:v>
      </x:c>
      <x:c r="G1334" s="8" t="n">
        <x:f>C1334*E1334</x:f>
        <x:v>198.76999999999998</x:v>
      </x:c>
      <x:c r="H1334" s="8" t="n">
        <x:f>F1334-G1334</x:f>
        <x:v>191.10000000000002</x:v>
      </x:c>
      <x:c r="I1334" s="10" t="n">
        <x:f>H1334/F1334</x:f>
        <x:v>0.49016338779593205</x:v>
      </x:c>
    </x:row>
    <x:row r="1335" ht="22" customHeight="1">
      <x:c r="A1335" s="11" t="str">
        <x:v>2198</x:v>
      </x:c>
      <x:c r="B1335" s="8" t="str">
        <x:v>Adventure Works Floor Lamp X1150 White</x:v>
      </x:c>
      <x:c r="C1335" s="8" t="n">
        <x:v>11</x:v>
      </x:c>
      <x:c r="D1335" s="9" t="n">
        <x:v>635.99</x:v>
      </x:c>
      <x:c r="E1335" s="9" t="n">
        <x:v>210.72</x:v>
      </x:c>
      <x:c r="F1335" s="8" t="n">
        <x:f>C1335*D1335</x:f>
        <x:v>6995.89</x:v>
      </x:c>
      <x:c r="G1335" s="8" t="n">
        <x:f>C1335*E1335</x:f>
        <x:v>2317.92</x:v>
      </x:c>
      <x:c r="H1335" s="8" t="n">
        <x:f>F1335-G1335</x:f>
        <x:v>4677.97</x:v>
      </x:c>
      <x:c r="I1335" s="10" t="n">
        <x:f>H1335/F1335</x:f>
        <x:v>0.6686740357552792</x:v>
      </x:c>
    </x:row>
    <x:row r="1336" ht="22" customHeight="1">
      <x:c r="A1336" s="11" t="str">
        <x:v>2199</x:v>
      </x:c>
      <x:c r="B1336" s="8" t="str">
        <x:v>Adventure Works Floor Lamp M2150 White</x:v>
      </x:c>
      <x:c r="C1336" s="8" t="n">
        <x:v>4</x:v>
      </x:c>
      <x:c r="D1336" s="9" t="n">
        <x:v>339</x:v>
      </x:c>
      <x:c r="E1336" s="9" t="n">
        <x:v>155.89</x:v>
      </x:c>
      <x:c r="F1336" s="8" t="n">
        <x:f>C1336*D1336</x:f>
        <x:v>1356</x:v>
      </x:c>
      <x:c r="G1336" s="8" t="n">
        <x:f>C1336*E1336</x:f>
        <x:v>623.56</x:v>
      </x:c>
      <x:c r="H1336" s="8" t="n">
        <x:f>F1336-G1336</x:f>
        <x:v>732.44</x:v>
      </x:c>
      <x:c r="I1336" s="10" t="n">
        <x:f>H1336/F1336</x:f>
        <x:v>0.5401474926253688</x:v>
      </x:c>
    </x:row>
    <x:row r="1337" ht="22" customHeight="1">
      <x:c r="A1337" s="11" t="str">
        <x:v>22</x:v>
      </x:c>
      <x:c r="B1337" s="8" t="str">
        <x:v>Contoso 8GB MP3 Player new model M820 Yellow</x:v>
      </x:c>
      <x:c r="C1337" s="8" t="n">
        <x:v>56</x:v>
      </x:c>
      <x:c r="D1337" s="9" t="n">
        <x:v>134</x:v>
      </x:c>
      <x:c r="E1337" s="9" t="n">
        <x:v>61.62</x:v>
      </x:c>
      <x:c r="F1337" s="8" t="n">
        <x:f>C1337*D1337</x:f>
        <x:v>7504</x:v>
      </x:c>
      <x:c r="G1337" s="8" t="n">
        <x:f>C1337*E1337</x:f>
        <x:v>3450.72</x:v>
      </x:c>
      <x:c r="H1337" s="8" t="n">
        <x:f>F1337-G1337</x:f>
        <x:v>4053.28</x:v>
      </x:c>
      <x:c r="I1337" s="10" t="n">
        <x:f>H1337/F1337</x:f>
        <x:v>0.5401492537313433</x:v>
      </x:c>
    </x:row>
    <x:row r="1338" ht="22" customHeight="1">
      <x:c r="A1338" s="11" t="str">
        <x:v>220</x:v>
      </x:c>
      <x:c r="B1338" s="8" t="str">
        <x:v>Litware Home Theater System 7.1 Channel X711 Silver</x:v>
      </x:c>
      <x:c r="C1338" s="8" t="n">
        <x:v>18</x:v>
      </x:c>
      <x:c r="D1338" s="9" t="n">
        <x:v>1109</x:v>
      </x:c>
      <x:c r="E1338" s="9" t="n">
        <x:v>367.43</x:v>
      </x:c>
      <x:c r="F1338" s="8" t="n">
        <x:f>C1338*D1338</x:f>
        <x:v>19962</x:v>
      </x:c>
      <x:c r="G1338" s="8" t="n">
        <x:f>C1338*E1338</x:f>
        <x:v>6613.74</x:v>
      </x:c>
      <x:c r="H1338" s="8" t="n">
        <x:f>F1338-G1338</x:f>
        <x:v>13348.26</x:v>
      </x:c>
      <x:c r="I1338" s="10" t="n">
        <x:f>H1338/F1338</x:f>
        <x:v>0.6686834986474302</x:v>
      </x:c>
    </x:row>
    <x:row r="1339" ht="22" customHeight="1">
      <x:c r="A1339" s="11" t="str">
        <x:v>2200</x:v>
      </x:c>
      <x:c r="B1339" s="8" t="str">
        <x:v>Adventure Works Chandelier M8150 White</x:v>
      </x:c>
      <x:c r="C1339" s="8" t="n">
        <x:v>2</x:v>
      </x:c>
      <x:c r="D1339" s="9" t="n">
        <x:v>268.5</x:v>
      </x:c>
      <x:c r="E1339" s="9" t="n">
        <x:v>123.47</x:v>
      </x:c>
      <x:c r="F1339" s="8" t="n">
        <x:f>C1339*D1339</x:f>
        <x:v>537</x:v>
      </x:c>
      <x:c r="G1339" s="8" t="n">
        <x:f>C1339*E1339</x:f>
        <x:v>246.94</x:v>
      </x:c>
      <x:c r="H1339" s="8" t="n">
        <x:f>F1339-G1339</x:f>
        <x:v>290.06</x:v>
      </x:c>
      <x:c r="I1339" s="10" t="n">
        <x:f>H1339/F1339</x:f>
        <x:v>0.540148975791434</x:v>
      </x:c>
    </x:row>
    <x:row r="1340" ht="22" customHeight="1">
      <x:c r="A1340" s="11" t="str">
        <x:v>2201</x:v>
      </x:c>
      <x:c r="B1340" s="8" t="str">
        <x:v>Adventure Works Chandelier M6150 White</x:v>
      </x:c>
      <x:c r="C1340" s="8" t="n">
        <x:v>3</x:v>
      </x:c>
      <x:c r="D1340" s="9" t="n">
        <x:v>229.99</x:v>
      </x:c>
      <x:c r="E1340" s="9" t="n">
        <x:v>105.76</x:v>
      </x:c>
      <x:c r="F1340" s="8" t="n">
        <x:f>C1340*D1340</x:f>
        <x:v>689.97</x:v>
      </x:c>
      <x:c r="G1340" s="8" t="n">
        <x:f>C1340*E1340</x:f>
        <x:v>317.28000000000003</x:v>
      </x:c>
      <x:c r="H1340" s="8" t="n">
        <x:f>F1340-G1340</x:f>
        <x:v>372.69</x:v>
      </x:c>
      <x:c r="I1340" s="10" t="n">
        <x:f>H1340/F1340</x:f>
        <x:v>0.5401539197356406</x:v>
      </x:c>
    </x:row>
    <x:row r="1341" ht="22" customHeight="1">
      <x:c r="A1341" s="11" t="str">
        <x:v>2202</x:v>
      </x:c>
      <x:c r="B1341" s="8" t="str">
        <x:v>Adventure Works Wall Lamp E2150 White</x:v>
      </x:c>
      <x:c r="C1341" s="8" t="n">
        <x:v>12</x:v>
      </x:c>
      <x:c r="D1341" s="9" t="n">
        <x:v>119.99</x:v>
      </x:c>
      <x:c r="E1341" s="9" t="n">
        <x:v>61.17</x:v>
      </x:c>
      <x:c r="F1341" s="8" t="n">
        <x:f>C1341*D1341</x:f>
        <x:v>1439.8799999999999</x:v>
      </x:c>
      <x:c r="G1341" s="8" t="n">
        <x:f>C1341*E1341</x:f>
        <x:v>734.04</x:v>
      </x:c>
      <x:c r="H1341" s="8" t="n">
        <x:f>F1341-G1341</x:f>
        <x:v>705.8399999999999</x:v>
      </x:c>
      <x:c r="I1341" s="10" t="n">
        <x:f>H1341/F1341</x:f>
        <x:v>0.49020751729310774</x:v>
      </x:c>
    </x:row>
    <x:row r="1342" ht="22" customHeight="1">
      <x:c r="A1342" s="11" t="str">
        <x:v>2203</x:v>
      </x:c>
      <x:c r="B1342" s="8" t="str">
        <x:v>Adventure Works Wall Lamp E3150 White</x:v>
      </x:c>
      <x:c r="C1342" s="8" t="n">
        <x:v>8</x:v>
      </x:c>
      <x:c r="D1342" s="9" t="n">
        <x:v>101.99</x:v>
      </x:c>
      <x:c r="E1342" s="9" t="n">
        <x:v>52</x:v>
      </x:c>
      <x:c r="F1342" s="8" t="n">
        <x:f>C1342*D1342</x:f>
        <x:v>815.92</x:v>
      </x:c>
      <x:c r="G1342" s="8" t="n">
        <x:f>C1342*E1342</x:f>
        <x:v>416</x:v>
      </x:c>
      <x:c r="H1342" s="8" t="n">
        <x:f>F1342-G1342</x:f>
        <x:v>399.91999999999996</x:v>
      </x:c>
      <x:c r="I1342" s="10" t="n">
        <x:f>H1342/F1342</x:f>
        <x:v>0.4901460927541916</x:v>
      </x:c>
    </x:row>
    <x:row r="1343" ht="22" customHeight="1">
      <x:c r="A1343" s="11" t="str">
        <x:v>2204</x:v>
      </x:c>
      <x:c r="B1343" s="8" t="str">
        <x:v>Adventure Works Desk Lamp E1300 White</x:v>
      </x:c>
      <x:c r="C1343" s="8" t="n">
        <x:v>14</x:v>
      </x:c>
      <x:c r="D1343" s="9" t="n">
        <x:v>79.95</x:v>
      </x:c>
      <x:c r="E1343" s="9" t="n">
        <x:v>40.76</x:v>
      </x:c>
      <x:c r="F1343" s="8" t="n">
        <x:f>C1343*D1343</x:f>
        <x:v>1119.3</x:v>
      </x:c>
      <x:c r="G1343" s="8" t="n">
        <x:f>C1343*E1343</x:f>
        <x:v>570.64</x:v>
      </x:c>
      <x:c r="H1343" s="8" t="n">
        <x:f>F1343-G1343</x:f>
        <x:v>548.66</x:v>
      </x:c>
      <x:c r="I1343" s="10" t="n">
        <x:f>H1343/F1343</x:f>
        <x:v>0.49018136335209506</x:v>
      </x:c>
    </x:row>
    <x:row r="1344" ht="22" customHeight="1">
      <x:c r="A1344" s="11" t="str">
        <x:v>2205</x:v>
      </x:c>
      <x:c r="B1344" s="8" t="str">
        <x:v>Adventure Works Desk Lamp E1200 White</x:v>
      </x:c>
      <x:c r="C1344" s="8" t="n">
        <x:v>16</x:v>
      </x:c>
      <x:c r="D1344" s="9" t="n">
        <x:v>29.99</x:v>
      </x:c>
      <x:c r="E1344" s="9" t="n">
        <x:v>15.29</x:v>
      </x:c>
      <x:c r="F1344" s="8" t="n">
        <x:f>C1344*D1344</x:f>
        <x:v>479.84</x:v>
      </x:c>
      <x:c r="G1344" s="8" t="n">
        <x:f>C1344*E1344</x:f>
        <x:v>244.64</x:v>
      </x:c>
      <x:c r="H1344" s="8" t="n">
        <x:f>F1344-G1344</x:f>
        <x:v>235.2</x:v>
      </x:c>
      <x:c r="I1344" s="10" t="n">
        <x:f>H1344/F1344</x:f>
        <x:v>0.490163387795932</x:v>
      </x:c>
    </x:row>
    <x:row r="1345" ht="22" customHeight="1">
      <x:c r="A1345" s="11" t="str">
        <x:v>2206</x:v>
      </x:c>
      <x:c r="B1345" s="8" t="str">
        <x:v>Adventure Works Floor Lamp X1150 Silver</x:v>
      </x:c>
      <x:c r="C1345" s="8" t="n">
        <x:v>16</x:v>
      </x:c>
      <x:c r="D1345" s="9" t="n">
        <x:v>635.99</x:v>
      </x:c>
      <x:c r="E1345" s="9" t="n">
        <x:v>210.72</x:v>
      </x:c>
      <x:c r="F1345" s="8" t="n">
        <x:f>C1345*D1345</x:f>
        <x:v>10175.84</x:v>
      </x:c>
      <x:c r="G1345" s="8" t="n">
        <x:f>C1345*E1345</x:f>
        <x:v>3371.52</x:v>
      </x:c>
      <x:c r="H1345" s="8" t="n">
        <x:f>F1345-G1345</x:f>
        <x:v>6804.32</x:v>
      </x:c>
      <x:c r="I1345" s="10" t="n">
        <x:f>H1345/F1345</x:f>
        <x:v>0.6686740357552792</x:v>
      </x:c>
    </x:row>
    <x:row r="1346" ht="22" customHeight="1">
      <x:c r="A1346" s="11" t="str">
        <x:v>2207</x:v>
      </x:c>
      <x:c r="B1346" s="8" t="str">
        <x:v>Adventure Works Floor Lamp M2150 Silver</x:v>
      </x:c>
      <x:c r="C1346" s="8" t="n">
        <x:v>11</x:v>
      </x:c>
      <x:c r="D1346" s="9" t="n">
        <x:v>339</x:v>
      </x:c>
      <x:c r="E1346" s="9" t="n">
        <x:v>155.89</x:v>
      </x:c>
      <x:c r="F1346" s="8" t="n">
        <x:f>C1346*D1346</x:f>
        <x:v>3729</x:v>
      </x:c>
      <x:c r="G1346" s="8" t="n">
        <x:f>C1346*E1346</x:f>
        <x:v>1714.79</x:v>
      </x:c>
      <x:c r="H1346" s="8" t="n">
        <x:f>F1346-G1346</x:f>
        <x:v>2014.21</x:v>
      </x:c>
      <x:c r="I1346" s="10" t="n">
        <x:f>H1346/F1346</x:f>
        <x:v>0.5401474926253688</x:v>
      </x:c>
    </x:row>
    <x:row r="1347" ht="22" customHeight="1">
      <x:c r="A1347" s="11" t="str">
        <x:v>2208</x:v>
      </x:c>
      <x:c r="B1347" s="8" t="str">
        <x:v>Adventure Works Chandelier M8150 Silver</x:v>
      </x:c>
      <x:c r="C1347" s="8" t="n">
        <x:v>1</x:v>
      </x:c>
      <x:c r="D1347" s="9" t="n">
        <x:v>268.5</x:v>
      </x:c>
      <x:c r="E1347" s="9" t="n">
        <x:v>123.47</x:v>
      </x:c>
      <x:c r="F1347" s="8" t="n">
        <x:f>C1347*D1347</x:f>
        <x:v>268.5</x:v>
      </x:c>
      <x:c r="G1347" s="8" t="n">
        <x:f>C1347*E1347</x:f>
        <x:v>123.47</x:v>
      </x:c>
      <x:c r="H1347" s="8" t="n">
        <x:f>F1347-G1347</x:f>
        <x:v>145.03</x:v>
      </x:c>
      <x:c r="I1347" s="10" t="n">
        <x:f>H1347/F1347</x:f>
        <x:v>0.540148975791434</x:v>
      </x:c>
    </x:row>
    <x:row r="1348" ht="22" customHeight="1">
      <x:c r="A1348" s="11" t="str">
        <x:v>2209</x:v>
      </x:c>
      <x:c r="B1348" s="8" t="str">
        <x:v>Adventure Works Chandelier M6150 Silver</x:v>
      </x:c>
      <x:c r="C1348" s="8" t="n">
        <x:v>8</x:v>
      </x:c>
      <x:c r="D1348" s="9" t="n">
        <x:v>229.99</x:v>
      </x:c>
      <x:c r="E1348" s="9" t="n">
        <x:v>105.76</x:v>
      </x:c>
      <x:c r="F1348" s="8" t="n">
        <x:f>C1348*D1348</x:f>
        <x:v>1839.92</x:v>
      </x:c>
      <x:c r="G1348" s="8" t="n">
        <x:f>C1348*E1348</x:f>
        <x:v>846.08</x:v>
      </x:c>
      <x:c r="H1348" s="8" t="n">
        <x:f>F1348-G1348</x:f>
        <x:v>993.84</x:v>
      </x:c>
      <x:c r="I1348" s="10" t="n">
        <x:f>H1348/F1348</x:f>
        <x:v>0.5401539197356406</x:v>
      </x:c>
    </x:row>
    <x:row r="1349" ht="22" customHeight="1">
      <x:c r="A1349" s="11" t="str">
        <x:v>221</x:v>
      </x:c>
      <x:c r="B1349" s="8" t="str">
        <x:v>Litware Home Theater System 5.1 Channel M514 Silver</x:v>
      </x:c>
      <x:c r="C1349" s="8" t="n">
        <x:v>3</x:v>
      </x:c>
      <x:c r="D1349" s="9" t="n">
        <x:v>599</x:v>
      </x:c>
      <x:c r="E1349" s="9" t="n">
        <x:v>275.46</x:v>
      </x:c>
      <x:c r="F1349" s="8" t="n">
        <x:f>C1349*D1349</x:f>
        <x:v>1797</x:v>
      </x:c>
      <x:c r="G1349" s="8" t="n">
        <x:f>C1349*E1349</x:f>
        <x:v>826.3799999999999</x:v>
      </x:c>
      <x:c r="H1349" s="8" t="n">
        <x:f>F1349-G1349</x:f>
        <x:v>970.6200000000001</x:v>
      </x:c>
      <x:c r="I1349" s="10" t="n">
        <x:f>H1349/F1349</x:f>
        <x:v>0.5401335559265443</x:v>
      </x:c>
    </x:row>
    <x:row r="1350" ht="22" customHeight="1">
      <x:c r="A1350" s="11" t="str">
        <x:v>2210</x:v>
      </x:c>
      <x:c r="B1350" s="8" t="str">
        <x:v>Adventure Works Wall Lamp E2150 Silver</x:v>
      </x:c>
      <x:c r="C1350" s="8" t="n">
        <x:v>26</x:v>
      </x:c>
      <x:c r="D1350" s="9" t="n">
        <x:v>119.99</x:v>
      </x:c>
      <x:c r="E1350" s="9" t="n">
        <x:v>61.17</x:v>
      </x:c>
      <x:c r="F1350" s="8" t="n">
        <x:f>C1350*D1350</x:f>
        <x:v>3119.74</x:v>
      </x:c>
      <x:c r="G1350" s="8" t="n">
        <x:f>C1350*E1350</x:f>
        <x:v>1590.42</x:v>
      </x:c>
      <x:c r="H1350" s="8" t="n">
        <x:f>F1350-G1350</x:f>
        <x:v>1529.3199999999997</x:v>
      </x:c>
      <x:c r="I1350" s="10" t="n">
        <x:f>H1350/F1350</x:f>
        <x:v>0.4902075172931077</x:v>
      </x:c>
    </x:row>
    <x:row r="1351" ht="22" customHeight="1">
      <x:c r="A1351" s="11" t="str">
        <x:v>2213</x:v>
      </x:c>
      <x:c r="B1351" s="8" t="str">
        <x:v>Adventure Works Desk Lamp E1200 Silver</x:v>
      </x:c>
      <x:c r="C1351" s="8" t="n">
        <x:v>10</x:v>
      </x:c>
      <x:c r="D1351" s="9" t="n">
        <x:v>29.99</x:v>
      </x:c>
      <x:c r="E1351" s="9" t="n">
        <x:v>15.29</x:v>
      </x:c>
      <x:c r="F1351" s="8" t="n">
        <x:f>C1351*D1351</x:f>
        <x:v>299.9</x:v>
      </x:c>
      <x:c r="G1351" s="8" t="n">
        <x:f>C1351*E1351</x:f>
        <x:v>152.89999999999998</x:v>
      </x:c>
      <x:c r="H1351" s="8" t="n">
        <x:f>F1351-G1351</x:f>
        <x:v>147</x:v>
      </x:c>
      <x:c r="I1351" s="10" t="n">
        <x:f>H1351/F1351</x:f>
        <x:v>0.490163387795932</x:v>
      </x:c>
    </x:row>
    <x:row r="1352" ht="22" customHeight="1">
      <x:c r="A1352" s="11" t="str">
        <x:v>2215</x:v>
      </x:c>
      <x:c r="B1352" s="8" t="str">
        <x:v>Adventure Works Floor Lamp M2150 Grey</x:v>
      </x:c>
      <x:c r="C1352" s="8" t="n">
        <x:v>10</x:v>
      </x:c>
      <x:c r="D1352" s="9" t="n">
        <x:v>339</x:v>
      </x:c>
      <x:c r="E1352" s="9" t="n">
        <x:v>155.89</x:v>
      </x:c>
      <x:c r="F1352" s="8" t="n">
        <x:f>C1352*D1352</x:f>
        <x:v>3390</x:v>
      </x:c>
      <x:c r="G1352" s="8" t="n">
        <x:f>C1352*E1352</x:f>
        <x:v>1558.8999999999999</x:v>
      </x:c>
      <x:c r="H1352" s="8" t="n">
        <x:f>F1352-G1352</x:f>
        <x:v>1831.1000000000001</x:v>
      </x:c>
      <x:c r="I1352" s="10" t="n">
        <x:f>H1352/F1352</x:f>
        <x:v>0.5401474926253688</x:v>
      </x:c>
    </x:row>
    <x:row r="1353" ht="22" customHeight="1">
      <x:c r="A1353" s="11" t="str">
        <x:v>2216</x:v>
      </x:c>
      <x:c r="B1353" s="8" t="str">
        <x:v>Adventure Works Chandelier M8150 Grey</x:v>
      </x:c>
      <x:c r="C1353" s="8" t="n">
        <x:v>14</x:v>
      </x:c>
      <x:c r="D1353" s="9" t="n">
        <x:v>268.5</x:v>
      </x:c>
      <x:c r="E1353" s="9" t="n">
        <x:v>123.47</x:v>
      </x:c>
      <x:c r="F1353" s="8" t="n">
        <x:f>C1353*D1353</x:f>
        <x:v>3759</x:v>
      </x:c>
      <x:c r="G1353" s="8" t="n">
        <x:f>C1353*E1353</x:f>
        <x:v>1728.58</x:v>
      </x:c>
      <x:c r="H1353" s="8" t="n">
        <x:f>F1353-G1353</x:f>
        <x:v>2030.42</x:v>
      </x:c>
      <x:c r="I1353" s="10" t="n">
        <x:f>H1353/F1353</x:f>
        <x:v>0.540148975791434</x:v>
      </x:c>
    </x:row>
    <x:row r="1354" ht="22" customHeight="1">
      <x:c r="A1354" s="11" t="str">
        <x:v>2217</x:v>
      </x:c>
      <x:c r="B1354" s="8" t="str">
        <x:v>Adventure Works Chandelier M6150 Grey</x:v>
      </x:c>
      <x:c r="C1354" s="8" t="n">
        <x:v>4</x:v>
      </x:c>
      <x:c r="D1354" s="9" t="n">
        <x:v>229.99</x:v>
      </x:c>
      <x:c r="E1354" s="9" t="n">
        <x:v>105.76</x:v>
      </x:c>
      <x:c r="F1354" s="8" t="n">
        <x:f>C1354*D1354</x:f>
        <x:v>919.96</x:v>
      </x:c>
      <x:c r="G1354" s="8" t="n">
        <x:f>C1354*E1354</x:f>
        <x:v>423.04</x:v>
      </x:c>
      <x:c r="H1354" s="8" t="n">
        <x:f>F1354-G1354</x:f>
        <x:v>496.92</x:v>
      </x:c>
      <x:c r="I1354" s="10" t="n">
        <x:f>H1354/F1354</x:f>
        <x:v>0.5401539197356406</x:v>
      </x:c>
    </x:row>
    <x:row r="1355" ht="22" customHeight="1">
      <x:c r="A1355" s="11" t="str">
        <x:v>2218</x:v>
      </x:c>
      <x:c r="B1355" s="8" t="str">
        <x:v>Adventure Works Wall Lamp E2150 Grey</x:v>
      </x:c>
      <x:c r="C1355" s="8" t="n">
        <x:v>7</x:v>
      </x:c>
      <x:c r="D1355" s="9" t="n">
        <x:v>119.99</x:v>
      </x:c>
      <x:c r="E1355" s="9" t="n">
        <x:v>61.17</x:v>
      </x:c>
      <x:c r="F1355" s="8" t="n">
        <x:f>C1355*D1355</x:f>
        <x:v>839.93</x:v>
      </x:c>
      <x:c r="G1355" s="8" t="n">
        <x:f>C1355*E1355</x:f>
        <x:v>428.19</x:v>
      </x:c>
      <x:c r="H1355" s="8" t="n">
        <x:f>F1355-G1355</x:f>
        <x:v>411.73999999999995</x:v>
      </x:c>
      <x:c r="I1355" s="10" t="n">
        <x:f>H1355/F1355</x:f>
        <x:v>0.49020751729310774</x:v>
      </x:c>
    </x:row>
    <x:row r="1356" ht="22" customHeight="1">
      <x:c r="A1356" s="11" t="str">
        <x:v>222</x:v>
      </x:c>
      <x:c r="B1356" s="8" t="str">
        <x:v>Litware Home Theater System 5.1 Channel M515 Silver</x:v>
      </x:c>
      <x:c r="C1356" s="8" t="n">
        <x:v>19</x:v>
      </x:c>
      <x:c r="D1356" s="9" t="n">
        <x:v>569</x:v>
      </x:c>
      <x:c r="E1356" s="9" t="n">
        <x:v>261.66</x:v>
      </x:c>
      <x:c r="F1356" s="8" t="n">
        <x:f>C1356*D1356</x:f>
        <x:v>10811</x:v>
      </x:c>
      <x:c r="G1356" s="8" t="n">
        <x:f>C1356*E1356</x:f>
        <x:v>4971.540000000001</x:v>
      </x:c>
      <x:c r="H1356" s="8" t="n">
        <x:f>F1356-G1356</x:f>
        <x:v>5839.459999999999</x:v>
      </x:c>
      <x:c r="I1356" s="10" t="n">
        <x:f>H1356/F1356</x:f>
        <x:v>0.540140597539543</x:v>
      </x:c>
    </x:row>
    <x:row r="1357" ht="22" customHeight="1">
      <x:c r="A1357" s="11" t="str">
        <x:v>2221</x:v>
      </x:c>
      <x:c r="B1357" s="8" t="str">
        <x:v>Adventure Works Desk Lamp E1200 Grey</x:v>
      </x:c>
      <x:c r="C1357" s="8" t="n">
        <x:v>7</x:v>
      </x:c>
      <x:c r="D1357" s="9" t="n">
        <x:v>29.99</x:v>
      </x:c>
      <x:c r="E1357" s="9" t="n">
        <x:v>15.29</x:v>
      </x:c>
      <x:c r="F1357" s="8" t="n">
        <x:f>C1357*D1357</x:f>
        <x:v>209.92999999999998</x:v>
      </x:c>
      <x:c r="G1357" s="8" t="n">
        <x:f>C1357*E1357</x:f>
        <x:v>107.03</x:v>
      </x:c>
      <x:c r="H1357" s="8" t="n">
        <x:f>F1357-G1357</x:f>
        <x:v>102.89999999999998</x:v>
      </x:c>
      <x:c r="I1357" s="10" t="n">
        <x:f>H1357/F1357</x:f>
        <x:v>0.49016338779593194</x:v>
      </x:c>
    </x:row>
    <x:row r="1358" ht="22" customHeight="1">
      <x:c r="A1358" s="11" t="str">
        <x:v>2222</x:v>
      </x:c>
      <x:c r="B1358" s="8" t="str">
        <x:v>Adventure Works Floor Lamp X1150 Blue</x:v>
      </x:c>
      <x:c r="C1358" s="8" t="n">
        <x:v>2</x:v>
      </x:c>
      <x:c r="D1358" s="9" t="n">
        <x:v>635.99</x:v>
      </x:c>
      <x:c r="E1358" s="9" t="n">
        <x:v>210.72</x:v>
      </x:c>
      <x:c r="F1358" s="8" t="n">
        <x:f>C1358*D1358</x:f>
        <x:v>1271.98</x:v>
      </x:c>
      <x:c r="G1358" s="8" t="n">
        <x:f>C1358*E1358</x:f>
        <x:v>421.44</x:v>
      </x:c>
      <x:c r="H1358" s="8" t="n">
        <x:f>F1358-G1358</x:f>
        <x:v>850.54</x:v>
      </x:c>
      <x:c r="I1358" s="10" t="n">
        <x:f>H1358/F1358</x:f>
        <x:v>0.6686740357552792</x:v>
      </x:c>
    </x:row>
    <x:row r="1359" ht="22" customHeight="1">
      <x:c r="A1359" s="11" t="str">
        <x:v>2223</x:v>
      </x:c>
      <x:c r="B1359" s="8" t="str">
        <x:v>Adventure Works Floor Lamp M2150 Blue</x:v>
      </x:c>
      <x:c r="C1359" s="8" t="n">
        <x:v>23</x:v>
      </x:c>
      <x:c r="D1359" s="9" t="n">
        <x:v>339</x:v>
      </x:c>
      <x:c r="E1359" s="9" t="n">
        <x:v>155.89</x:v>
      </x:c>
      <x:c r="F1359" s="8" t="n">
        <x:f>C1359*D1359</x:f>
        <x:v>7797</x:v>
      </x:c>
      <x:c r="G1359" s="8" t="n">
        <x:f>C1359*E1359</x:f>
        <x:v>3585.47</x:v>
      </x:c>
      <x:c r="H1359" s="8" t="n">
        <x:f>F1359-G1359</x:f>
        <x:v>4211.530000000001</x:v>
      </x:c>
      <x:c r="I1359" s="10" t="n">
        <x:f>H1359/F1359</x:f>
        <x:v>0.5401474926253688</x:v>
      </x:c>
    </x:row>
    <x:row r="1360" ht="22" customHeight="1">
      <x:c r="A1360" s="11" t="str">
        <x:v>2224</x:v>
      </x:c>
      <x:c r="B1360" s="8" t="str">
        <x:v>Adventure Works Chandelier M8150 Blue</x:v>
      </x:c>
      <x:c r="C1360" s="8" t="n">
        <x:v>11</x:v>
      </x:c>
      <x:c r="D1360" s="9" t="n">
        <x:v>268.5</x:v>
      </x:c>
      <x:c r="E1360" s="9" t="n">
        <x:v>123.47</x:v>
      </x:c>
      <x:c r="F1360" s="8" t="n">
        <x:f>C1360*D1360</x:f>
        <x:v>2953.5</x:v>
      </x:c>
      <x:c r="G1360" s="8" t="n">
        <x:f>C1360*E1360</x:f>
        <x:v>1358.17</x:v>
      </x:c>
      <x:c r="H1360" s="8" t="n">
        <x:f>F1360-G1360</x:f>
        <x:v>1595.33</x:v>
      </x:c>
      <x:c r="I1360" s="10" t="n">
        <x:f>H1360/F1360</x:f>
        <x:v>0.5401489757914338</x:v>
      </x:c>
    </x:row>
    <x:row r="1361" ht="22" customHeight="1">
      <x:c r="A1361" s="11" t="str">
        <x:v>2225</x:v>
      </x:c>
      <x:c r="B1361" s="8" t="str">
        <x:v>Adventure Works Chandelier M6150 Blue</x:v>
      </x:c>
      <x:c r="C1361" s="8" t="n">
        <x:v>14</x:v>
      </x:c>
      <x:c r="D1361" s="9" t="n">
        <x:v>229.99</x:v>
      </x:c>
      <x:c r="E1361" s="9" t="n">
        <x:v>105.76</x:v>
      </x:c>
      <x:c r="F1361" s="8" t="n">
        <x:f>C1361*D1361</x:f>
        <x:v>3219.86</x:v>
      </x:c>
      <x:c r="G1361" s="8" t="n">
        <x:f>C1361*E1361</x:f>
        <x:v>1480.64</x:v>
      </x:c>
      <x:c r="H1361" s="8" t="n">
        <x:f>F1361-G1361</x:f>
        <x:v>1739.22</x:v>
      </x:c>
      <x:c r="I1361" s="10" t="n">
        <x:f>H1361/F1361</x:f>
        <x:v>0.5401539197356406</x:v>
      </x:c>
    </x:row>
    <x:row r="1362" ht="22" customHeight="1">
      <x:c r="A1362" s="11" t="str">
        <x:v>2226</x:v>
      </x:c>
      <x:c r="B1362" s="8" t="str">
        <x:v>Adventure Works Wall Lamp E2150 Blue</x:v>
      </x:c>
      <x:c r="C1362" s="8" t="n">
        <x:v>10</x:v>
      </x:c>
      <x:c r="D1362" s="9" t="n">
        <x:v>119.99</x:v>
      </x:c>
      <x:c r="E1362" s="9" t="n">
        <x:v>61.17</x:v>
      </x:c>
      <x:c r="F1362" s="8" t="n">
        <x:f>C1362*D1362</x:f>
        <x:v>1199.8999999999999</x:v>
      </x:c>
      <x:c r="G1362" s="8" t="n">
        <x:f>C1362*E1362</x:f>
        <x:v>611.7</x:v>
      </x:c>
      <x:c r="H1362" s="8" t="n">
        <x:f>F1362-G1362</x:f>
        <x:v>588.1999999999998</x:v>
      </x:c>
      <x:c r="I1362" s="10" t="n">
        <x:f>H1362/F1362</x:f>
        <x:v>0.4902075172931077</x:v>
      </x:c>
    </x:row>
    <x:row r="1363" ht="22" customHeight="1">
      <x:c r="A1363" s="11" t="str">
        <x:v>2227</x:v>
      </x:c>
      <x:c r="B1363" s="8" t="str">
        <x:v>Adventure Works Wall Lamp E3150 Blue</x:v>
      </x:c>
      <x:c r="C1363" s="8" t="n">
        <x:v>7</x:v>
      </x:c>
      <x:c r="D1363" s="9" t="n">
        <x:v>101.99</x:v>
      </x:c>
      <x:c r="E1363" s="9" t="n">
        <x:v>52</x:v>
      </x:c>
      <x:c r="F1363" s="8" t="n">
        <x:f>C1363*D1363</x:f>
        <x:v>713.93</x:v>
      </x:c>
      <x:c r="G1363" s="8" t="n">
        <x:f>C1363*E1363</x:f>
        <x:v>364</x:v>
      </x:c>
      <x:c r="H1363" s="8" t="n">
        <x:f>F1363-G1363</x:f>
        <x:v>349.92999999999995</x:v>
      </x:c>
      <x:c r="I1363" s="10" t="n">
        <x:f>H1363/F1363</x:f>
        <x:v>0.4901460927541916</x:v>
      </x:c>
    </x:row>
    <x:row r="1364" ht="22" customHeight="1">
      <x:c r="A1364" s="11" t="str">
        <x:v>2228</x:v>
      </x:c>
      <x:c r="B1364" s="8" t="str">
        <x:v>Adventure Works Desk Lamp E1300 Blue</x:v>
      </x:c>
      <x:c r="C1364" s="8" t="n">
        <x:v>15</x:v>
      </x:c>
      <x:c r="D1364" s="9" t="n">
        <x:v>79.95</x:v>
      </x:c>
      <x:c r="E1364" s="9" t="n">
        <x:v>40.76</x:v>
      </x:c>
      <x:c r="F1364" s="8" t="n">
        <x:f>C1364*D1364</x:f>
        <x:v>1199.25</x:v>
      </x:c>
      <x:c r="G1364" s="8" t="n">
        <x:f>C1364*E1364</x:f>
        <x:v>611.4</x:v>
      </x:c>
      <x:c r="H1364" s="8" t="n">
        <x:f>F1364-G1364</x:f>
        <x:v>587.85</x:v>
      </x:c>
      <x:c r="I1364" s="10" t="n">
        <x:f>H1364/F1364</x:f>
        <x:v>0.49018136335209506</x:v>
      </x:c>
    </x:row>
    <x:row r="1365" ht="22" customHeight="1">
      <x:c r="A1365" s="11" t="str">
        <x:v>223</x:v>
      </x:c>
      <x:c r="B1365" s="8" t="str">
        <x:v>Litware Home Theater System 5.1 Channel M516 Silver</x:v>
      </x:c>
      <x:c r="C1365" s="8" t="n">
        <x:v>19</x:v>
      </x:c>
      <x:c r="D1365" s="9" t="n">
        <x:v>579</x:v>
      </x:c>
      <x:c r="E1365" s="9" t="n">
        <x:v>266.26</x:v>
      </x:c>
      <x:c r="F1365" s="8" t="n">
        <x:f>C1365*D1365</x:f>
        <x:v>11001</x:v>
      </x:c>
      <x:c r="G1365" s="8" t="n">
        <x:f>C1365*E1365</x:f>
        <x:v>5058.94</x:v>
      </x:c>
      <x:c r="H1365" s="8" t="n">
        <x:f>F1365-G1365</x:f>
        <x:v>5942.06</x:v>
      </x:c>
      <x:c r="I1365" s="10" t="n">
        <x:f>H1365/F1365</x:f>
        <x:v>0.5401381692573403</x:v>
      </x:c>
    </x:row>
    <x:row r="1366" ht="22" customHeight="1">
      <x:c r="A1366" s="11" t="str">
        <x:v>2231</x:v>
      </x:c>
      <x:c r="B1366" s="8" t="str">
        <x:v>WWI Floor Lamp M215 Black</x:v>
      </x:c>
      <x:c r="C1366" s="8" t="n">
        <x:v>18</x:v>
      </x:c>
      <x:c r="D1366" s="9" t="n">
        <x:v>339</x:v>
      </x:c>
      <x:c r="E1366" s="9" t="n">
        <x:v>155.89</x:v>
      </x:c>
      <x:c r="F1366" s="8" t="n">
        <x:f>C1366*D1366</x:f>
        <x:v>6102</x:v>
      </x:c>
      <x:c r="G1366" s="8" t="n">
        <x:f>C1366*E1366</x:f>
        <x:v>2806.0199999999995</x:v>
      </x:c>
      <x:c r="H1366" s="8" t="n">
        <x:f>F1366-G1366</x:f>
        <x:v>3295.9800000000005</x:v>
      </x:c>
      <x:c r="I1366" s="10" t="n">
        <x:f>H1366/F1366</x:f>
        <x:v>0.5401474926253688</x:v>
      </x:c>
    </x:row>
    <x:row r="1367" ht="22" customHeight="1">
      <x:c r="A1367" s="11" t="str">
        <x:v>2232</x:v>
      </x:c>
      <x:c r="B1367" s="8" t="str">
        <x:v>WWI Chandelier M815 Black</x:v>
      </x:c>
      <x:c r="C1367" s="8" t="n">
        <x:v>2</x:v>
      </x:c>
      <x:c r="D1367" s="9" t="n">
        <x:v>268.5</x:v>
      </x:c>
      <x:c r="E1367" s="9" t="n">
        <x:v>123.47</x:v>
      </x:c>
      <x:c r="F1367" s="8" t="n">
        <x:f>C1367*D1367</x:f>
        <x:v>537</x:v>
      </x:c>
      <x:c r="G1367" s="8" t="n">
        <x:f>C1367*E1367</x:f>
        <x:v>246.94</x:v>
      </x:c>
      <x:c r="H1367" s="8" t="n">
        <x:f>F1367-G1367</x:f>
        <x:v>290.06</x:v>
      </x:c>
      <x:c r="I1367" s="10" t="n">
        <x:f>H1367/F1367</x:f>
        <x:v>0.540148975791434</x:v>
      </x:c>
    </x:row>
    <x:row r="1368" ht="22" customHeight="1">
      <x:c r="A1368" s="11" t="str">
        <x:v>2233</x:v>
      </x:c>
      <x:c r="B1368" s="8" t="str">
        <x:v>WWI Chandelier M615 Black</x:v>
      </x:c>
      <x:c r="C1368" s="8" t="n">
        <x:v>2</x:v>
      </x:c>
      <x:c r="D1368" s="9" t="n">
        <x:v>229.99</x:v>
      </x:c>
      <x:c r="E1368" s="9" t="n">
        <x:v>105.76</x:v>
      </x:c>
      <x:c r="F1368" s="8" t="n">
        <x:f>C1368*D1368</x:f>
        <x:v>459.98</x:v>
      </x:c>
      <x:c r="G1368" s="8" t="n">
        <x:f>C1368*E1368</x:f>
        <x:v>211.52</x:v>
      </x:c>
      <x:c r="H1368" s="8" t="n">
        <x:f>F1368-G1368</x:f>
        <x:v>248.46</x:v>
      </x:c>
      <x:c r="I1368" s="10" t="n">
        <x:f>H1368/F1368</x:f>
        <x:v>0.5401539197356406</x:v>
      </x:c>
    </x:row>
    <x:row r="1369" ht="22" customHeight="1">
      <x:c r="A1369" s="11" t="str">
        <x:v>2235</x:v>
      </x:c>
      <x:c r="B1369" s="8" t="str">
        <x:v>WWI Wall Lamp E315 Black</x:v>
      </x:c>
      <x:c r="C1369" s="8" t="n">
        <x:v>4</x:v>
      </x:c>
      <x:c r="D1369" s="9" t="n">
        <x:v>101.99</x:v>
      </x:c>
      <x:c r="E1369" s="9" t="n">
        <x:v>52</x:v>
      </x:c>
      <x:c r="F1369" s="8" t="n">
        <x:f>C1369*D1369</x:f>
        <x:v>407.96</x:v>
      </x:c>
      <x:c r="G1369" s="8" t="n">
        <x:f>C1369*E1369</x:f>
        <x:v>208</x:v>
      </x:c>
      <x:c r="H1369" s="8" t="n">
        <x:f>F1369-G1369</x:f>
        <x:v>199.95999999999998</x:v>
      </x:c>
      <x:c r="I1369" s="10" t="n">
        <x:f>H1369/F1369</x:f>
        <x:v>0.4901460927541916</x:v>
      </x:c>
    </x:row>
    <x:row r="1370" ht="22" customHeight="1">
      <x:c r="A1370" s="11" t="str">
        <x:v>2236</x:v>
      </x:c>
      <x:c r="B1370" s="8" t="str">
        <x:v>WWI Desk Lamp E130 Black</x:v>
      </x:c>
      <x:c r="C1370" s="8" t="n">
        <x:v>8</x:v>
      </x:c>
      <x:c r="D1370" s="9" t="n">
        <x:v>79.95</x:v>
      </x:c>
      <x:c r="E1370" s="9" t="n">
        <x:v>40.76</x:v>
      </x:c>
      <x:c r="F1370" s="8" t="n">
        <x:f>C1370*D1370</x:f>
        <x:v>639.6</x:v>
      </x:c>
      <x:c r="G1370" s="8" t="n">
        <x:f>C1370*E1370</x:f>
        <x:v>326.08</x:v>
      </x:c>
      <x:c r="H1370" s="8" t="n">
        <x:f>F1370-G1370</x:f>
        <x:v>313.52000000000004</x:v>
      </x:c>
      <x:c r="I1370" s="10" t="n">
        <x:f>H1370/F1370</x:f>
        <x:v>0.4901813633520951</x:v>
      </x:c>
    </x:row>
    <x:row r="1371" ht="22" customHeight="1">
      <x:c r="A1371" s="11" t="str">
        <x:v>2237</x:v>
      </x:c>
      <x:c r="B1371" s="8" t="str">
        <x:v>WWI Desk Lamp E120 Black</x:v>
      </x:c>
      <x:c r="C1371" s="8" t="n">
        <x:v>3</x:v>
      </x:c>
      <x:c r="D1371" s="9" t="n">
        <x:v>29.99</x:v>
      </x:c>
      <x:c r="E1371" s="9" t="n">
        <x:v>15.29</x:v>
      </x:c>
      <x:c r="F1371" s="8" t="n">
        <x:f>C1371*D1371</x:f>
        <x:v>89.97</x:v>
      </x:c>
      <x:c r="G1371" s="8" t="n">
        <x:f>C1371*E1371</x:f>
        <x:v>45.87</x:v>
      </x:c>
      <x:c r="H1371" s="8" t="n">
        <x:f>F1371-G1371</x:f>
        <x:v>44.1</x:v>
      </x:c>
      <x:c r="I1371" s="10" t="n">
        <x:f>H1371/F1371</x:f>
        <x:v>0.490163387795932</x:v>
      </x:c>
    </x:row>
    <x:row r="1372" ht="22" customHeight="1">
      <x:c r="A1372" s="11" t="str">
        <x:v>2238</x:v>
      </x:c>
      <x:c r="B1372" s="8" t="str">
        <x:v>WWI Floor Lamp X115 White</x:v>
      </x:c>
      <x:c r="C1372" s="8" t="n">
        <x:v>7</x:v>
      </x:c>
      <x:c r="D1372" s="9" t="n">
        <x:v>635.99</x:v>
      </x:c>
      <x:c r="E1372" s="9" t="n">
        <x:v>210.72</x:v>
      </x:c>
      <x:c r="F1372" s="8" t="n">
        <x:f>C1372*D1372</x:f>
        <x:v>4451.93</x:v>
      </x:c>
      <x:c r="G1372" s="8" t="n">
        <x:f>C1372*E1372</x:f>
        <x:v>1475.04</x:v>
      </x:c>
      <x:c r="H1372" s="8" t="n">
        <x:f>F1372-G1372</x:f>
        <x:v>2976.8900000000003</x:v>
      </x:c>
      <x:c r="I1372" s="10" t="n">
        <x:f>H1372/F1372</x:f>
        <x:v>0.6686740357552792</x:v>
      </x:c>
    </x:row>
    <x:row r="1373" ht="22" customHeight="1">
      <x:c r="A1373" s="11" t="str">
        <x:v>2239</x:v>
      </x:c>
      <x:c r="B1373" s="8" t="str">
        <x:v>WWI Floor Lamp M215 White</x:v>
      </x:c>
      <x:c r="C1373" s="8" t="n">
        <x:v>6</x:v>
      </x:c>
      <x:c r="D1373" s="9" t="n">
        <x:v>339</x:v>
      </x:c>
      <x:c r="E1373" s="9" t="n">
        <x:v>155.89</x:v>
      </x:c>
      <x:c r="F1373" s="8" t="n">
        <x:f>C1373*D1373</x:f>
        <x:v>2034</x:v>
      </x:c>
      <x:c r="G1373" s="8" t="n">
        <x:f>C1373*E1373</x:f>
        <x:v>935.3399999999999</x:v>
      </x:c>
      <x:c r="H1373" s="8" t="n">
        <x:f>F1373-G1373</x:f>
        <x:v>1098.66</x:v>
      </x:c>
      <x:c r="I1373" s="10" t="n">
        <x:f>H1373/F1373</x:f>
        <x:v>0.5401474926253688</x:v>
      </x:c>
    </x:row>
    <x:row r="1374" ht="22" customHeight="1">
      <x:c r="A1374" s="11" t="str">
        <x:v>224</x:v>
      </x:c>
      <x:c r="B1374" s="8" t="str">
        <x:v>Litware Home Theater System 4.1 Channel M410 Brown</x:v>
      </x:c>
      <x:c r="C1374" s="8" t="n">
        <x:v>4</x:v>
      </x:c>
      <x:c r="D1374" s="9" t="n">
        <x:v>599</x:v>
      </x:c>
      <x:c r="E1374" s="9" t="n">
        <x:v>275.46</x:v>
      </x:c>
      <x:c r="F1374" s="8" t="n">
        <x:f>C1374*D1374</x:f>
        <x:v>2396</x:v>
      </x:c>
      <x:c r="G1374" s="8" t="n">
        <x:f>C1374*E1374</x:f>
        <x:v>1101.84</x:v>
      </x:c>
      <x:c r="H1374" s="8" t="n">
        <x:f>F1374-G1374</x:f>
        <x:v>1294.16</x:v>
      </x:c>
      <x:c r="I1374" s="10" t="n">
        <x:f>H1374/F1374</x:f>
        <x:v>0.5401335559265443</x:v>
      </x:c>
    </x:row>
    <x:row r="1375" ht="22" customHeight="1">
      <x:c r="A1375" s="11" t="str">
        <x:v>2240</x:v>
      </x:c>
      <x:c r="B1375" s="8" t="str">
        <x:v>WWI Chandelier M815 White</x:v>
      </x:c>
      <x:c r="C1375" s="8" t="n">
        <x:v>10</x:v>
      </x:c>
      <x:c r="D1375" s="9" t="n">
        <x:v>268.5</x:v>
      </x:c>
      <x:c r="E1375" s="9" t="n">
        <x:v>123.47</x:v>
      </x:c>
      <x:c r="F1375" s="8" t="n">
        <x:f>C1375*D1375</x:f>
        <x:v>2685</x:v>
      </x:c>
      <x:c r="G1375" s="8" t="n">
        <x:f>C1375*E1375</x:f>
        <x:v>1234.7</x:v>
      </x:c>
      <x:c r="H1375" s="8" t="n">
        <x:f>F1375-G1375</x:f>
        <x:v>1450.3</x:v>
      </x:c>
      <x:c r="I1375" s="10" t="n">
        <x:f>H1375/F1375</x:f>
        <x:v>0.5401489757914338</x:v>
      </x:c>
    </x:row>
    <x:row r="1376" ht="22" customHeight="1">
      <x:c r="A1376" s="11" t="str">
        <x:v>2241</x:v>
      </x:c>
      <x:c r="B1376" s="8" t="str">
        <x:v>WWI Chandelier M615 White</x:v>
      </x:c>
      <x:c r="C1376" s="8" t="n">
        <x:v>2</x:v>
      </x:c>
      <x:c r="D1376" s="9" t="n">
        <x:v>229.99</x:v>
      </x:c>
      <x:c r="E1376" s="9" t="n">
        <x:v>105.76</x:v>
      </x:c>
      <x:c r="F1376" s="8" t="n">
        <x:f>C1376*D1376</x:f>
        <x:v>459.98</x:v>
      </x:c>
      <x:c r="G1376" s="8" t="n">
        <x:f>C1376*E1376</x:f>
        <x:v>211.52</x:v>
      </x:c>
      <x:c r="H1376" s="8" t="n">
        <x:f>F1376-G1376</x:f>
        <x:v>248.46</x:v>
      </x:c>
      <x:c r="I1376" s="10" t="n">
        <x:f>H1376/F1376</x:f>
        <x:v>0.5401539197356406</x:v>
      </x:c>
    </x:row>
    <x:row r="1377" ht="22" customHeight="1">
      <x:c r="A1377" s="11" t="str">
        <x:v>2242</x:v>
      </x:c>
      <x:c r="B1377" s="8" t="str">
        <x:v>WWI Wall Lamp E215 White</x:v>
      </x:c>
      <x:c r="C1377" s="8" t="n">
        <x:v>5</x:v>
      </x:c>
      <x:c r="D1377" s="9" t="n">
        <x:v>119.99</x:v>
      </x:c>
      <x:c r="E1377" s="9" t="n">
        <x:v>61.17</x:v>
      </x:c>
      <x:c r="F1377" s="8" t="n">
        <x:f>C1377*D1377</x:f>
        <x:v>599.9499999999999</x:v>
      </x:c>
      <x:c r="G1377" s="8" t="n">
        <x:f>C1377*E1377</x:f>
        <x:v>305.85</x:v>
      </x:c>
      <x:c r="H1377" s="8" t="n">
        <x:f>F1377-G1377</x:f>
        <x:v>294.0999999999999</x:v>
      </x:c>
      <x:c r="I1377" s="10" t="n">
        <x:f>H1377/F1377</x:f>
        <x:v>0.4902075172931077</x:v>
      </x:c>
    </x:row>
    <x:row r="1378" ht="22" customHeight="1">
      <x:c r="A1378" s="11" t="str">
        <x:v>2243</x:v>
      </x:c>
      <x:c r="B1378" s="8" t="str">
        <x:v>WWI Wall Lamp E315 White</x:v>
      </x:c>
      <x:c r="C1378" s="8" t="n">
        <x:v>1</x:v>
      </x:c>
      <x:c r="D1378" s="9" t="n">
        <x:v>101.99</x:v>
      </x:c>
      <x:c r="E1378" s="9" t="n">
        <x:v>52</x:v>
      </x:c>
      <x:c r="F1378" s="8" t="n">
        <x:f>C1378*D1378</x:f>
        <x:v>101.99</x:v>
      </x:c>
      <x:c r="G1378" s="8" t="n">
        <x:f>C1378*E1378</x:f>
        <x:v>52</x:v>
      </x:c>
      <x:c r="H1378" s="8" t="n">
        <x:f>F1378-G1378</x:f>
        <x:v>49.989999999999995</x:v>
      </x:c>
      <x:c r="I1378" s="10" t="n">
        <x:f>H1378/F1378</x:f>
        <x:v>0.4901460927541916</x:v>
      </x:c>
    </x:row>
    <x:row r="1379" ht="22" customHeight="1">
      <x:c r="A1379" s="11" t="str">
        <x:v>2244</x:v>
      </x:c>
      <x:c r="B1379" s="8" t="str">
        <x:v>WWI Desk Lamp E130 White</x:v>
      </x:c>
      <x:c r="C1379" s="8" t="n">
        <x:v>12</x:v>
      </x:c>
      <x:c r="D1379" s="9" t="n">
        <x:v>79.95</x:v>
      </x:c>
      <x:c r="E1379" s="9" t="n">
        <x:v>40.76</x:v>
      </x:c>
      <x:c r="F1379" s="8" t="n">
        <x:f>C1379*D1379</x:f>
        <x:v>959.4000000000001</x:v>
      </x:c>
      <x:c r="G1379" s="8" t="n">
        <x:f>C1379*E1379</x:f>
        <x:v>489.12</x:v>
      </x:c>
      <x:c r="H1379" s="8" t="n">
        <x:f>F1379-G1379</x:f>
        <x:v>470.2800000000001</x:v>
      </x:c>
      <x:c r="I1379" s="10" t="n">
        <x:f>H1379/F1379</x:f>
        <x:v>0.4901813633520951</x:v>
      </x:c>
    </x:row>
    <x:row r="1380" ht="22" customHeight="1">
      <x:c r="A1380" s="11" t="str">
        <x:v>2245</x:v>
      </x:c>
      <x:c r="B1380" s="8" t="str">
        <x:v>WWI Desk Lamp E120 White</x:v>
      </x:c>
      <x:c r="C1380" s="8" t="n">
        <x:v>19</x:v>
      </x:c>
      <x:c r="D1380" s="9" t="n">
        <x:v>29.99</x:v>
      </x:c>
      <x:c r="E1380" s="9" t="n">
        <x:v>15.29</x:v>
      </x:c>
      <x:c r="F1380" s="8" t="n">
        <x:f>C1380*D1380</x:f>
        <x:v>569.81</x:v>
      </x:c>
      <x:c r="G1380" s="8" t="n">
        <x:f>C1380*E1380</x:f>
        <x:v>290.51</x:v>
      </x:c>
      <x:c r="H1380" s="8" t="n">
        <x:f>F1380-G1380</x:f>
        <x:v>279.29999999999995</x:v>
      </x:c>
      <x:c r="I1380" s="10" t="n">
        <x:f>H1380/F1380</x:f>
        <x:v>0.49016338779593194</x:v>
      </x:c>
    </x:row>
    <x:row r="1381" ht="22" customHeight="1">
      <x:c r="A1381" s="11" t="str">
        <x:v>2246</x:v>
      </x:c>
      <x:c r="B1381" s="8" t="str">
        <x:v>WWI Floor Lamp X115 Silver</x:v>
      </x:c>
      <x:c r="C1381" s="8" t="n">
        <x:v>15</x:v>
      </x:c>
      <x:c r="D1381" s="9" t="n">
        <x:v>635.99</x:v>
      </x:c>
      <x:c r="E1381" s="9" t="n">
        <x:v>210.72</x:v>
      </x:c>
      <x:c r="F1381" s="8" t="n">
        <x:f>C1381*D1381</x:f>
        <x:v>9539.85</x:v>
      </x:c>
      <x:c r="G1381" s="8" t="n">
        <x:f>C1381*E1381</x:f>
        <x:v>3160.8</x:v>
      </x:c>
      <x:c r="H1381" s="8" t="n">
        <x:f>F1381-G1381</x:f>
        <x:v>6379.05</x:v>
      </x:c>
      <x:c r="I1381" s="10" t="n">
        <x:f>H1381/F1381</x:f>
        <x:v>0.6686740357552792</x:v>
      </x:c>
    </x:row>
    <x:row r="1382" ht="22" customHeight="1">
      <x:c r="A1382" s="11" t="str">
        <x:v>2247</x:v>
      </x:c>
      <x:c r="B1382" s="8" t="str">
        <x:v>WWI Floor Lamp M215 Silver</x:v>
      </x:c>
      <x:c r="C1382" s="8" t="n">
        <x:v>17</x:v>
      </x:c>
      <x:c r="D1382" s="9" t="n">
        <x:v>339</x:v>
      </x:c>
      <x:c r="E1382" s="9" t="n">
        <x:v>155.89</x:v>
      </x:c>
      <x:c r="F1382" s="8" t="n">
        <x:f>C1382*D1382</x:f>
        <x:v>5763</x:v>
      </x:c>
      <x:c r="G1382" s="8" t="n">
        <x:f>C1382*E1382</x:f>
        <x:v>2650.1299999999997</x:v>
      </x:c>
      <x:c r="H1382" s="8" t="n">
        <x:f>F1382-G1382</x:f>
        <x:v>3112.8700000000003</x:v>
      </x:c>
      <x:c r="I1382" s="10" t="n">
        <x:f>H1382/F1382</x:f>
        <x:v>0.5401474926253688</x:v>
      </x:c>
    </x:row>
    <x:row r="1383" ht="22" customHeight="1">
      <x:c r="A1383" s="11" t="str">
        <x:v>2248</x:v>
      </x:c>
      <x:c r="B1383" s="8" t="str">
        <x:v>WWI Chandelier M815 Silver</x:v>
      </x:c>
      <x:c r="C1383" s="8" t="n">
        <x:v>6</x:v>
      </x:c>
      <x:c r="D1383" s="9" t="n">
        <x:v>268.5</x:v>
      </x:c>
      <x:c r="E1383" s="9" t="n">
        <x:v>123.47</x:v>
      </x:c>
      <x:c r="F1383" s="8" t="n">
        <x:f>C1383*D1383</x:f>
        <x:v>1611</x:v>
      </x:c>
      <x:c r="G1383" s="8" t="n">
        <x:f>C1383*E1383</x:f>
        <x:v>740.8199999999999</x:v>
      </x:c>
      <x:c r="H1383" s="8" t="n">
        <x:f>F1383-G1383</x:f>
        <x:v>870.1800000000001</x:v>
      </x:c>
      <x:c r="I1383" s="10" t="n">
        <x:f>H1383/F1383</x:f>
        <x:v>0.540148975791434</x:v>
      </x:c>
    </x:row>
    <x:row r="1384" ht="22" customHeight="1">
      <x:c r="A1384" s="11" t="str">
        <x:v>2249</x:v>
      </x:c>
      <x:c r="B1384" s="8" t="str">
        <x:v>WWI Chandelier M615 Silver</x:v>
      </x:c>
      <x:c r="C1384" s="8" t="n">
        <x:v>10</x:v>
      </x:c>
      <x:c r="D1384" s="9" t="n">
        <x:v>229.99</x:v>
      </x:c>
      <x:c r="E1384" s="9" t="n">
        <x:v>105.76</x:v>
      </x:c>
      <x:c r="F1384" s="8" t="n">
        <x:f>C1384*D1384</x:f>
        <x:v>2299.9</x:v>
      </x:c>
      <x:c r="G1384" s="8" t="n">
        <x:f>C1384*E1384</x:f>
        <x:v>1057.6000000000001</x:v>
      </x:c>
      <x:c r="H1384" s="8" t="n">
        <x:f>F1384-G1384</x:f>
        <x:v>1242.3</x:v>
      </x:c>
      <x:c r="I1384" s="10" t="n">
        <x:f>H1384/F1384</x:f>
        <x:v>0.5401539197356406</x:v>
      </x:c>
    </x:row>
    <x:row r="1385" ht="22" customHeight="1">
      <x:c r="A1385" s="11" t="str">
        <x:v>225</x:v>
      </x:c>
      <x:c r="B1385" s="8" t="str">
        <x:v>Litware Home Theater System 5.1 Channel M511 Brown</x:v>
      </x:c>
      <x:c r="C1385" s="8" t="n">
        <x:v>33</x:v>
      </x:c>
      <x:c r="D1385" s="9" t="n">
        <x:v>699</x:v>
      </x:c>
      <x:c r="E1385" s="9" t="n">
        <x:v>321.44</x:v>
      </x:c>
      <x:c r="F1385" s="8" t="n">
        <x:f>C1385*D1385</x:f>
        <x:v>23067</x:v>
      </x:c>
      <x:c r="G1385" s="8" t="n">
        <x:f>C1385*E1385</x:f>
        <x:v>10607.52</x:v>
      </x:c>
      <x:c r="H1385" s="8" t="n">
        <x:f>F1385-G1385</x:f>
        <x:v>12459.48</x:v>
      </x:c>
      <x:c r="I1385" s="10" t="n">
        <x:f>H1385/F1385</x:f>
        <x:v>0.5401430615164521</x:v>
      </x:c>
    </x:row>
    <x:row r="1386" ht="22" customHeight="1">
      <x:c r="A1386" s="11" t="str">
        <x:v>2250</x:v>
      </x:c>
      <x:c r="B1386" s="8" t="str">
        <x:v>WWI Wall Lamp E215 Silver</x:v>
      </x:c>
      <x:c r="C1386" s="8" t="n">
        <x:v>8</x:v>
      </x:c>
      <x:c r="D1386" s="9" t="n">
        <x:v>119.99</x:v>
      </x:c>
      <x:c r="E1386" s="9" t="n">
        <x:v>61.17</x:v>
      </x:c>
      <x:c r="F1386" s="8" t="n">
        <x:f>C1386*D1386</x:f>
        <x:v>959.92</x:v>
      </x:c>
      <x:c r="G1386" s="8" t="n">
        <x:f>C1386*E1386</x:f>
        <x:v>489.36</x:v>
      </x:c>
      <x:c r="H1386" s="8" t="n">
        <x:f>F1386-G1386</x:f>
        <x:v>470.55999999999995</x:v>
      </x:c>
      <x:c r="I1386" s="10" t="n">
        <x:f>H1386/F1386</x:f>
        <x:v>0.49020751729310774</x:v>
      </x:c>
    </x:row>
    <x:row r="1387" ht="22" customHeight="1">
      <x:c r="A1387" s="11" t="str">
        <x:v>2252</x:v>
      </x:c>
      <x:c r="B1387" s="8" t="str">
        <x:v>WWI Desk Lamp E130 Silver</x:v>
      </x:c>
      <x:c r="C1387" s="8" t="n">
        <x:v>6</x:v>
      </x:c>
      <x:c r="D1387" s="9" t="n">
        <x:v>79.95</x:v>
      </x:c>
      <x:c r="E1387" s="9" t="n">
        <x:v>40.76</x:v>
      </x:c>
      <x:c r="F1387" s="8" t="n">
        <x:f>C1387*D1387</x:f>
        <x:v>479.70000000000005</x:v>
      </x:c>
      <x:c r="G1387" s="8" t="n">
        <x:f>C1387*E1387</x:f>
        <x:v>244.56</x:v>
      </x:c>
      <x:c r="H1387" s="8" t="n">
        <x:f>F1387-G1387</x:f>
        <x:v>235.14000000000004</x:v>
      </x:c>
      <x:c r="I1387" s="10" t="n">
        <x:f>H1387/F1387</x:f>
        <x:v>0.4901813633520951</x:v>
      </x:c>
    </x:row>
    <x:row r="1388" ht="22" customHeight="1">
      <x:c r="A1388" s="11" t="str">
        <x:v>2253</x:v>
      </x:c>
      <x:c r="B1388" s="8" t="str">
        <x:v>WWI Desk Lamp E120 Silver</x:v>
      </x:c>
      <x:c r="C1388" s="8" t="n">
        <x:v>3</x:v>
      </x:c>
      <x:c r="D1388" s="9" t="n">
        <x:v>29.99</x:v>
      </x:c>
      <x:c r="E1388" s="9" t="n">
        <x:v>15.29</x:v>
      </x:c>
      <x:c r="F1388" s="8" t="n">
        <x:f>C1388*D1388</x:f>
        <x:v>89.97</x:v>
      </x:c>
      <x:c r="G1388" s="8" t="n">
        <x:f>C1388*E1388</x:f>
        <x:v>45.87</x:v>
      </x:c>
      <x:c r="H1388" s="8" t="n">
        <x:f>F1388-G1388</x:f>
        <x:v>44.1</x:v>
      </x:c>
      <x:c r="I1388" s="10" t="n">
        <x:f>H1388/F1388</x:f>
        <x:v>0.490163387795932</x:v>
      </x:c>
    </x:row>
    <x:row r="1389" ht="22" customHeight="1">
      <x:c r="A1389" s="11" t="str">
        <x:v>2254</x:v>
      </x:c>
      <x:c r="B1389" s="8" t="str">
        <x:v>WWI Floor Lamp X115 Grey</x:v>
      </x:c>
      <x:c r="C1389" s="8" t="n">
        <x:v>9</x:v>
      </x:c>
      <x:c r="D1389" s="9" t="n">
        <x:v>635.99</x:v>
      </x:c>
      <x:c r="E1389" s="9" t="n">
        <x:v>210.72</x:v>
      </x:c>
      <x:c r="F1389" s="8" t="n">
        <x:f>C1389*D1389</x:f>
        <x:v>5723.91</x:v>
      </x:c>
      <x:c r="G1389" s="8" t="n">
        <x:f>C1389*E1389</x:f>
        <x:v>1896.48</x:v>
      </x:c>
      <x:c r="H1389" s="8" t="n">
        <x:f>F1389-G1389</x:f>
        <x:v>3827.43</x:v>
      </x:c>
      <x:c r="I1389" s="10" t="n">
        <x:f>H1389/F1389</x:f>
        <x:v>0.6686740357552792</x:v>
      </x:c>
    </x:row>
    <x:row r="1390" ht="22" customHeight="1">
      <x:c r="A1390" s="11" t="str">
        <x:v>2255</x:v>
      </x:c>
      <x:c r="B1390" s="8" t="str">
        <x:v>WWI Floor Lamp M215 Grey</x:v>
      </x:c>
      <x:c r="C1390" s="8" t="n">
        <x:v>1</x:v>
      </x:c>
      <x:c r="D1390" s="9" t="n">
        <x:v>339</x:v>
      </x:c>
      <x:c r="E1390" s="9" t="n">
        <x:v>155.89</x:v>
      </x:c>
      <x:c r="F1390" s="8" t="n">
        <x:f>C1390*D1390</x:f>
        <x:v>339</x:v>
      </x:c>
      <x:c r="G1390" s="8" t="n">
        <x:f>C1390*E1390</x:f>
        <x:v>155.89</x:v>
      </x:c>
      <x:c r="H1390" s="8" t="n">
        <x:f>F1390-G1390</x:f>
        <x:v>183.11</x:v>
      </x:c>
      <x:c r="I1390" s="10" t="n">
        <x:f>H1390/F1390</x:f>
        <x:v>0.5401474926253688</x:v>
      </x:c>
    </x:row>
    <x:row r="1391" ht="22" customHeight="1">
      <x:c r="A1391" s="11" t="str">
        <x:v>2256</x:v>
      </x:c>
      <x:c r="B1391" s="8" t="str">
        <x:v>WWI Chandelier M815 Grey</x:v>
      </x:c>
      <x:c r="C1391" s="8" t="n">
        <x:v>6</x:v>
      </x:c>
      <x:c r="D1391" s="9" t="n">
        <x:v>268.5</x:v>
      </x:c>
      <x:c r="E1391" s="9" t="n">
        <x:v>123.47</x:v>
      </x:c>
      <x:c r="F1391" s="8" t="n">
        <x:f>C1391*D1391</x:f>
        <x:v>1611</x:v>
      </x:c>
      <x:c r="G1391" s="8" t="n">
        <x:f>C1391*E1391</x:f>
        <x:v>740.8199999999999</x:v>
      </x:c>
      <x:c r="H1391" s="8" t="n">
        <x:f>F1391-G1391</x:f>
        <x:v>870.1800000000001</x:v>
      </x:c>
      <x:c r="I1391" s="10" t="n">
        <x:f>H1391/F1391</x:f>
        <x:v>0.540148975791434</x:v>
      </x:c>
    </x:row>
    <x:row r="1392" ht="22" customHeight="1">
      <x:c r="A1392" s="11" t="str">
        <x:v>2257</x:v>
      </x:c>
      <x:c r="B1392" s="8" t="str">
        <x:v>WWI Chandelier M615 Grey</x:v>
      </x:c>
      <x:c r="C1392" s="8" t="n">
        <x:v>5</x:v>
      </x:c>
      <x:c r="D1392" s="9" t="n">
        <x:v>229.99</x:v>
      </x:c>
      <x:c r="E1392" s="9" t="n">
        <x:v>105.76</x:v>
      </x:c>
      <x:c r="F1392" s="8" t="n">
        <x:f>C1392*D1392</x:f>
        <x:v>1149.95</x:v>
      </x:c>
      <x:c r="G1392" s="8" t="n">
        <x:f>C1392*E1392</x:f>
        <x:v>528.8000000000001</x:v>
      </x:c>
      <x:c r="H1392" s="8" t="n">
        <x:f>F1392-G1392</x:f>
        <x:v>621.15</x:v>
      </x:c>
      <x:c r="I1392" s="10" t="n">
        <x:f>H1392/F1392</x:f>
        <x:v>0.5401539197356406</x:v>
      </x:c>
    </x:row>
    <x:row r="1393" ht="22" customHeight="1">
      <x:c r="A1393" s="11" t="str">
        <x:v>2258</x:v>
      </x:c>
      <x:c r="B1393" s="8" t="str">
        <x:v>WWI Wall Lamp E215 Grey</x:v>
      </x:c>
      <x:c r="C1393" s="8" t="n">
        <x:v>8</x:v>
      </x:c>
      <x:c r="D1393" s="9" t="n">
        <x:v>119.99</x:v>
      </x:c>
      <x:c r="E1393" s="9" t="n">
        <x:v>61.17</x:v>
      </x:c>
      <x:c r="F1393" s="8" t="n">
        <x:f>C1393*D1393</x:f>
        <x:v>959.92</x:v>
      </x:c>
      <x:c r="G1393" s="8" t="n">
        <x:f>C1393*E1393</x:f>
        <x:v>489.36</x:v>
      </x:c>
      <x:c r="H1393" s="8" t="n">
        <x:f>F1393-G1393</x:f>
        <x:v>470.55999999999995</x:v>
      </x:c>
      <x:c r="I1393" s="10" t="n">
        <x:f>H1393/F1393</x:f>
        <x:v>0.49020751729310774</x:v>
      </x:c>
    </x:row>
    <x:row r="1394" ht="22" customHeight="1">
      <x:c r="A1394" s="11" t="str">
        <x:v>2259</x:v>
      </x:c>
      <x:c r="B1394" s="8" t="str">
        <x:v>WWI Wall Lamp E315 Grey</x:v>
      </x:c>
      <x:c r="C1394" s="8" t="n">
        <x:v>4</x:v>
      </x:c>
      <x:c r="D1394" s="9" t="n">
        <x:v>101.99</x:v>
      </x:c>
      <x:c r="E1394" s="9" t="n">
        <x:v>52</x:v>
      </x:c>
      <x:c r="F1394" s="8" t="n">
        <x:f>C1394*D1394</x:f>
        <x:v>407.96</x:v>
      </x:c>
      <x:c r="G1394" s="8" t="n">
        <x:f>C1394*E1394</x:f>
        <x:v>208</x:v>
      </x:c>
      <x:c r="H1394" s="8" t="n">
        <x:f>F1394-G1394</x:f>
        <x:v>199.95999999999998</x:v>
      </x:c>
      <x:c r="I1394" s="10" t="n">
        <x:f>H1394/F1394</x:f>
        <x:v>0.4901460927541916</x:v>
      </x:c>
    </x:row>
    <x:row r="1395" ht="22" customHeight="1">
      <x:c r="A1395" s="11" t="str">
        <x:v>226</x:v>
      </x:c>
      <x:c r="B1395" s="8" t="str">
        <x:v>Litware Home Theater System 2.1 Channel E210 Brown</x:v>
      </x:c>
      <x:c r="C1395" s="8" t="n">
        <x:v>13</x:v>
      </x:c>
      <x:c r="D1395" s="9" t="n">
        <x:v>299</x:v>
      </x:c>
      <x:c r="E1395" s="9" t="n">
        <x:v>152.44</x:v>
      </x:c>
      <x:c r="F1395" s="8" t="n">
        <x:f>C1395*D1395</x:f>
        <x:v>3887</x:v>
      </x:c>
      <x:c r="G1395" s="8" t="n">
        <x:f>C1395*E1395</x:f>
        <x:v>1981.72</x:v>
      </x:c>
      <x:c r="H1395" s="8" t="n">
        <x:f>F1395-G1395</x:f>
        <x:v>1905.28</x:v>
      </x:c>
      <x:c r="I1395" s="10" t="n">
        <x:f>H1395/F1395</x:f>
        <x:v>0.4901672240802675</x:v>
      </x:c>
    </x:row>
    <x:row r="1396" ht="22" customHeight="1">
      <x:c r="A1396" s="11" t="str">
        <x:v>2260</x:v>
      </x:c>
      <x:c r="B1396" s="8" t="str">
        <x:v>WWI Desk Lamp E130 Grey</x:v>
      </x:c>
      <x:c r="C1396" s="8" t="n">
        <x:v>5</x:v>
      </x:c>
      <x:c r="D1396" s="9" t="n">
        <x:v>79.95</x:v>
      </x:c>
      <x:c r="E1396" s="9" t="n">
        <x:v>40.76</x:v>
      </x:c>
      <x:c r="F1396" s="8" t="n">
        <x:f>C1396*D1396</x:f>
        <x:v>399.75</x:v>
      </x:c>
      <x:c r="G1396" s="8" t="n">
        <x:f>C1396*E1396</x:f>
        <x:v>203.79999999999998</x:v>
      </x:c>
      <x:c r="H1396" s="8" t="n">
        <x:f>F1396-G1396</x:f>
        <x:v>195.95000000000002</x:v>
      </x:c>
      <x:c r="I1396" s="10" t="n">
        <x:f>H1396/F1396</x:f>
        <x:v>0.4901813633520951</x:v>
      </x:c>
    </x:row>
    <x:row r="1397" ht="22" customHeight="1">
      <x:c r="A1397" s="11" t="str">
        <x:v>2261</x:v>
      </x:c>
      <x:c r="B1397" s="8" t="str">
        <x:v>WWI Desk Lamp E120 Grey</x:v>
      </x:c>
      <x:c r="C1397" s="8" t="n">
        <x:v>9</x:v>
      </x:c>
      <x:c r="D1397" s="9" t="n">
        <x:v>29.99</x:v>
      </x:c>
      <x:c r="E1397" s="9" t="n">
        <x:v>15.29</x:v>
      </x:c>
      <x:c r="F1397" s="8" t="n">
        <x:f>C1397*D1397</x:f>
        <x:v>269.90999999999997</x:v>
      </x:c>
      <x:c r="G1397" s="8" t="n">
        <x:f>C1397*E1397</x:f>
        <x:v>137.60999999999999</x:v>
      </x:c>
      <x:c r="H1397" s="8" t="n">
        <x:f>F1397-G1397</x:f>
        <x:v>132.29999999999998</x:v>
      </x:c>
      <x:c r="I1397" s="10" t="n">
        <x:f>H1397/F1397</x:f>
        <x:v>0.490163387795932</x:v>
      </x:c>
    </x:row>
    <x:row r="1398" ht="22" customHeight="1">
      <x:c r="A1398" s="11" t="str">
        <x:v>2262</x:v>
      </x:c>
      <x:c r="B1398" s="8" t="str">
        <x:v>WWI Floor Lamp X115 Blue</x:v>
      </x:c>
      <x:c r="C1398" s="8" t="n">
        <x:v>1</x:v>
      </x:c>
      <x:c r="D1398" s="9" t="n">
        <x:v>635.99</x:v>
      </x:c>
      <x:c r="E1398" s="9" t="n">
        <x:v>210.72</x:v>
      </x:c>
      <x:c r="F1398" s="8" t="n">
        <x:f>C1398*D1398</x:f>
        <x:v>635.99</x:v>
      </x:c>
      <x:c r="G1398" s="8" t="n">
        <x:f>C1398*E1398</x:f>
        <x:v>210.72</x:v>
      </x:c>
      <x:c r="H1398" s="8" t="n">
        <x:f>F1398-G1398</x:f>
        <x:v>425.27</x:v>
      </x:c>
      <x:c r="I1398" s="10" t="n">
        <x:f>H1398/F1398</x:f>
        <x:v>0.6686740357552792</x:v>
      </x:c>
    </x:row>
    <x:row r="1399" ht="22" customHeight="1">
      <x:c r="A1399" s="11" t="str">
        <x:v>2263</x:v>
      </x:c>
      <x:c r="B1399" s="8" t="str">
        <x:v>WWI Floor Lamp M215 Blue</x:v>
      </x:c>
      <x:c r="C1399" s="8" t="n">
        <x:v>13</x:v>
      </x:c>
      <x:c r="D1399" s="9" t="n">
        <x:v>339</x:v>
      </x:c>
      <x:c r="E1399" s="9" t="n">
        <x:v>155.89</x:v>
      </x:c>
      <x:c r="F1399" s="8" t="n">
        <x:f>C1399*D1399</x:f>
        <x:v>4407</x:v>
      </x:c>
      <x:c r="G1399" s="8" t="n">
        <x:f>C1399*E1399</x:f>
        <x:v>2026.5699999999997</x:v>
      </x:c>
      <x:c r="H1399" s="8" t="n">
        <x:f>F1399-G1399</x:f>
        <x:v>2380.4300000000003</x:v>
      </x:c>
      <x:c r="I1399" s="10" t="n">
        <x:f>H1399/F1399</x:f>
        <x:v>0.5401474926253688</x:v>
      </x:c>
    </x:row>
    <x:row r="1400" ht="22" customHeight="1">
      <x:c r="A1400" s="11" t="str">
        <x:v>2264</x:v>
      </x:c>
      <x:c r="B1400" s="8" t="str">
        <x:v>WWI Chandelier M815 Blue</x:v>
      </x:c>
      <x:c r="C1400" s="8" t="n">
        <x:v>12</x:v>
      </x:c>
      <x:c r="D1400" s="9" t="n">
        <x:v>268.5</x:v>
      </x:c>
      <x:c r="E1400" s="9" t="n">
        <x:v>123.47</x:v>
      </x:c>
      <x:c r="F1400" s="8" t="n">
        <x:f>C1400*D1400</x:f>
        <x:v>3222</x:v>
      </x:c>
      <x:c r="G1400" s="8" t="n">
        <x:f>C1400*E1400</x:f>
        <x:v>1481.6399999999999</x:v>
      </x:c>
      <x:c r="H1400" s="8" t="n">
        <x:f>F1400-G1400</x:f>
        <x:v>1740.3600000000001</x:v>
      </x:c>
      <x:c r="I1400" s="10" t="n">
        <x:f>H1400/F1400</x:f>
        <x:v>0.540148975791434</x:v>
      </x:c>
    </x:row>
    <x:row r="1401" ht="22" customHeight="1">
      <x:c r="A1401" s="11" t="str">
        <x:v>2265</x:v>
      </x:c>
      <x:c r="B1401" s="8" t="str">
        <x:v>WWI Chandelier M615 Blue</x:v>
      </x:c>
      <x:c r="C1401" s="8" t="n">
        <x:v>17</x:v>
      </x:c>
      <x:c r="D1401" s="9" t="n">
        <x:v>229.99</x:v>
      </x:c>
      <x:c r="E1401" s="9" t="n">
        <x:v>105.76</x:v>
      </x:c>
      <x:c r="F1401" s="8" t="n">
        <x:f>C1401*D1401</x:f>
        <x:v>3909.83</x:v>
      </x:c>
      <x:c r="G1401" s="8" t="n">
        <x:f>C1401*E1401</x:f>
        <x:v>1797.92</x:v>
      </x:c>
      <x:c r="H1401" s="8" t="n">
        <x:f>F1401-G1401</x:f>
        <x:v>2111.91</x:v>
      </x:c>
      <x:c r="I1401" s="10" t="n">
        <x:f>H1401/F1401</x:f>
        <x:v>0.5401539197356406</x:v>
      </x:c>
    </x:row>
    <x:row r="1402" ht="22" customHeight="1">
      <x:c r="A1402" s="11" t="str">
        <x:v>2266</x:v>
      </x:c>
      <x:c r="B1402" s="8" t="str">
        <x:v>WWI Wall Lamp E215 Blue</x:v>
      </x:c>
      <x:c r="C1402" s="8" t="n">
        <x:v>15</x:v>
      </x:c>
      <x:c r="D1402" s="9" t="n">
        <x:v>119.99</x:v>
      </x:c>
      <x:c r="E1402" s="9" t="n">
        <x:v>61.17</x:v>
      </x:c>
      <x:c r="F1402" s="8" t="n">
        <x:f>C1402*D1402</x:f>
        <x:v>1799.85</x:v>
      </x:c>
      <x:c r="G1402" s="8" t="n">
        <x:f>C1402*E1402</x:f>
        <x:v>917.5500000000001</x:v>
      </x:c>
      <x:c r="H1402" s="8" t="n">
        <x:f>F1402-G1402</x:f>
        <x:v>882.2999999999998</x:v>
      </x:c>
      <x:c r="I1402" s="10" t="n">
        <x:f>H1402/F1402</x:f>
        <x:v>0.4902075172931077</x:v>
      </x:c>
    </x:row>
    <x:row r="1403" ht="22" customHeight="1">
      <x:c r="A1403" s="11" t="str">
        <x:v>2267</x:v>
      </x:c>
      <x:c r="B1403" s="8" t="str">
        <x:v>WWI Wall Lamp E315 Blue</x:v>
      </x:c>
      <x:c r="C1403" s="8" t="n">
        <x:v>17</x:v>
      </x:c>
      <x:c r="D1403" s="9" t="n">
        <x:v>101.99</x:v>
      </x:c>
      <x:c r="E1403" s="9" t="n">
        <x:v>52</x:v>
      </x:c>
      <x:c r="F1403" s="8" t="n">
        <x:f>C1403*D1403</x:f>
        <x:v>1733.83</x:v>
      </x:c>
      <x:c r="G1403" s="8" t="n">
        <x:f>C1403*E1403</x:f>
        <x:v>884</x:v>
      </x:c>
      <x:c r="H1403" s="8" t="n">
        <x:f>F1403-G1403</x:f>
        <x:v>849.8299999999999</x:v>
      </x:c>
      <x:c r="I1403" s="10" t="n">
        <x:f>H1403/F1403</x:f>
        <x:v>0.4901460927541916</x:v>
      </x:c>
    </x:row>
    <x:row r="1404" ht="22" customHeight="1">
      <x:c r="A1404" s="11" t="str">
        <x:v>2268</x:v>
      </x:c>
      <x:c r="B1404" s="8" t="str">
        <x:v>WWI Desk Lamp E130 Blue</x:v>
      </x:c>
      <x:c r="C1404" s="8" t="n">
        <x:v>13</x:v>
      </x:c>
      <x:c r="D1404" s="9" t="n">
        <x:v>79.95</x:v>
      </x:c>
      <x:c r="E1404" s="9" t="n">
        <x:v>40.76</x:v>
      </x:c>
      <x:c r="F1404" s="8" t="n">
        <x:f>C1404*D1404</x:f>
        <x:v>1039.3500000000001</x:v>
      </x:c>
      <x:c r="G1404" s="8" t="n">
        <x:f>C1404*E1404</x:f>
        <x:v>529.88</x:v>
      </x:c>
      <x:c r="H1404" s="8" t="n">
        <x:f>F1404-G1404</x:f>
        <x:v>509.47000000000014</x:v>
      </x:c>
      <x:c r="I1404" s="10" t="n">
        <x:f>H1404/F1404</x:f>
        <x:v>0.4901813633520951</x:v>
      </x:c>
    </x:row>
    <x:row r="1405" ht="22" customHeight="1">
      <x:c r="A1405" s="11" t="str">
        <x:v>2269</x:v>
      </x:c>
      <x:c r="B1405" s="8" t="str">
        <x:v>WWI Desk Lamp E120 Blue</x:v>
      </x:c>
      <x:c r="C1405" s="8" t="n">
        <x:v>5</x:v>
      </x:c>
      <x:c r="D1405" s="9" t="n">
        <x:v>29.99</x:v>
      </x:c>
      <x:c r="E1405" s="9" t="n">
        <x:v>15.29</x:v>
      </x:c>
      <x:c r="F1405" s="8" t="n">
        <x:f>C1405*D1405</x:f>
        <x:v>149.95</x:v>
      </x:c>
      <x:c r="G1405" s="8" t="n">
        <x:f>C1405*E1405</x:f>
        <x:v>76.44999999999999</x:v>
      </x:c>
      <x:c r="H1405" s="8" t="n">
        <x:f>F1405-G1405</x:f>
        <x:v>73.5</x:v>
      </x:c>
      <x:c r="I1405" s="10" t="n">
        <x:f>H1405/F1405</x:f>
        <x:v>0.490163387795932</x:v>
      </x:c>
    </x:row>
    <x:row r="1406" ht="22" customHeight="1">
      <x:c r="A1406" s="11" t="str">
        <x:v>227</x:v>
      </x:c>
      <x:c r="B1406" s="8" t="str">
        <x:v>Litware Home Theater System 5.1 Channel M510 Brown</x:v>
      </x:c>
      <x:c r="C1406" s="8" t="n">
        <x:v>11</x:v>
      </x:c>
      <x:c r="D1406" s="9" t="n">
        <x:v>639</x:v>
      </x:c>
      <x:c r="E1406" s="9" t="n">
        <x:v>293.85</x:v>
      </x:c>
      <x:c r="F1406" s="8" t="n">
        <x:f>C1406*D1406</x:f>
        <x:v>7029</x:v>
      </x:c>
      <x:c r="G1406" s="8" t="n">
        <x:f>C1406*E1406</x:f>
        <x:v>3232.3500000000004</x:v>
      </x:c>
      <x:c r="H1406" s="8" t="n">
        <x:f>F1406-G1406</x:f>
        <x:v>3796.6499999999996</x:v>
      </x:c>
      <x:c r="I1406" s="10" t="n">
        <x:f>H1406/F1406</x:f>
        <x:v>0.5401408450704225</x:v>
      </x:c>
    </x:row>
    <x:row r="1407" ht="22" customHeight="1">
      <x:c r="A1407" s="11" t="str">
        <x:v>2270</x:v>
      </x:c>
      <x:c r="B1407" s="8" t="str">
        <x:v>Proseware Floor Lamp X0115 Black</x:v>
      </x:c>
      <x:c r="C1407" s="8" t="n">
        <x:v>12</x:v>
      </x:c>
      <x:c r="D1407" s="9" t="n">
        <x:v>635.99</x:v>
      </x:c>
      <x:c r="E1407" s="9" t="n">
        <x:v>210.72</x:v>
      </x:c>
      <x:c r="F1407" s="8" t="n">
        <x:f>C1407*D1407</x:f>
        <x:v>7631.88</x:v>
      </x:c>
      <x:c r="G1407" s="8" t="n">
        <x:f>C1407*E1407</x:f>
        <x:v>2528.64</x:v>
      </x:c>
      <x:c r="H1407" s="8" t="n">
        <x:f>F1407-G1407</x:f>
        <x:v>5103.24</x:v>
      </x:c>
      <x:c r="I1407" s="10" t="n">
        <x:f>H1407/F1407</x:f>
        <x:v>0.6686740357552792</x:v>
      </x:c>
    </x:row>
    <x:row r="1408" ht="22" customHeight="1">
      <x:c r="A1408" s="11" t="str">
        <x:v>2271</x:v>
      </x:c>
      <x:c r="B1408" s="8" t="str">
        <x:v>Proseware Floor Lamp M0215 Black</x:v>
      </x:c>
      <x:c r="C1408" s="8" t="n">
        <x:v>18</x:v>
      </x:c>
      <x:c r="D1408" s="9" t="n">
        <x:v>339</x:v>
      </x:c>
      <x:c r="E1408" s="9" t="n">
        <x:v>155.89</x:v>
      </x:c>
      <x:c r="F1408" s="8" t="n">
        <x:f>C1408*D1408</x:f>
        <x:v>6102</x:v>
      </x:c>
      <x:c r="G1408" s="8" t="n">
        <x:f>C1408*E1408</x:f>
        <x:v>2806.0199999999995</x:v>
      </x:c>
      <x:c r="H1408" s="8" t="n">
        <x:f>F1408-G1408</x:f>
        <x:v>3295.9800000000005</x:v>
      </x:c>
      <x:c r="I1408" s="10" t="n">
        <x:f>H1408/F1408</x:f>
        <x:v>0.5401474926253688</x:v>
      </x:c>
    </x:row>
    <x:row r="1409" ht="22" customHeight="1">
      <x:c r="A1409" s="11" t="str">
        <x:v>2272</x:v>
      </x:c>
      <x:c r="B1409" s="8" t="str">
        <x:v>Proseware Chandelier M0815 Black</x:v>
      </x:c>
      <x:c r="C1409" s="8" t="n">
        <x:v>1</x:v>
      </x:c>
      <x:c r="D1409" s="9" t="n">
        <x:v>268.5</x:v>
      </x:c>
      <x:c r="E1409" s="9" t="n">
        <x:v>123.47</x:v>
      </x:c>
      <x:c r="F1409" s="8" t="n">
        <x:f>C1409*D1409</x:f>
        <x:v>268.5</x:v>
      </x:c>
      <x:c r="G1409" s="8" t="n">
        <x:f>C1409*E1409</x:f>
        <x:v>123.47</x:v>
      </x:c>
      <x:c r="H1409" s="8" t="n">
        <x:f>F1409-G1409</x:f>
        <x:v>145.03</x:v>
      </x:c>
      <x:c r="I1409" s="10" t="n">
        <x:f>H1409/F1409</x:f>
        <x:v>0.540148975791434</x:v>
      </x:c>
    </x:row>
    <x:row r="1410" ht="22" customHeight="1">
      <x:c r="A1410" s="11" t="str">
        <x:v>2273</x:v>
      </x:c>
      <x:c r="B1410" s="8" t="str">
        <x:v>Proseware Chandelier M0615 Black</x:v>
      </x:c>
      <x:c r="C1410" s="8" t="n">
        <x:v>9</x:v>
      </x:c>
      <x:c r="D1410" s="9" t="n">
        <x:v>229.99</x:v>
      </x:c>
      <x:c r="E1410" s="9" t="n">
        <x:v>105.76</x:v>
      </x:c>
      <x:c r="F1410" s="8" t="n">
        <x:f>C1410*D1410</x:f>
        <x:v>2069.91</x:v>
      </x:c>
      <x:c r="G1410" s="8" t="n">
        <x:f>C1410*E1410</x:f>
        <x:v>951.84</x:v>
      </x:c>
      <x:c r="H1410" s="8" t="n">
        <x:f>F1410-G1410</x:f>
        <x:v>1118.0699999999997</x:v>
      </x:c>
      <x:c r="I1410" s="10" t="n">
        <x:f>H1410/F1410</x:f>
        <x:v>0.5401539197356405</x:v>
      </x:c>
    </x:row>
    <x:row r="1411" ht="22" customHeight="1">
      <x:c r="A1411" s="11" t="str">
        <x:v>2275</x:v>
      </x:c>
      <x:c r="B1411" s="8" t="str">
        <x:v>Proseware Wall Lamp E0315 Black</x:v>
      </x:c>
      <x:c r="C1411" s="8" t="n">
        <x:v>11</x:v>
      </x:c>
      <x:c r="D1411" s="9" t="n">
        <x:v>101.99</x:v>
      </x:c>
      <x:c r="E1411" s="9" t="n">
        <x:v>52</x:v>
      </x:c>
      <x:c r="F1411" s="8" t="n">
        <x:f>C1411*D1411</x:f>
        <x:v>1121.8899999999999</x:v>
      </x:c>
      <x:c r="G1411" s="8" t="n">
        <x:f>C1411*E1411</x:f>
        <x:v>572</x:v>
      </x:c>
      <x:c r="H1411" s="8" t="n">
        <x:f>F1411-G1411</x:f>
        <x:v>549.8899999999999</x:v>
      </x:c>
      <x:c r="I1411" s="10" t="n">
        <x:f>H1411/F1411</x:f>
        <x:v>0.4901460927541915</x:v>
      </x:c>
    </x:row>
    <x:row r="1412" ht="22" customHeight="1">
      <x:c r="A1412" s="11" t="str">
        <x:v>2276</x:v>
      </x:c>
      <x:c r="B1412" s="8" t="str">
        <x:v>Proseware Desk Lamp E0130 Black</x:v>
      </x:c>
      <x:c r="C1412" s="8" t="n">
        <x:v>5</x:v>
      </x:c>
      <x:c r="D1412" s="9" t="n">
        <x:v>79.95</x:v>
      </x:c>
      <x:c r="E1412" s="9" t="n">
        <x:v>40.76</x:v>
      </x:c>
      <x:c r="F1412" s="8" t="n">
        <x:f>C1412*D1412</x:f>
        <x:v>399.75</x:v>
      </x:c>
      <x:c r="G1412" s="8" t="n">
        <x:f>C1412*E1412</x:f>
        <x:v>203.79999999999998</x:v>
      </x:c>
      <x:c r="H1412" s="8" t="n">
        <x:f>F1412-G1412</x:f>
        <x:v>195.95000000000002</x:v>
      </x:c>
      <x:c r="I1412" s="10" t="n">
        <x:f>H1412/F1412</x:f>
        <x:v>0.4901813633520951</x:v>
      </x:c>
    </x:row>
    <x:row r="1413" ht="22" customHeight="1">
      <x:c r="A1413" s="11" t="str">
        <x:v>2278</x:v>
      </x:c>
      <x:c r="B1413" s="8" t="str">
        <x:v>Proseware Floor Lamp X0115 White</x:v>
      </x:c>
      <x:c r="C1413" s="8" t="n">
        <x:v>10</x:v>
      </x:c>
      <x:c r="D1413" s="9" t="n">
        <x:v>635.99</x:v>
      </x:c>
      <x:c r="E1413" s="9" t="n">
        <x:v>210.72</x:v>
      </x:c>
      <x:c r="F1413" s="8" t="n">
        <x:f>C1413*D1413</x:f>
        <x:v>6359.9</x:v>
      </x:c>
      <x:c r="G1413" s="8" t="n">
        <x:f>C1413*E1413</x:f>
        <x:v>2107.2</x:v>
      </x:c>
      <x:c r="H1413" s="8" t="n">
        <x:f>F1413-G1413</x:f>
        <x:v>4252.7</x:v>
      </x:c>
      <x:c r="I1413" s="10" t="n">
        <x:f>H1413/F1413</x:f>
        <x:v>0.6686740357552792</x:v>
      </x:c>
    </x:row>
    <x:row r="1414" ht="22" customHeight="1">
      <x:c r="A1414" s="11" t="str">
        <x:v>2279</x:v>
      </x:c>
      <x:c r="B1414" s="8" t="str">
        <x:v>Proseware Floor Lamp M0215 White</x:v>
      </x:c>
      <x:c r="C1414" s="8" t="n">
        <x:v>11</x:v>
      </x:c>
      <x:c r="D1414" s="9" t="n">
        <x:v>339</x:v>
      </x:c>
      <x:c r="E1414" s="9" t="n">
        <x:v>155.89</x:v>
      </x:c>
      <x:c r="F1414" s="8" t="n">
        <x:f>C1414*D1414</x:f>
        <x:v>3729</x:v>
      </x:c>
      <x:c r="G1414" s="8" t="n">
        <x:f>C1414*E1414</x:f>
        <x:v>1714.79</x:v>
      </x:c>
      <x:c r="H1414" s="8" t="n">
        <x:f>F1414-G1414</x:f>
        <x:v>2014.21</x:v>
      </x:c>
      <x:c r="I1414" s="10" t="n">
        <x:f>H1414/F1414</x:f>
        <x:v>0.5401474926253688</x:v>
      </x:c>
    </x:row>
    <x:row r="1415" ht="22" customHeight="1">
      <x:c r="A1415" s="11" t="str">
        <x:v>228</x:v>
      </x:c>
      <x:c r="B1415" s="8" t="str">
        <x:v>Litware Home Theater System 2.1 Channel E211 Brown</x:v>
      </x:c>
      <x:c r="C1415" s="8" t="n">
        <x:v>3</x:v>
      </x:c>
      <x:c r="D1415" s="9" t="n">
        <x:v>269.9</x:v>
      </x:c>
      <x:c r="E1415" s="9" t="n">
        <x:v>137.6</x:v>
      </x:c>
      <x:c r="F1415" s="8" t="n">
        <x:f>C1415*D1415</x:f>
        <x:v>809.6999999999999</x:v>
      </x:c>
      <x:c r="G1415" s="8" t="n">
        <x:f>C1415*E1415</x:f>
        <x:v>412.79999999999995</x:v>
      </x:c>
      <x:c r="H1415" s="8" t="n">
        <x:f>F1415-G1415</x:f>
        <x:v>396.9</x:v>
      </x:c>
      <x:c r="I1415" s="10" t="n">
        <x:f>H1415/F1415</x:f>
        <x:v>0.4901815487217488</x:v>
      </x:c>
    </x:row>
    <x:row r="1416" ht="22" customHeight="1">
      <x:c r="A1416" s="11" t="str">
        <x:v>2281</x:v>
      </x:c>
      <x:c r="B1416" s="8" t="str">
        <x:v>Proseware Chandelier M0615 White</x:v>
      </x:c>
      <x:c r="C1416" s="8" t="n">
        <x:v>15</x:v>
      </x:c>
      <x:c r="D1416" s="9" t="n">
        <x:v>229.99</x:v>
      </x:c>
      <x:c r="E1416" s="9" t="n">
        <x:v>105.76</x:v>
      </x:c>
      <x:c r="F1416" s="8" t="n">
        <x:f>C1416*D1416</x:f>
        <x:v>3449.8500000000004</x:v>
      </x:c>
      <x:c r="G1416" s="8" t="n">
        <x:f>C1416*E1416</x:f>
        <x:v>1586.4</x:v>
      </x:c>
      <x:c r="H1416" s="8" t="n">
        <x:f>F1416-G1416</x:f>
        <x:v>1863.4500000000003</x:v>
      </x:c>
      <x:c r="I1416" s="10" t="n">
        <x:f>H1416/F1416</x:f>
        <x:v>0.5401539197356408</x:v>
      </x:c>
    </x:row>
    <x:row r="1417" ht="22" customHeight="1">
      <x:c r="A1417" s="11" t="str">
        <x:v>2283</x:v>
      </x:c>
      <x:c r="B1417" s="8" t="str">
        <x:v>Proseware Wall Lamp E0315 White</x:v>
      </x:c>
      <x:c r="C1417" s="8" t="n">
        <x:v>19</x:v>
      </x:c>
      <x:c r="D1417" s="9" t="n">
        <x:v>101.99</x:v>
      </x:c>
      <x:c r="E1417" s="9" t="n">
        <x:v>52</x:v>
      </x:c>
      <x:c r="F1417" s="8" t="n">
        <x:f>C1417*D1417</x:f>
        <x:v>1937.81</x:v>
      </x:c>
      <x:c r="G1417" s="8" t="n">
        <x:f>C1417*E1417</x:f>
        <x:v>988</x:v>
      </x:c>
      <x:c r="H1417" s="8" t="n">
        <x:f>F1417-G1417</x:f>
        <x:v>949.81</x:v>
      </x:c>
      <x:c r="I1417" s="10" t="n">
        <x:f>H1417/F1417</x:f>
        <x:v>0.4901460927541916</x:v>
      </x:c>
    </x:row>
    <x:row r="1418" ht="22" customHeight="1">
      <x:c r="A1418" s="11" t="str">
        <x:v>2284</x:v>
      </x:c>
      <x:c r="B1418" s="8" t="str">
        <x:v>Proseware Desk Lamp E0130 White</x:v>
      </x:c>
      <x:c r="C1418" s="8" t="n">
        <x:v>8</x:v>
      </x:c>
      <x:c r="D1418" s="9" t="n">
        <x:v>79.95</x:v>
      </x:c>
      <x:c r="E1418" s="9" t="n">
        <x:v>40.76</x:v>
      </x:c>
      <x:c r="F1418" s="8" t="n">
        <x:f>C1418*D1418</x:f>
        <x:v>639.6</x:v>
      </x:c>
      <x:c r="G1418" s="8" t="n">
        <x:f>C1418*E1418</x:f>
        <x:v>326.08</x:v>
      </x:c>
      <x:c r="H1418" s="8" t="n">
        <x:f>F1418-G1418</x:f>
        <x:v>313.52000000000004</x:v>
      </x:c>
      <x:c r="I1418" s="10" t="n">
        <x:f>H1418/F1418</x:f>
        <x:v>0.4901813633520951</x:v>
      </x:c>
    </x:row>
    <x:row r="1419" ht="22" customHeight="1">
      <x:c r="A1419" s="11" t="str">
        <x:v>2285</x:v>
      </x:c>
      <x:c r="B1419" s="8" t="str">
        <x:v>Proseware Desk Lamp E0120 White</x:v>
      </x:c>
      <x:c r="C1419" s="8" t="n">
        <x:v>19</x:v>
      </x:c>
      <x:c r="D1419" s="9" t="n">
        <x:v>29.99</x:v>
      </x:c>
      <x:c r="E1419" s="9" t="n">
        <x:v>15.29</x:v>
      </x:c>
      <x:c r="F1419" s="8" t="n">
        <x:f>C1419*D1419</x:f>
        <x:v>569.81</x:v>
      </x:c>
      <x:c r="G1419" s="8" t="n">
        <x:f>C1419*E1419</x:f>
        <x:v>290.51</x:v>
      </x:c>
      <x:c r="H1419" s="8" t="n">
        <x:f>F1419-G1419</x:f>
        <x:v>279.29999999999995</x:v>
      </x:c>
      <x:c r="I1419" s="10" t="n">
        <x:f>H1419/F1419</x:f>
        <x:v>0.49016338779593194</x:v>
      </x:c>
    </x:row>
    <x:row r="1420" ht="22" customHeight="1">
      <x:c r="A1420" s="11" t="str">
        <x:v>2286</x:v>
      </x:c>
      <x:c r="B1420" s="8" t="str">
        <x:v>Proseware Floor Lamp X0115 Silver</x:v>
      </x:c>
      <x:c r="C1420" s="8" t="n">
        <x:v>10</x:v>
      </x:c>
      <x:c r="D1420" s="9" t="n">
        <x:v>635.99</x:v>
      </x:c>
      <x:c r="E1420" s="9" t="n">
        <x:v>210.72</x:v>
      </x:c>
      <x:c r="F1420" s="8" t="n">
        <x:f>C1420*D1420</x:f>
        <x:v>6359.9</x:v>
      </x:c>
      <x:c r="G1420" s="8" t="n">
        <x:f>C1420*E1420</x:f>
        <x:v>2107.2</x:v>
      </x:c>
      <x:c r="H1420" s="8" t="n">
        <x:f>F1420-G1420</x:f>
        <x:v>4252.7</x:v>
      </x:c>
      <x:c r="I1420" s="10" t="n">
        <x:f>H1420/F1420</x:f>
        <x:v>0.6686740357552792</x:v>
      </x:c>
    </x:row>
    <x:row r="1421" ht="22" customHeight="1">
      <x:c r="A1421" s="11" t="str">
        <x:v>2287</x:v>
      </x:c>
      <x:c r="B1421" s="8" t="str">
        <x:v>Proseware Floor Lamp M0215 Silver</x:v>
      </x:c>
      <x:c r="C1421" s="8" t="n">
        <x:v>15</x:v>
      </x:c>
      <x:c r="D1421" s="9" t="n">
        <x:v>339</x:v>
      </x:c>
      <x:c r="E1421" s="9" t="n">
        <x:v>155.89</x:v>
      </x:c>
      <x:c r="F1421" s="8" t="n">
        <x:f>C1421*D1421</x:f>
        <x:v>5085</x:v>
      </x:c>
      <x:c r="G1421" s="8" t="n">
        <x:f>C1421*E1421</x:f>
        <x:v>2338.35</x:v>
      </x:c>
      <x:c r="H1421" s="8" t="n">
        <x:f>F1421-G1421</x:f>
        <x:v>2746.65</x:v>
      </x:c>
      <x:c r="I1421" s="10" t="n">
        <x:f>H1421/F1421</x:f>
        <x:v>0.5401474926253688</x:v>
      </x:c>
    </x:row>
    <x:row r="1422" ht="22" customHeight="1">
      <x:c r="A1422" s="11" t="str">
        <x:v>2288</x:v>
      </x:c>
      <x:c r="B1422" s="8" t="str">
        <x:v>Proseware Chandelier M0815 Silver</x:v>
      </x:c>
      <x:c r="C1422" s="8" t="n">
        <x:v>9</x:v>
      </x:c>
      <x:c r="D1422" s="9" t="n">
        <x:v>268.5</x:v>
      </x:c>
      <x:c r="E1422" s="9" t="n">
        <x:v>123.47</x:v>
      </x:c>
      <x:c r="F1422" s="8" t="n">
        <x:f>C1422*D1422</x:f>
        <x:v>2416.5</x:v>
      </x:c>
      <x:c r="G1422" s="8" t="n">
        <x:f>C1422*E1422</x:f>
        <x:v>1111.23</x:v>
      </x:c>
      <x:c r="H1422" s="8" t="n">
        <x:f>F1422-G1422</x:f>
        <x:v>1305.27</x:v>
      </x:c>
      <x:c r="I1422" s="10" t="n">
        <x:f>H1422/F1422</x:f>
        <x:v>0.5401489757914338</x:v>
      </x:c>
    </x:row>
    <x:row r="1423" ht="22" customHeight="1">
      <x:c r="A1423" s="11" t="str">
        <x:v>2289</x:v>
      </x:c>
      <x:c r="B1423" s="8" t="str">
        <x:v>Proseware Chandelier M0615 Silver</x:v>
      </x:c>
      <x:c r="C1423" s="8" t="n">
        <x:v>2</x:v>
      </x:c>
      <x:c r="D1423" s="9" t="n">
        <x:v>229.99</x:v>
      </x:c>
      <x:c r="E1423" s="9" t="n">
        <x:v>105.76</x:v>
      </x:c>
      <x:c r="F1423" s="8" t="n">
        <x:f>C1423*D1423</x:f>
        <x:v>459.98</x:v>
      </x:c>
      <x:c r="G1423" s="8" t="n">
        <x:f>C1423*E1423</x:f>
        <x:v>211.52</x:v>
      </x:c>
      <x:c r="H1423" s="8" t="n">
        <x:f>F1423-G1423</x:f>
        <x:v>248.46</x:v>
      </x:c>
      <x:c r="I1423" s="10" t="n">
        <x:f>H1423/F1423</x:f>
        <x:v>0.5401539197356406</x:v>
      </x:c>
    </x:row>
    <x:row r="1424" ht="22" customHeight="1">
      <x:c r="A1424" s="11" t="str">
        <x:v>229</x:v>
      </x:c>
      <x:c r="B1424" s="8" t="str">
        <x:v>Litware Home Theater System 2.1 Channel E212 Brown</x:v>
      </x:c>
      <x:c r="C1424" s="8" t="n">
        <x:v>7</x:v>
      </x:c>
      <x:c r="D1424" s="9" t="n">
        <x:v>299.9</x:v>
      </x:c>
      <x:c r="E1424" s="9" t="n">
        <x:v>152.9</x:v>
      </x:c>
      <x:c r="F1424" s="8" t="n">
        <x:f>C1424*D1424</x:f>
        <x:v>2099.2999999999997</x:v>
      </x:c>
      <x:c r="G1424" s="8" t="n">
        <x:f>C1424*E1424</x:f>
        <x:v>1070.3</x:v>
      </x:c>
      <x:c r="H1424" s="8" t="n">
        <x:f>F1424-G1424</x:f>
        <x:v>1028.9999999999998</x:v>
      </x:c>
      <x:c r="I1424" s="10" t="n">
        <x:f>H1424/F1424</x:f>
        <x:v>0.49016338779593194</x:v>
      </x:c>
    </x:row>
    <x:row r="1425" ht="22" customHeight="1">
      <x:c r="A1425" s="11" t="str">
        <x:v>2290</x:v>
      </x:c>
      <x:c r="B1425" s="8" t="str">
        <x:v>Proseware Wall Lamp E0215 Silver</x:v>
      </x:c>
      <x:c r="C1425" s="8" t="n">
        <x:v>6</x:v>
      </x:c>
      <x:c r="D1425" s="9" t="n">
        <x:v>119.99</x:v>
      </x:c>
      <x:c r="E1425" s="9" t="n">
        <x:v>61.17</x:v>
      </x:c>
      <x:c r="F1425" s="8" t="n">
        <x:f>C1425*D1425</x:f>
        <x:v>719.9399999999999</x:v>
      </x:c>
      <x:c r="G1425" s="8" t="n">
        <x:f>C1425*E1425</x:f>
        <x:v>367.02</x:v>
      </x:c>
      <x:c r="H1425" s="8" t="n">
        <x:f>F1425-G1425</x:f>
        <x:v>352.91999999999996</x:v>
      </x:c>
      <x:c r="I1425" s="10" t="n">
        <x:f>H1425/F1425</x:f>
        <x:v>0.49020751729310774</x:v>
      </x:c>
    </x:row>
    <x:row r="1426" ht="22" customHeight="1">
      <x:c r="A1426" s="11" t="str">
        <x:v>2291</x:v>
      </x:c>
      <x:c r="B1426" s="8" t="str">
        <x:v>Proseware Wall Lamp E0315 Silver</x:v>
      </x:c>
      <x:c r="C1426" s="8" t="n">
        <x:v>7</x:v>
      </x:c>
      <x:c r="D1426" s="9" t="n">
        <x:v>101.99</x:v>
      </x:c>
      <x:c r="E1426" s="9" t="n">
        <x:v>52</x:v>
      </x:c>
      <x:c r="F1426" s="8" t="n">
        <x:f>C1426*D1426</x:f>
        <x:v>713.93</x:v>
      </x:c>
      <x:c r="G1426" s="8" t="n">
        <x:f>C1426*E1426</x:f>
        <x:v>364</x:v>
      </x:c>
      <x:c r="H1426" s="8" t="n">
        <x:f>F1426-G1426</x:f>
        <x:v>349.92999999999995</x:v>
      </x:c>
      <x:c r="I1426" s="10" t="n">
        <x:f>H1426/F1426</x:f>
        <x:v>0.4901460927541916</x:v>
      </x:c>
    </x:row>
    <x:row r="1427" ht="22" customHeight="1">
      <x:c r="A1427" s="11" t="str">
        <x:v>2292</x:v>
      </x:c>
      <x:c r="B1427" s="8" t="str">
        <x:v>Proseware Desk Lamp E0130 Silver</x:v>
      </x:c>
      <x:c r="C1427" s="8" t="n">
        <x:v>13</x:v>
      </x:c>
      <x:c r="D1427" s="9" t="n">
        <x:v>79.95</x:v>
      </x:c>
      <x:c r="E1427" s="9" t="n">
        <x:v>40.76</x:v>
      </x:c>
      <x:c r="F1427" s="8" t="n">
        <x:f>C1427*D1427</x:f>
        <x:v>1039.3500000000001</x:v>
      </x:c>
      <x:c r="G1427" s="8" t="n">
        <x:f>C1427*E1427</x:f>
        <x:v>529.88</x:v>
      </x:c>
      <x:c r="H1427" s="8" t="n">
        <x:f>F1427-G1427</x:f>
        <x:v>509.47000000000014</x:v>
      </x:c>
      <x:c r="I1427" s="10" t="n">
        <x:f>H1427/F1427</x:f>
        <x:v>0.4901813633520951</x:v>
      </x:c>
    </x:row>
    <x:row r="1428" ht="22" customHeight="1">
      <x:c r="A1428" s="11" t="str">
        <x:v>2293</x:v>
      </x:c>
      <x:c r="B1428" s="8" t="str">
        <x:v>Proseware Desk Lamp E0120 Silver</x:v>
      </x:c>
      <x:c r="C1428" s="8" t="n">
        <x:v>5</x:v>
      </x:c>
      <x:c r="D1428" s="9" t="n">
        <x:v>29.99</x:v>
      </x:c>
      <x:c r="E1428" s="9" t="n">
        <x:v>15.29</x:v>
      </x:c>
      <x:c r="F1428" s="8" t="n">
        <x:f>C1428*D1428</x:f>
        <x:v>149.95</x:v>
      </x:c>
      <x:c r="G1428" s="8" t="n">
        <x:f>C1428*E1428</x:f>
        <x:v>76.44999999999999</x:v>
      </x:c>
      <x:c r="H1428" s="8" t="n">
        <x:f>F1428-G1428</x:f>
        <x:v>73.5</x:v>
      </x:c>
      <x:c r="I1428" s="10" t="n">
        <x:f>H1428/F1428</x:f>
        <x:v>0.490163387795932</x:v>
      </x:c>
    </x:row>
    <x:row r="1429" ht="22" customHeight="1">
      <x:c r="A1429" s="11" t="str">
        <x:v>2294</x:v>
      </x:c>
      <x:c r="B1429" s="8" t="str">
        <x:v>Proseware Floor Lamp X0115 Grey</x:v>
      </x:c>
      <x:c r="C1429" s="8" t="n">
        <x:v>3</x:v>
      </x:c>
      <x:c r="D1429" s="9" t="n">
        <x:v>635.99</x:v>
      </x:c>
      <x:c r="E1429" s="9" t="n">
        <x:v>210.72</x:v>
      </x:c>
      <x:c r="F1429" s="8" t="n">
        <x:f>C1429*D1429</x:f>
        <x:v>1907.97</x:v>
      </x:c>
      <x:c r="G1429" s="8" t="n">
        <x:f>C1429*E1429</x:f>
        <x:v>632.16</x:v>
      </x:c>
      <x:c r="H1429" s="8" t="n">
        <x:f>F1429-G1429</x:f>
        <x:v>1275.81</x:v>
      </x:c>
      <x:c r="I1429" s="10" t="n">
        <x:f>H1429/F1429</x:f>
        <x:v>0.6686740357552792</x:v>
      </x:c>
    </x:row>
    <x:row r="1430" ht="22" customHeight="1">
      <x:c r="A1430" s="11" t="str">
        <x:v>2296</x:v>
      </x:c>
      <x:c r="B1430" s="8" t="str">
        <x:v>Proseware Chandelier M0815 Grey</x:v>
      </x:c>
      <x:c r="C1430" s="8" t="n">
        <x:v>9</x:v>
      </x:c>
      <x:c r="D1430" s="9" t="n">
        <x:v>268.5</x:v>
      </x:c>
      <x:c r="E1430" s="9" t="n">
        <x:v>123.47</x:v>
      </x:c>
      <x:c r="F1430" s="8" t="n">
        <x:f>C1430*D1430</x:f>
        <x:v>2416.5</x:v>
      </x:c>
      <x:c r="G1430" s="8" t="n">
        <x:f>C1430*E1430</x:f>
        <x:v>1111.23</x:v>
      </x:c>
      <x:c r="H1430" s="8" t="n">
        <x:f>F1430-G1430</x:f>
        <x:v>1305.27</x:v>
      </x:c>
      <x:c r="I1430" s="10" t="n">
        <x:f>H1430/F1430</x:f>
        <x:v>0.5401489757914338</x:v>
      </x:c>
    </x:row>
    <x:row r="1431" ht="22" customHeight="1">
      <x:c r="A1431" s="11" t="str">
        <x:v>2297</x:v>
      </x:c>
      <x:c r="B1431" s="8" t="str">
        <x:v>Proseware Chandelier M0615 Grey</x:v>
      </x:c>
      <x:c r="C1431" s="8" t="n">
        <x:v>3</x:v>
      </x:c>
      <x:c r="D1431" s="9" t="n">
        <x:v>229.99</x:v>
      </x:c>
      <x:c r="E1431" s="9" t="n">
        <x:v>105.76</x:v>
      </x:c>
      <x:c r="F1431" s="8" t="n">
        <x:f>C1431*D1431</x:f>
        <x:v>689.97</x:v>
      </x:c>
      <x:c r="G1431" s="8" t="n">
        <x:f>C1431*E1431</x:f>
        <x:v>317.28000000000003</x:v>
      </x:c>
      <x:c r="H1431" s="8" t="n">
        <x:f>F1431-G1431</x:f>
        <x:v>372.69</x:v>
      </x:c>
      <x:c r="I1431" s="10" t="n">
        <x:f>H1431/F1431</x:f>
        <x:v>0.5401539197356406</x:v>
      </x:c>
    </x:row>
    <x:row r="1432" ht="22" customHeight="1">
      <x:c r="A1432" s="11" t="str">
        <x:v>2298</x:v>
      </x:c>
      <x:c r="B1432" s="8" t="str">
        <x:v>Proseware Wall Lamp E0215 Grey</x:v>
      </x:c>
      <x:c r="C1432" s="8" t="n">
        <x:v>6</x:v>
      </x:c>
      <x:c r="D1432" s="9" t="n">
        <x:v>119.99</x:v>
      </x:c>
      <x:c r="E1432" s="9" t="n">
        <x:v>61.17</x:v>
      </x:c>
      <x:c r="F1432" s="8" t="n">
        <x:f>C1432*D1432</x:f>
        <x:v>719.9399999999999</x:v>
      </x:c>
      <x:c r="G1432" s="8" t="n">
        <x:f>C1432*E1432</x:f>
        <x:v>367.02</x:v>
      </x:c>
      <x:c r="H1432" s="8" t="n">
        <x:f>F1432-G1432</x:f>
        <x:v>352.91999999999996</x:v>
      </x:c>
      <x:c r="I1432" s="10" t="n">
        <x:f>H1432/F1432</x:f>
        <x:v>0.49020751729310774</x:v>
      </x:c>
    </x:row>
    <x:row r="1433" ht="22" customHeight="1">
      <x:c r="A1433" s="11" t="str">
        <x:v>2299</x:v>
      </x:c>
      <x:c r="B1433" s="8" t="str">
        <x:v>Proseware Wall Lamp E0315 Grey</x:v>
      </x:c>
      <x:c r="C1433" s="8" t="n">
        <x:v>8</x:v>
      </x:c>
      <x:c r="D1433" s="9" t="n">
        <x:v>101.99</x:v>
      </x:c>
      <x:c r="E1433" s="9" t="n">
        <x:v>52</x:v>
      </x:c>
      <x:c r="F1433" s="8" t="n">
        <x:f>C1433*D1433</x:f>
        <x:v>815.92</x:v>
      </x:c>
      <x:c r="G1433" s="8" t="n">
        <x:f>C1433*E1433</x:f>
        <x:v>416</x:v>
      </x:c>
      <x:c r="H1433" s="8" t="n">
        <x:f>F1433-G1433</x:f>
        <x:v>399.91999999999996</x:v>
      </x:c>
      <x:c r="I1433" s="10" t="n">
        <x:f>H1433/F1433</x:f>
        <x:v>0.4901460927541916</x:v>
      </x:c>
    </x:row>
    <x:row r="1434" ht="22" customHeight="1">
      <x:c r="A1434" s="11" t="str">
        <x:v>23</x:v>
      </x:c>
      <x:c r="B1434" s="8" t="str">
        <x:v>Contoso 8GB MP3 Player new model M820 White</x:v>
      </x:c>
      <x:c r="C1434" s="8" t="n">
        <x:v>73</x:v>
      </x:c>
      <x:c r="D1434" s="9" t="n">
        <x:v>134</x:v>
      </x:c>
      <x:c r="E1434" s="9" t="n">
        <x:v>61.62</x:v>
      </x:c>
      <x:c r="F1434" s="8" t="n">
        <x:f>C1434*D1434</x:f>
        <x:v>9782</x:v>
      </x:c>
      <x:c r="G1434" s="8" t="n">
        <x:f>C1434*E1434</x:f>
        <x:v>4498.26</x:v>
      </x:c>
      <x:c r="H1434" s="8" t="n">
        <x:f>F1434-G1434</x:f>
        <x:v>5283.74</x:v>
      </x:c>
      <x:c r="I1434" s="10" t="n">
        <x:f>H1434/F1434</x:f>
        <x:v>0.5401492537313433</x:v>
      </x:c>
    </x:row>
    <x:row r="1435" ht="22" customHeight="1">
      <x:c r="A1435" s="11" t="str">
        <x:v>230</x:v>
      </x:c>
      <x:c r="B1435" s="8" t="str">
        <x:v>Litware Home Theater System 4.1 Channel M411 Brown</x:v>
      </x:c>
      <x:c r="C1435" s="8" t="n">
        <x:v>9</x:v>
      </x:c>
      <x:c r="D1435" s="9" t="n">
        <x:v>599</x:v>
      </x:c>
      <x:c r="E1435" s="9" t="n">
        <x:v>275.46</x:v>
      </x:c>
      <x:c r="F1435" s="8" t="n">
        <x:f>C1435*D1435</x:f>
        <x:v>5391</x:v>
      </x:c>
      <x:c r="G1435" s="8" t="n">
        <x:f>C1435*E1435</x:f>
        <x:v>2479.14</x:v>
      </x:c>
      <x:c r="H1435" s="8" t="n">
        <x:f>F1435-G1435</x:f>
        <x:v>2911.86</x:v>
      </x:c>
      <x:c r="I1435" s="10" t="n">
        <x:f>H1435/F1435</x:f>
        <x:v>0.5401335559265442</x:v>
      </x:c>
    </x:row>
    <x:row r="1436" ht="22" customHeight="1">
      <x:c r="A1436" s="11" t="str">
        <x:v>2300</x:v>
      </x:c>
      <x:c r="B1436" s="8" t="str">
        <x:v>Proseware Desk Lamp E0130 Grey</x:v>
      </x:c>
      <x:c r="C1436" s="8" t="n">
        <x:v>3</x:v>
      </x:c>
      <x:c r="D1436" s="9" t="n">
        <x:v>79.95</x:v>
      </x:c>
      <x:c r="E1436" s="9" t="n">
        <x:v>40.76</x:v>
      </x:c>
      <x:c r="F1436" s="8" t="n">
        <x:f>C1436*D1436</x:f>
        <x:v>239.85000000000002</x:v>
      </x:c>
      <x:c r="G1436" s="8" t="n">
        <x:f>C1436*E1436</x:f>
        <x:v>122.28</x:v>
      </x:c>
      <x:c r="H1436" s="8" t="n">
        <x:f>F1436-G1436</x:f>
        <x:v>117.57000000000002</x:v>
      </x:c>
      <x:c r="I1436" s="10" t="n">
        <x:f>H1436/F1436</x:f>
        <x:v>0.4901813633520951</x:v>
      </x:c>
    </x:row>
    <x:row r="1437" ht="22" customHeight="1">
      <x:c r="A1437" s="11" t="str">
        <x:v>2301</x:v>
      </x:c>
      <x:c r="B1437" s="8" t="str">
        <x:v>Proseware Desk Lamp E0120 Grey</x:v>
      </x:c>
      <x:c r="C1437" s="8" t="n">
        <x:v>8</x:v>
      </x:c>
      <x:c r="D1437" s="9" t="n">
        <x:v>29.99</x:v>
      </x:c>
      <x:c r="E1437" s="9" t="n">
        <x:v>15.29</x:v>
      </x:c>
      <x:c r="F1437" s="8" t="n">
        <x:f>C1437*D1437</x:f>
        <x:v>239.92</x:v>
      </x:c>
      <x:c r="G1437" s="8" t="n">
        <x:f>C1437*E1437</x:f>
        <x:v>122.32</x:v>
      </x:c>
      <x:c r="H1437" s="8" t="n">
        <x:f>F1437-G1437</x:f>
        <x:v>117.6</x:v>
      </x:c>
      <x:c r="I1437" s="10" t="n">
        <x:f>H1437/F1437</x:f>
        <x:v>0.490163387795932</x:v>
      </x:c>
    </x:row>
    <x:row r="1438" ht="22" customHeight="1">
      <x:c r="A1438" s="11" t="str">
        <x:v>2302</x:v>
      </x:c>
      <x:c r="B1438" s="8" t="str">
        <x:v>Proseware Floor Lamp X0115 Blue</x:v>
      </x:c>
      <x:c r="C1438" s="8" t="n">
        <x:v>1</x:v>
      </x:c>
      <x:c r="D1438" s="9" t="n">
        <x:v>635.99</x:v>
      </x:c>
      <x:c r="E1438" s="9" t="n">
        <x:v>210.72</x:v>
      </x:c>
      <x:c r="F1438" s="8" t="n">
        <x:f>C1438*D1438</x:f>
        <x:v>635.99</x:v>
      </x:c>
      <x:c r="G1438" s="8" t="n">
        <x:f>C1438*E1438</x:f>
        <x:v>210.72</x:v>
      </x:c>
      <x:c r="H1438" s="8" t="n">
        <x:f>F1438-G1438</x:f>
        <x:v>425.27</x:v>
      </x:c>
      <x:c r="I1438" s="10" t="n">
        <x:f>H1438/F1438</x:f>
        <x:v>0.6686740357552792</x:v>
      </x:c>
    </x:row>
    <x:row r="1439" ht="22" customHeight="1">
      <x:c r="A1439" s="11" t="str">
        <x:v>2303</x:v>
      </x:c>
      <x:c r="B1439" s="8" t="str">
        <x:v>Proseware Floor Lamp M0215 Blue</x:v>
      </x:c>
      <x:c r="C1439" s="8" t="n">
        <x:v>20</x:v>
      </x:c>
      <x:c r="D1439" s="9" t="n">
        <x:v>339</x:v>
      </x:c>
      <x:c r="E1439" s="9" t="n">
        <x:v>155.89</x:v>
      </x:c>
      <x:c r="F1439" s="8" t="n">
        <x:f>C1439*D1439</x:f>
        <x:v>6780</x:v>
      </x:c>
      <x:c r="G1439" s="8" t="n">
        <x:f>C1439*E1439</x:f>
        <x:v>3117.7999999999997</x:v>
      </x:c>
      <x:c r="H1439" s="8" t="n">
        <x:f>F1439-G1439</x:f>
        <x:v>3662.2000000000003</x:v>
      </x:c>
      <x:c r="I1439" s="10" t="n">
        <x:f>H1439/F1439</x:f>
        <x:v>0.5401474926253688</x:v>
      </x:c>
    </x:row>
    <x:row r="1440" ht="22" customHeight="1">
      <x:c r="A1440" s="11" t="str">
        <x:v>2304</x:v>
      </x:c>
      <x:c r="B1440" s="8" t="str">
        <x:v>Proseware Chandelier M0815 Blue</x:v>
      </x:c>
      <x:c r="C1440" s="8" t="n">
        <x:v>24</x:v>
      </x:c>
      <x:c r="D1440" s="9" t="n">
        <x:v>268.5</x:v>
      </x:c>
      <x:c r="E1440" s="9" t="n">
        <x:v>123.47</x:v>
      </x:c>
      <x:c r="F1440" s="8" t="n">
        <x:f>C1440*D1440</x:f>
        <x:v>6444</x:v>
      </x:c>
      <x:c r="G1440" s="8" t="n">
        <x:f>C1440*E1440</x:f>
        <x:v>2963.2799999999997</x:v>
      </x:c>
      <x:c r="H1440" s="8" t="n">
        <x:f>F1440-G1440</x:f>
        <x:v>3480.7200000000003</x:v>
      </x:c>
      <x:c r="I1440" s="10" t="n">
        <x:f>H1440/F1440</x:f>
        <x:v>0.540148975791434</x:v>
      </x:c>
    </x:row>
    <x:row r="1441" ht="22" customHeight="1">
      <x:c r="A1441" s="11" t="str">
        <x:v>2305</x:v>
      </x:c>
      <x:c r="B1441" s="8" t="str">
        <x:v>Proseware Chandelier M0615 Blue</x:v>
      </x:c>
      <x:c r="C1441" s="8" t="n">
        <x:v>14</x:v>
      </x:c>
      <x:c r="D1441" s="9" t="n">
        <x:v>229.99</x:v>
      </x:c>
      <x:c r="E1441" s="9" t="n">
        <x:v>105.76</x:v>
      </x:c>
      <x:c r="F1441" s="8" t="n">
        <x:f>C1441*D1441</x:f>
        <x:v>3219.86</x:v>
      </x:c>
      <x:c r="G1441" s="8" t="n">
        <x:f>C1441*E1441</x:f>
        <x:v>1480.64</x:v>
      </x:c>
      <x:c r="H1441" s="8" t="n">
        <x:f>F1441-G1441</x:f>
        <x:v>1739.22</x:v>
      </x:c>
      <x:c r="I1441" s="10" t="n">
        <x:f>H1441/F1441</x:f>
        <x:v>0.5401539197356406</x:v>
      </x:c>
    </x:row>
    <x:row r="1442" ht="22" customHeight="1">
      <x:c r="A1442" s="11" t="str">
        <x:v>2306</x:v>
      </x:c>
      <x:c r="B1442" s="8" t="str">
        <x:v>Proseware Wall Lamp E0215 Blue</x:v>
      </x:c>
      <x:c r="C1442" s="8" t="n">
        <x:v>1</x:v>
      </x:c>
      <x:c r="D1442" s="9" t="n">
        <x:v>119.99</x:v>
      </x:c>
      <x:c r="E1442" s="9" t="n">
        <x:v>61.17</x:v>
      </x:c>
      <x:c r="F1442" s="8" t="n">
        <x:f>C1442*D1442</x:f>
        <x:v>119.99</x:v>
      </x:c>
      <x:c r="G1442" s="8" t="n">
        <x:f>C1442*E1442</x:f>
        <x:v>61.17</x:v>
      </x:c>
      <x:c r="H1442" s="8" t="n">
        <x:f>F1442-G1442</x:f>
        <x:v>58.81999999999999</x:v>
      </x:c>
      <x:c r="I1442" s="10" t="n">
        <x:f>H1442/F1442</x:f>
        <x:v>0.49020751729310774</x:v>
      </x:c>
    </x:row>
    <x:row r="1443" ht="22" customHeight="1">
      <x:c r="A1443" s="11" t="str">
        <x:v>2307</x:v>
      </x:c>
      <x:c r="B1443" s="8" t="str">
        <x:v>Proseware Wall Lamp E0315 Blue</x:v>
      </x:c>
      <x:c r="C1443" s="8" t="n">
        <x:v>10</x:v>
      </x:c>
      <x:c r="D1443" s="9" t="n">
        <x:v>101.99</x:v>
      </x:c>
      <x:c r="E1443" s="9" t="n">
        <x:v>52</x:v>
      </x:c>
      <x:c r="F1443" s="8" t="n">
        <x:f>C1443*D1443</x:f>
        <x:v>1019.9</x:v>
      </x:c>
      <x:c r="G1443" s="8" t="n">
        <x:f>C1443*E1443</x:f>
        <x:v>520</x:v>
      </x:c>
      <x:c r="H1443" s="8" t="n">
        <x:f>F1443-G1443</x:f>
        <x:v>499.9</x:v>
      </x:c>
      <x:c r="I1443" s="10" t="n">
        <x:f>H1443/F1443</x:f>
        <x:v>0.4901460927541916</x:v>
      </x:c>
    </x:row>
    <x:row r="1444" ht="22" customHeight="1">
      <x:c r="A1444" s="11" t="str">
        <x:v>2308</x:v>
      </x:c>
      <x:c r="B1444" s="8" t="str">
        <x:v>Proseware Desk Lamp E0130 Blue</x:v>
      </x:c>
      <x:c r="C1444" s="8" t="n">
        <x:v>2</x:v>
      </x:c>
      <x:c r="D1444" s="9" t="n">
        <x:v>79.95</x:v>
      </x:c>
      <x:c r="E1444" s="9" t="n">
        <x:v>40.76</x:v>
      </x:c>
      <x:c r="F1444" s="8" t="n">
        <x:f>C1444*D1444</x:f>
        <x:v>159.9</x:v>
      </x:c>
      <x:c r="G1444" s="8" t="n">
        <x:f>C1444*E1444</x:f>
        <x:v>81.52</x:v>
      </x:c>
      <x:c r="H1444" s="8" t="n">
        <x:f>F1444-G1444</x:f>
        <x:v>78.38000000000001</x:v>
      </x:c>
      <x:c r="I1444" s="10" t="n">
        <x:f>H1444/F1444</x:f>
        <x:v>0.4901813633520951</x:v>
      </x:c>
    </x:row>
    <x:row r="1445" ht="22" customHeight="1">
      <x:c r="A1445" s="11" t="str">
        <x:v>2309</x:v>
      </x:c>
      <x:c r="B1445" s="8" t="str">
        <x:v>Proseware Desk Lamp E0120 Blue</x:v>
      </x:c>
      <x:c r="C1445" s="8" t="n">
        <x:v>2</x:v>
      </x:c>
      <x:c r="D1445" s="9" t="n">
        <x:v>29.99</x:v>
      </x:c>
      <x:c r="E1445" s="9" t="n">
        <x:v>15.29</x:v>
      </x:c>
      <x:c r="F1445" s="8" t="n">
        <x:f>C1445*D1445</x:f>
        <x:v>59.98</x:v>
      </x:c>
      <x:c r="G1445" s="8" t="n">
        <x:f>C1445*E1445</x:f>
        <x:v>30.58</x:v>
      </x:c>
      <x:c r="H1445" s="8" t="n">
        <x:f>F1445-G1445</x:f>
        <x:v>29.4</x:v>
      </x:c>
      <x:c r="I1445" s="10" t="n">
        <x:f>H1445/F1445</x:f>
        <x:v>0.490163387795932</x:v>
      </x:c>
    </x:row>
    <x:row r="1446" ht="22" customHeight="1">
      <x:c r="A1446" s="11" t="str">
        <x:v>231</x:v>
      </x:c>
      <x:c r="B1446" s="8" t="str">
        <x:v>Litware Home Theater System 4.1 Channel M412 Brown</x:v>
      </x:c>
      <x:c r="C1446" s="8" t="n">
        <x:v>18</x:v>
      </x:c>
      <x:c r="D1446" s="9" t="n">
        <x:v>569</x:v>
      </x:c>
      <x:c r="E1446" s="9" t="n">
        <x:v>261.66</x:v>
      </x:c>
      <x:c r="F1446" s="8" t="n">
        <x:f>C1446*D1446</x:f>
        <x:v>10242</x:v>
      </x:c>
      <x:c r="G1446" s="8" t="n">
        <x:f>C1446*E1446</x:f>
        <x:v>4709.88</x:v>
      </x:c>
      <x:c r="H1446" s="8" t="n">
        <x:f>F1446-G1446</x:f>
        <x:v>5532.12</x:v>
      </x:c>
      <x:c r="I1446" s="10" t="n">
        <x:f>H1446/F1446</x:f>
        <x:v>0.540140597539543</x:v>
      </x:c>
    </x:row>
    <x:row r="1447" ht="22" customHeight="1">
      <x:c r="A1447" s="11" t="str">
        <x:v>2310</x:v>
      </x:c>
      <x:c r="B1447" s="8" t="str">
        <x:v>Litware Floor Lamp X1015 Black</x:v>
      </x:c>
      <x:c r="C1447" s="8" t="n">
        <x:v>3</x:v>
      </x:c>
      <x:c r="D1447" s="9" t="n">
        <x:v>635.99</x:v>
      </x:c>
      <x:c r="E1447" s="9" t="n">
        <x:v>210.72</x:v>
      </x:c>
      <x:c r="F1447" s="8" t="n">
        <x:f>C1447*D1447</x:f>
        <x:v>1907.97</x:v>
      </x:c>
      <x:c r="G1447" s="8" t="n">
        <x:f>C1447*E1447</x:f>
        <x:v>632.16</x:v>
      </x:c>
      <x:c r="H1447" s="8" t="n">
        <x:f>F1447-G1447</x:f>
        <x:v>1275.81</x:v>
      </x:c>
      <x:c r="I1447" s="10" t="n">
        <x:f>H1447/F1447</x:f>
        <x:v>0.6686740357552792</x:v>
      </x:c>
    </x:row>
    <x:row r="1448" ht="22" customHeight="1">
      <x:c r="A1448" s="11" t="str">
        <x:v>2311</x:v>
      </x:c>
      <x:c r="B1448" s="8" t="str">
        <x:v>Litware Floor Lamp M2015 Black</x:v>
      </x:c>
      <x:c r="C1448" s="8" t="n">
        <x:v>9</x:v>
      </x:c>
      <x:c r="D1448" s="9" t="n">
        <x:v>339</x:v>
      </x:c>
      <x:c r="E1448" s="9" t="n">
        <x:v>155.89</x:v>
      </x:c>
      <x:c r="F1448" s="8" t="n">
        <x:f>C1448*D1448</x:f>
        <x:v>3051</x:v>
      </x:c>
      <x:c r="G1448" s="8" t="n">
        <x:f>C1448*E1448</x:f>
        <x:v>1403.0099999999998</x:v>
      </x:c>
      <x:c r="H1448" s="8" t="n">
        <x:f>F1448-G1448</x:f>
        <x:v>1647.9900000000002</x:v>
      </x:c>
      <x:c r="I1448" s="10" t="n">
        <x:f>H1448/F1448</x:f>
        <x:v>0.5401474926253688</x:v>
      </x:c>
    </x:row>
    <x:row r="1449" ht="22" customHeight="1">
      <x:c r="A1449" s="11" t="str">
        <x:v>2312</x:v>
      </x:c>
      <x:c r="B1449" s="8" t="str">
        <x:v>Litware Chandelier M8015 Black</x:v>
      </x:c>
      <x:c r="C1449" s="8" t="n">
        <x:v>11</x:v>
      </x:c>
      <x:c r="D1449" s="9" t="n">
        <x:v>268.5</x:v>
      </x:c>
      <x:c r="E1449" s="9" t="n">
        <x:v>123.47</x:v>
      </x:c>
      <x:c r="F1449" s="8" t="n">
        <x:f>C1449*D1449</x:f>
        <x:v>2953.5</x:v>
      </x:c>
      <x:c r="G1449" s="8" t="n">
        <x:f>C1449*E1449</x:f>
        <x:v>1358.17</x:v>
      </x:c>
      <x:c r="H1449" s="8" t="n">
        <x:f>F1449-G1449</x:f>
        <x:v>1595.33</x:v>
      </x:c>
      <x:c r="I1449" s="10" t="n">
        <x:f>H1449/F1449</x:f>
        <x:v>0.5401489757914338</x:v>
      </x:c>
    </x:row>
    <x:row r="1450" ht="22" customHeight="1">
      <x:c r="A1450" s="11" t="str">
        <x:v>2313</x:v>
      </x:c>
      <x:c r="B1450" s="8" t="str">
        <x:v>Litware Chandelier M6015 Black</x:v>
      </x:c>
      <x:c r="C1450" s="8" t="n">
        <x:v>8</x:v>
      </x:c>
      <x:c r="D1450" s="9" t="n">
        <x:v>229.99</x:v>
      </x:c>
      <x:c r="E1450" s="9" t="n">
        <x:v>105.76</x:v>
      </x:c>
      <x:c r="F1450" s="8" t="n">
        <x:f>C1450*D1450</x:f>
        <x:v>1839.92</x:v>
      </x:c>
      <x:c r="G1450" s="8" t="n">
        <x:f>C1450*E1450</x:f>
        <x:v>846.08</x:v>
      </x:c>
      <x:c r="H1450" s="8" t="n">
        <x:f>F1450-G1450</x:f>
        <x:v>993.84</x:v>
      </x:c>
      <x:c r="I1450" s="10" t="n">
        <x:f>H1450/F1450</x:f>
        <x:v>0.5401539197356406</x:v>
      </x:c>
    </x:row>
    <x:row r="1451" ht="22" customHeight="1">
      <x:c r="A1451" s="11" t="str">
        <x:v>2314</x:v>
      </x:c>
      <x:c r="B1451" s="8" t="str">
        <x:v>Litware Wall Lamp E2015 Black</x:v>
      </x:c>
      <x:c r="C1451" s="8" t="n">
        <x:v>9</x:v>
      </x:c>
      <x:c r="D1451" s="9" t="n">
        <x:v>119.99</x:v>
      </x:c>
      <x:c r="E1451" s="9" t="n">
        <x:v>61.17</x:v>
      </x:c>
      <x:c r="F1451" s="8" t="n">
        <x:f>C1451*D1451</x:f>
        <x:v>1079.9099999999999</x:v>
      </x:c>
      <x:c r="G1451" s="8" t="n">
        <x:f>C1451*E1451</x:f>
        <x:v>550.53</x:v>
      </x:c>
      <x:c r="H1451" s="8" t="n">
        <x:f>F1451-G1451</x:f>
        <x:v>529.3799999999999</x:v>
      </x:c>
      <x:c r="I1451" s="10" t="n">
        <x:f>H1451/F1451</x:f>
        <x:v>0.49020751729310774</x:v>
      </x:c>
    </x:row>
    <x:row r="1452" ht="22" customHeight="1">
      <x:c r="A1452" s="11" t="str">
        <x:v>2315</x:v>
      </x:c>
      <x:c r="B1452" s="8" t="str">
        <x:v>Litware Wall Lamp E3015 Black</x:v>
      </x:c>
      <x:c r="C1452" s="8" t="n">
        <x:v>4</x:v>
      </x:c>
      <x:c r="D1452" s="9" t="n">
        <x:v>101.99</x:v>
      </x:c>
      <x:c r="E1452" s="9" t="n">
        <x:v>52</x:v>
      </x:c>
      <x:c r="F1452" s="8" t="n">
        <x:f>C1452*D1452</x:f>
        <x:v>407.96</x:v>
      </x:c>
      <x:c r="G1452" s="8" t="n">
        <x:f>C1452*E1452</x:f>
        <x:v>208</x:v>
      </x:c>
      <x:c r="H1452" s="8" t="n">
        <x:f>F1452-G1452</x:f>
        <x:v>199.95999999999998</x:v>
      </x:c>
      <x:c r="I1452" s="10" t="n">
        <x:f>H1452/F1452</x:f>
        <x:v>0.4901460927541916</x:v>
      </x:c>
    </x:row>
    <x:row r="1453" ht="22" customHeight="1">
      <x:c r="A1453" s="11" t="str">
        <x:v>2316</x:v>
      </x:c>
      <x:c r="B1453" s="8" t="str">
        <x:v>Litware Desk Lamp E1030 Black</x:v>
      </x:c>
      <x:c r="C1453" s="8" t="n">
        <x:v>8</x:v>
      </x:c>
      <x:c r="D1453" s="9" t="n">
        <x:v>79.95</x:v>
      </x:c>
      <x:c r="E1453" s="9" t="n">
        <x:v>40.76</x:v>
      </x:c>
      <x:c r="F1453" s="8" t="n">
        <x:f>C1453*D1453</x:f>
        <x:v>639.6</x:v>
      </x:c>
      <x:c r="G1453" s="8" t="n">
        <x:f>C1453*E1453</x:f>
        <x:v>326.08</x:v>
      </x:c>
      <x:c r="H1453" s="8" t="n">
        <x:f>F1453-G1453</x:f>
        <x:v>313.52000000000004</x:v>
      </x:c>
      <x:c r="I1453" s="10" t="n">
        <x:f>H1453/F1453</x:f>
        <x:v>0.4901813633520951</x:v>
      </x:c>
    </x:row>
    <x:row r="1454" ht="22" customHeight="1">
      <x:c r="A1454" s="11" t="str">
        <x:v>2317</x:v>
      </x:c>
      <x:c r="B1454" s="8" t="str">
        <x:v>Litware Desk Lamp E1020 Black</x:v>
      </x:c>
      <x:c r="C1454" s="8" t="n">
        <x:v>7</x:v>
      </x:c>
      <x:c r="D1454" s="9" t="n">
        <x:v>29.99</x:v>
      </x:c>
      <x:c r="E1454" s="9" t="n">
        <x:v>15.29</x:v>
      </x:c>
      <x:c r="F1454" s="8" t="n">
        <x:f>C1454*D1454</x:f>
        <x:v>209.92999999999998</x:v>
      </x:c>
      <x:c r="G1454" s="8" t="n">
        <x:f>C1454*E1454</x:f>
        <x:v>107.03</x:v>
      </x:c>
      <x:c r="H1454" s="8" t="n">
        <x:f>F1454-G1454</x:f>
        <x:v>102.89999999999998</x:v>
      </x:c>
      <x:c r="I1454" s="10" t="n">
        <x:f>H1454/F1454</x:f>
        <x:v>0.49016338779593194</x:v>
      </x:c>
    </x:row>
    <x:row r="1455" ht="22" customHeight="1">
      <x:c r="A1455" s="11" t="str">
        <x:v>2318</x:v>
      </x:c>
      <x:c r="B1455" s="8" t="str">
        <x:v>Litware Floor Lamp X1015 White</x:v>
      </x:c>
      <x:c r="C1455" s="8" t="n">
        <x:v>5</x:v>
      </x:c>
      <x:c r="D1455" s="9" t="n">
        <x:v>635.99</x:v>
      </x:c>
      <x:c r="E1455" s="9" t="n">
        <x:v>210.72</x:v>
      </x:c>
      <x:c r="F1455" s="8" t="n">
        <x:f>C1455*D1455</x:f>
        <x:v>3179.95</x:v>
      </x:c>
      <x:c r="G1455" s="8" t="n">
        <x:f>C1455*E1455</x:f>
        <x:v>1053.6</x:v>
      </x:c>
      <x:c r="H1455" s="8" t="n">
        <x:f>F1455-G1455</x:f>
        <x:v>2126.35</x:v>
      </x:c>
      <x:c r="I1455" s="10" t="n">
        <x:f>H1455/F1455</x:f>
        <x:v>0.6686740357552792</x:v>
      </x:c>
    </x:row>
    <x:row r="1456" ht="22" customHeight="1">
      <x:c r="A1456" s="11" t="str">
        <x:v>2319</x:v>
      </x:c>
      <x:c r="B1456" s="8" t="str">
        <x:v>Litware Floor Lamp M2015 White</x:v>
      </x:c>
      <x:c r="C1456" s="8" t="n">
        <x:v>6</x:v>
      </x:c>
      <x:c r="D1456" s="9" t="n">
        <x:v>339</x:v>
      </x:c>
      <x:c r="E1456" s="9" t="n">
        <x:v>155.89</x:v>
      </x:c>
      <x:c r="F1456" s="8" t="n">
        <x:f>C1456*D1456</x:f>
        <x:v>2034</x:v>
      </x:c>
      <x:c r="G1456" s="8" t="n">
        <x:f>C1456*E1456</x:f>
        <x:v>935.3399999999999</x:v>
      </x:c>
      <x:c r="H1456" s="8" t="n">
        <x:f>F1456-G1456</x:f>
        <x:v>1098.66</x:v>
      </x:c>
      <x:c r="I1456" s="10" t="n">
        <x:f>H1456/F1456</x:f>
        <x:v>0.5401474926253688</x:v>
      </x:c>
    </x:row>
    <x:row r="1457" ht="22" customHeight="1">
      <x:c r="A1457" s="11" t="str">
        <x:v>232</x:v>
      </x:c>
      <x:c r="B1457" s="8" t="str">
        <x:v>Litware Home Theater System 4.1 Channel M413 Brown</x:v>
      </x:c>
      <x:c r="C1457" s="8" t="n">
        <x:v>11</x:v>
      </x:c>
      <x:c r="D1457" s="9" t="n">
        <x:v>549</x:v>
      </x:c>
      <x:c r="E1457" s="9" t="n">
        <x:v>252.47</x:v>
      </x:c>
      <x:c r="F1457" s="8" t="n">
        <x:f>C1457*D1457</x:f>
        <x:v>6039</x:v>
      </x:c>
      <x:c r="G1457" s="8" t="n">
        <x:f>C1457*E1457</x:f>
        <x:v>2777.17</x:v>
      </x:c>
      <x:c r="H1457" s="8" t="n">
        <x:f>F1457-G1457</x:f>
        <x:v>3261.83</x:v>
      </x:c>
      <x:c r="I1457" s="10" t="n">
        <x:f>H1457/F1457</x:f>
        <x:v>0.540127504553734</x:v>
      </x:c>
    </x:row>
    <x:row r="1458" ht="22" customHeight="1">
      <x:c r="A1458" s="11" t="str">
        <x:v>2321</x:v>
      </x:c>
      <x:c r="B1458" s="8" t="str">
        <x:v>Litware Chandelier M6015 White</x:v>
      </x:c>
      <x:c r="C1458" s="8" t="n">
        <x:v>3</x:v>
      </x:c>
      <x:c r="D1458" s="9" t="n">
        <x:v>229.99</x:v>
      </x:c>
      <x:c r="E1458" s="9" t="n">
        <x:v>105.76</x:v>
      </x:c>
      <x:c r="F1458" s="8" t="n">
        <x:f>C1458*D1458</x:f>
        <x:v>689.97</x:v>
      </x:c>
      <x:c r="G1458" s="8" t="n">
        <x:f>C1458*E1458</x:f>
        <x:v>317.28000000000003</x:v>
      </x:c>
      <x:c r="H1458" s="8" t="n">
        <x:f>F1458-G1458</x:f>
        <x:v>372.69</x:v>
      </x:c>
      <x:c r="I1458" s="10" t="n">
        <x:f>H1458/F1458</x:f>
        <x:v>0.5401539197356406</x:v>
      </x:c>
    </x:row>
    <x:row r="1459" ht="22" customHeight="1">
      <x:c r="A1459" s="11" t="str">
        <x:v>2322</x:v>
      </x:c>
      <x:c r="B1459" s="8" t="str">
        <x:v>Litware Wall Lamp E2015 White</x:v>
      </x:c>
      <x:c r="C1459" s="8" t="n">
        <x:v>20</x:v>
      </x:c>
      <x:c r="D1459" s="9" t="n">
        <x:v>119.99</x:v>
      </x:c>
      <x:c r="E1459" s="9" t="n">
        <x:v>61.17</x:v>
      </x:c>
      <x:c r="F1459" s="8" t="n">
        <x:f>C1459*D1459</x:f>
        <x:v>2399.7999999999997</x:v>
      </x:c>
      <x:c r="G1459" s="8" t="n">
        <x:f>C1459*E1459</x:f>
        <x:v>1223.4</x:v>
      </x:c>
      <x:c r="H1459" s="8" t="n">
        <x:f>F1459-G1459</x:f>
        <x:v>1176.3999999999996</x:v>
      </x:c>
      <x:c r="I1459" s="10" t="n">
        <x:f>H1459/F1459</x:f>
        <x:v>0.4902075172931077</x:v>
      </x:c>
    </x:row>
    <x:row r="1460" ht="22" customHeight="1">
      <x:c r="A1460" s="11" t="str">
        <x:v>2323</x:v>
      </x:c>
      <x:c r="B1460" s="8" t="str">
        <x:v>Litware Wall Lamp E3015 White</x:v>
      </x:c>
      <x:c r="C1460" s="8" t="n">
        <x:v>4</x:v>
      </x:c>
      <x:c r="D1460" s="9" t="n">
        <x:v>101.99</x:v>
      </x:c>
      <x:c r="E1460" s="9" t="n">
        <x:v>52</x:v>
      </x:c>
      <x:c r="F1460" s="8" t="n">
        <x:f>C1460*D1460</x:f>
        <x:v>407.96</x:v>
      </x:c>
      <x:c r="G1460" s="8" t="n">
        <x:f>C1460*E1460</x:f>
        <x:v>208</x:v>
      </x:c>
      <x:c r="H1460" s="8" t="n">
        <x:f>F1460-G1460</x:f>
        <x:v>199.95999999999998</x:v>
      </x:c>
      <x:c r="I1460" s="10" t="n">
        <x:f>H1460/F1460</x:f>
        <x:v>0.4901460927541916</x:v>
      </x:c>
    </x:row>
    <x:row r="1461" ht="22" customHeight="1">
      <x:c r="A1461" s="11" t="str">
        <x:v>2324</x:v>
      </x:c>
      <x:c r="B1461" s="8" t="str">
        <x:v>Litware Desk Lamp E1030 White</x:v>
      </x:c>
      <x:c r="C1461" s="8" t="n">
        <x:v>4</x:v>
      </x:c>
      <x:c r="D1461" s="9" t="n">
        <x:v>79.95</x:v>
      </x:c>
      <x:c r="E1461" s="9" t="n">
        <x:v>40.76</x:v>
      </x:c>
      <x:c r="F1461" s="8" t="n">
        <x:f>C1461*D1461</x:f>
        <x:v>319.8</x:v>
      </x:c>
      <x:c r="G1461" s="8" t="n">
        <x:f>C1461*E1461</x:f>
        <x:v>163.04</x:v>
      </x:c>
      <x:c r="H1461" s="8" t="n">
        <x:f>F1461-G1461</x:f>
        <x:v>156.76000000000002</x:v>
      </x:c>
      <x:c r="I1461" s="10" t="n">
        <x:f>H1461/F1461</x:f>
        <x:v>0.4901813633520951</x:v>
      </x:c>
    </x:row>
    <x:row r="1462" ht="22" customHeight="1">
      <x:c r="A1462" s="11" t="str">
        <x:v>2325</x:v>
      </x:c>
      <x:c r="B1462" s="8" t="str">
        <x:v>Litware Desk Lamp E1020 White</x:v>
      </x:c>
      <x:c r="C1462" s="8" t="n">
        <x:v>3</x:v>
      </x:c>
      <x:c r="D1462" s="9" t="n">
        <x:v>29.99</x:v>
      </x:c>
      <x:c r="E1462" s="9" t="n">
        <x:v>15.29</x:v>
      </x:c>
      <x:c r="F1462" s="8" t="n">
        <x:f>C1462*D1462</x:f>
        <x:v>89.97</x:v>
      </x:c>
      <x:c r="G1462" s="8" t="n">
        <x:f>C1462*E1462</x:f>
        <x:v>45.87</x:v>
      </x:c>
      <x:c r="H1462" s="8" t="n">
        <x:f>F1462-G1462</x:f>
        <x:v>44.1</x:v>
      </x:c>
      <x:c r="I1462" s="10" t="n">
        <x:f>H1462/F1462</x:f>
        <x:v>0.490163387795932</x:v>
      </x:c>
    </x:row>
    <x:row r="1463" ht="22" customHeight="1">
      <x:c r="A1463" s="11" t="str">
        <x:v>2326</x:v>
      </x:c>
      <x:c r="B1463" s="8" t="str">
        <x:v>Litware Floor Lamp X1015 Silver</x:v>
      </x:c>
      <x:c r="C1463" s="8" t="n">
        <x:v>7</x:v>
      </x:c>
      <x:c r="D1463" s="9" t="n">
        <x:v>635.99</x:v>
      </x:c>
      <x:c r="E1463" s="9" t="n">
        <x:v>210.72</x:v>
      </x:c>
      <x:c r="F1463" s="8" t="n">
        <x:f>C1463*D1463</x:f>
        <x:v>4451.93</x:v>
      </x:c>
      <x:c r="G1463" s="8" t="n">
        <x:f>C1463*E1463</x:f>
        <x:v>1475.04</x:v>
      </x:c>
      <x:c r="H1463" s="8" t="n">
        <x:f>F1463-G1463</x:f>
        <x:v>2976.8900000000003</x:v>
      </x:c>
      <x:c r="I1463" s="10" t="n">
        <x:f>H1463/F1463</x:f>
        <x:v>0.6686740357552792</x:v>
      </x:c>
    </x:row>
    <x:row r="1464" ht="22" customHeight="1">
      <x:c r="A1464" s="11" t="str">
        <x:v>2327</x:v>
      </x:c>
      <x:c r="B1464" s="8" t="str">
        <x:v>Litware Floor Lamp M2015 Silver</x:v>
      </x:c>
      <x:c r="C1464" s="8" t="n">
        <x:v>7</x:v>
      </x:c>
      <x:c r="D1464" s="9" t="n">
        <x:v>339</x:v>
      </x:c>
      <x:c r="E1464" s="9" t="n">
        <x:v>155.89</x:v>
      </x:c>
      <x:c r="F1464" s="8" t="n">
        <x:f>C1464*D1464</x:f>
        <x:v>2373</x:v>
      </x:c>
      <x:c r="G1464" s="8" t="n">
        <x:f>C1464*E1464</x:f>
        <x:v>1091.23</x:v>
      </x:c>
      <x:c r="H1464" s="8" t="n">
        <x:f>F1464-G1464</x:f>
        <x:v>1281.77</x:v>
      </x:c>
      <x:c r="I1464" s="10" t="n">
        <x:f>H1464/F1464</x:f>
        <x:v>0.5401474926253688</x:v>
      </x:c>
    </x:row>
    <x:row r="1465" ht="22" customHeight="1">
      <x:c r="A1465" s="11" t="str">
        <x:v>2329</x:v>
      </x:c>
      <x:c r="B1465" s="8" t="str">
        <x:v>Litware Chandelier M6015 Silver</x:v>
      </x:c>
      <x:c r="C1465" s="8" t="n">
        <x:v>9</x:v>
      </x:c>
      <x:c r="D1465" s="9" t="n">
        <x:v>229.99</x:v>
      </x:c>
      <x:c r="E1465" s="9" t="n">
        <x:v>105.76</x:v>
      </x:c>
      <x:c r="F1465" s="8" t="n">
        <x:f>C1465*D1465</x:f>
        <x:v>2069.91</x:v>
      </x:c>
      <x:c r="G1465" s="8" t="n">
        <x:f>C1465*E1465</x:f>
        <x:v>951.84</x:v>
      </x:c>
      <x:c r="H1465" s="8" t="n">
        <x:f>F1465-G1465</x:f>
        <x:v>1118.0699999999997</x:v>
      </x:c>
      <x:c r="I1465" s="10" t="n">
        <x:f>H1465/F1465</x:f>
        <x:v>0.5401539197356405</x:v>
      </x:c>
    </x:row>
    <x:row r="1466" ht="22" customHeight="1">
      <x:c r="A1466" s="11" t="str">
        <x:v>233</x:v>
      </x:c>
      <x:c r="B1466" s="8" t="str">
        <x:v>Litware Home Theater System 5.1 Channel M512 Brown</x:v>
      </x:c>
      <x:c r="C1466" s="8" t="n">
        <x:v>14</x:v>
      </x:c>
      <x:c r="D1466" s="9" t="n">
        <x:v>699</x:v>
      </x:c>
      <x:c r="E1466" s="9" t="n">
        <x:v>321.44</x:v>
      </x:c>
      <x:c r="F1466" s="8" t="n">
        <x:f>C1466*D1466</x:f>
        <x:v>9786</x:v>
      </x:c>
      <x:c r="G1466" s="8" t="n">
        <x:f>C1466*E1466</x:f>
        <x:v>4500.16</x:v>
      </x:c>
      <x:c r="H1466" s="8" t="n">
        <x:f>F1466-G1466</x:f>
        <x:v>5285.84</x:v>
      </x:c>
      <x:c r="I1466" s="10" t="n">
        <x:f>H1466/F1466</x:f>
        <x:v>0.5401430615164521</x:v>
      </x:c>
    </x:row>
    <x:row r="1467" ht="22" customHeight="1">
      <x:c r="A1467" s="11" t="str">
        <x:v>2331</x:v>
      </x:c>
      <x:c r="B1467" s="8" t="str">
        <x:v>Litware Wall Lamp E3015 Silver</x:v>
      </x:c>
      <x:c r="C1467" s="8" t="n">
        <x:v>2</x:v>
      </x:c>
      <x:c r="D1467" s="9" t="n">
        <x:v>101.99</x:v>
      </x:c>
      <x:c r="E1467" s="9" t="n">
        <x:v>52</x:v>
      </x:c>
      <x:c r="F1467" s="8" t="n">
        <x:f>C1467*D1467</x:f>
        <x:v>203.98</x:v>
      </x:c>
      <x:c r="G1467" s="8" t="n">
        <x:f>C1467*E1467</x:f>
        <x:v>104</x:v>
      </x:c>
      <x:c r="H1467" s="8" t="n">
        <x:f>F1467-G1467</x:f>
        <x:v>99.97999999999999</x:v>
      </x:c>
      <x:c r="I1467" s="10" t="n">
        <x:f>H1467/F1467</x:f>
        <x:v>0.4901460927541916</x:v>
      </x:c>
    </x:row>
    <x:row r="1468" ht="22" customHeight="1">
      <x:c r="A1468" s="11" t="str">
        <x:v>2334</x:v>
      </x:c>
      <x:c r="B1468" s="8" t="str">
        <x:v>Litware Floor Lamp X1015 Grey</x:v>
      </x:c>
      <x:c r="C1468" s="8" t="n">
        <x:v>7</x:v>
      </x:c>
      <x:c r="D1468" s="9" t="n">
        <x:v>635.99</x:v>
      </x:c>
      <x:c r="E1468" s="9" t="n">
        <x:v>210.72</x:v>
      </x:c>
      <x:c r="F1468" s="8" t="n">
        <x:f>C1468*D1468</x:f>
        <x:v>4451.93</x:v>
      </x:c>
      <x:c r="G1468" s="8" t="n">
        <x:f>C1468*E1468</x:f>
        <x:v>1475.04</x:v>
      </x:c>
      <x:c r="H1468" s="8" t="n">
        <x:f>F1468-G1468</x:f>
        <x:v>2976.8900000000003</x:v>
      </x:c>
      <x:c r="I1468" s="10" t="n">
        <x:f>H1468/F1468</x:f>
        <x:v>0.6686740357552792</x:v>
      </x:c>
    </x:row>
    <x:row r="1469" ht="22" customHeight="1">
      <x:c r="A1469" s="11" t="str">
        <x:v>2335</x:v>
      </x:c>
      <x:c r="B1469" s="8" t="str">
        <x:v>Litware Floor Lamp M2015 Grey</x:v>
      </x:c>
      <x:c r="C1469" s="8" t="n">
        <x:v>8</x:v>
      </x:c>
      <x:c r="D1469" s="9" t="n">
        <x:v>339</x:v>
      </x:c>
      <x:c r="E1469" s="9" t="n">
        <x:v>155.89</x:v>
      </x:c>
      <x:c r="F1469" s="8" t="n">
        <x:f>C1469*D1469</x:f>
        <x:v>2712</x:v>
      </x:c>
      <x:c r="G1469" s="8" t="n">
        <x:f>C1469*E1469</x:f>
        <x:v>1247.12</x:v>
      </x:c>
      <x:c r="H1469" s="8" t="n">
        <x:f>F1469-G1469</x:f>
        <x:v>1464.88</x:v>
      </x:c>
      <x:c r="I1469" s="10" t="n">
        <x:f>H1469/F1469</x:f>
        <x:v>0.5401474926253688</x:v>
      </x:c>
    </x:row>
    <x:row r="1470" ht="22" customHeight="1">
      <x:c r="A1470" s="11" t="str">
        <x:v>2336</x:v>
      </x:c>
      <x:c r="B1470" s="8" t="str">
        <x:v>Litware Chandelier M8015 Grey</x:v>
      </x:c>
      <x:c r="C1470" s="8" t="n">
        <x:v>3</x:v>
      </x:c>
      <x:c r="D1470" s="9" t="n">
        <x:v>268.5</x:v>
      </x:c>
      <x:c r="E1470" s="9" t="n">
        <x:v>123.47</x:v>
      </x:c>
      <x:c r="F1470" s="8" t="n">
        <x:f>C1470*D1470</x:f>
        <x:v>805.5</x:v>
      </x:c>
      <x:c r="G1470" s="8" t="n">
        <x:f>C1470*E1470</x:f>
        <x:v>370.40999999999997</x:v>
      </x:c>
      <x:c r="H1470" s="8" t="n">
        <x:f>F1470-G1470</x:f>
        <x:v>435.09000000000003</x:v>
      </x:c>
      <x:c r="I1470" s="10" t="n">
        <x:f>H1470/F1470</x:f>
        <x:v>0.540148975791434</x:v>
      </x:c>
    </x:row>
    <x:row r="1471" ht="22" customHeight="1">
      <x:c r="A1471" s="11" t="str">
        <x:v>2337</x:v>
      </x:c>
      <x:c r="B1471" s="8" t="str">
        <x:v>Litware Chandelier M6015 Grey</x:v>
      </x:c>
      <x:c r="C1471" s="8" t="n">
        <x:v>15</x:v>
      </x:c>
      <x:c r="D1471" s="9" t="n">
        <x:v>229.99</x:v>
      </x:c>
      <x:c r="E1471" s="9" t="n">
        <x:v>105.76</x:v>
      </x:c>
      <x:c r="F1471" s="8" t="n">
        <x:f>C1471*D1471</x:f>
        <x:v>3449.8500000000004</x:v>
      </x:c>
      <x:c r="G1471" s="8" t="n">
        <x:f>C1471*E1471</x:f>
        <x:v>1586.4</x:v>
      </x:c>
      <x:c r="H1471" s="8" t="n">
        <x:f>F1471-G1471</x:f>
        <x:v>1863.4500000000003</x:v>
      </x:c>
      <x:c r="I1471" s="10" t="n">
        <x:f>H1471/F1471</x:f>
        <x:v>0.5401539197356408</x:v>
      </x:c>
    </x:row>
    <x:row r="1472" ht="22" customHeight="1">
      <x:c r="A1472" s="11" t="str">
        <x:v>2338</x:v>
      </x:c>
      <x:c r="B1472" s="8" t="str">
        <x:v>Litware Wall Lamp E2015 Grey</x:v>
      </x:c>
      <x:c r="C1472" s="8" t="n">
        <x:v>2</x:v>
      </x:c>
      <x:c r="D1472" s="9" t="n">
        <x:v>119.99</x:v>
      </x:c>
      <x:c r="E1472" s="9" t="n">
        <x:v>61.17</x:v>
      </x:c>
      <x:c r="F1472" s="8" t="n">
        <x:f>C1472*D1472</x:f>
        <x:v>239.98</x:v>
      </x:c>
      <x:c r="G1472" s="8" t="n">
        <x:f>C1472*E1472</x:f>
        <x:v>122.34</x:v>
      </x:c>
      <x:c r="H1472" s="8" t="n">
        <x:f>F1472-G1472</x:f>
        <x:v>117.63999999999999</x:v>
      </x:c>
      <x:c r="I1472" s="10" t="n">
        <x:f>H1472/F1472</x:f>
        <x:v>0.49020751729310774</x:v>
      </x:c>
    </x:row>
    <x:row r="1473" ht="22" customHeight="1">
      <x:c r="A1473" s="11" t="str">
        <x:v>2339</x:v>
      </x:c>
      <x:c r="B1473" s="8" t="str">
        <x:v>Litware Wall Lamp E3015 Grey</x:v>
      </x:c>
      <x:c r="C1473" s="8" t="n">
        <x:v>4</x:v>
      </x:c>
      <x:c r="D1473" s="9" t="n">
        <x:v>101.99</x:v>
      </x:c>
      <x:c r="E1473" s="9" t="n">
        <x:v>52</x:v>
      </x:c>
      <x:c r="F1473" s="8" t="n">
        <x:f>C1473*D1473</x:f>
        <x:v>407.96</x:v>
      </x:c>
      <x:c r="G1473" s="8" t="n">
        <x:f>C1473*E1473</x:f>
        <x:v>208</x:v>
      </x:c>
      <x:c r="H1473" s="8" t="n">
        <x:f>F1473-G1473</x:f>
        <x:v>199.95999999999998</x:v>
      </x:c>
      <x:c r="I1473" s="10" t="n">
        <x:f>H1473/F1473</x:f>
        <x:v>0.4901460927541916</x:v>
      </x:c>
    </x:row>
    <x:row r="1474" ht="22" customHeight="1">
      <x:c r="A1474" s="11" t="str">
        <x:v>234</x:v>
      </x:c>
      <x:c r="B1474" s="8" t="str">
        <x:v>Litware Home Theater System 5.1 Channel M513 Brown</x:v>
      </x:c>
      <x:c r="C1474" s="8" t="n">
        <x:v>4</x:v>
      </x:c>
      <x:c r="D1474" s="9" t="n">
        <x:v>689</x:v>
      </x:c>
      <x:c r="E1474" s="9" t="n">
        <x:v>316.85</x:v>
      </x:c>
      <x:c r="F1474" s="8" t="n">
        <x:f>C1474*D1474</x:f>
        <x:v>2756</x:v>
      </x:c>
      <x:c r="G1474" s="8" t="n">
        <x:f>C1474*E1474</x:f>
        <x:v>1267.4</x:v>
      </x:c>
      <x:c r="H1474" s="8" t="n">
        <x:f>F1474-G1474</x:f>
        <x:v>1488.6</x:v>
      </x:c>
      <x:c r="I1474" s="10" t="n">
        <x:f>H1474/F1474</x:f>
        <x:v>0.5401306240928883</x:v>
      </x:c>
    </x:row>
    <x:row r="1475" ht="22" customHeight="1">
      <x:c r="A1475" s="11" t="str">
        <x:v>2340</x:v>
      </x:c>
      <x:c r="B1475" s="8" t="str">
        <x:v>Litware Desk Lamp E1030 Grey</x:v>
      </x:c>
      <x:c r="C1475" s="8" t="n">
        <x:v>12</x:v>
      </x:c>
      <x:c r="D1475" s="9" t="n">
        <x:v>79.95</x:v>
      </x:c>
      <x:c r="E1475" s="9" t="n">
        <x:v>40.76</x:v>
      </x:c>
      <x:c r="F1475" s="8" t="n">
        <x:f>C1475*D1475</x:f>
        <x:v>959.4000000000001</x:v>
      </x:c>
      <x:c r="G1475" s="8" t="n">
        <x:f>C1475*E1475</x:f>
        <x:v>489.12</x:v>
      </x:c>
      <x:c r="H1475" s="8" t="n">
        <x:f>F1475-G1475</x:f>
        <x:v>470.2800000000001</x:v>
      </x:c>
      <x:c r="I1475" s="10" t="n">
        <x:f>H1475/F1475</x:f>
        <x:v>0.4901813633520951</x:v>
      </x:c>
    </x:row>
    <x:row r="1476" ht="22" customHeight="1">
      <x:c r="A1476" s="11" t="str">
        <x:v>2341</x:v>
      </x:c>
      <x:c r="B1476" s="8" t="str">
        <x:v>Litware Desk Lamp E1020 Grey</x:v>
      </x:c>
      <x:c r="C1476" s="8" t="n">
        <x:v>14</x:v>
      </x:c>
      <x:c r="D1476" s="9" t="n">
        <x:v>29.99</x:v>
      </x:c>
      <x:c r="E1476" s="9" t="n">
        <x:v>15.29</x:v>
      </x:c>
      <x:c r="F1476" s="8" t="n">
        <x:f>C1476*D1476</x:f>
        <x:v>419.85999999999996</x:v>
      </x:c>
      <x:c r="G1476" s="8" t="n">
        <x:f>C1476*E1476</x:f>
        <x:v>214.06</x:v>
      </x:c>
      <x:c r="H1476" s="8" t="n">
        <x:f>F1476-G1476</x:f>
        <x:v>205.79999999999995</x:v>
      </x:c>
      <x:c r="I1476" s="10" t="n">
        <x:f>H1476/F1476</x:f>
        <x:v>0.49016338779593194</x:v>
      </x:c>
    </x:row>
    <x:row r="1477" ht="22" customHeight="1">
      <x:c r="A1477" s="11" t="str">
        <x:v>2342</x:v>
      </x:c>
      <x:c r="B1477" s="8" t="str">
        <x:v>Litware Floor Lamp X1015 Blue</x:v>
      </x:c>
      <x:c r="C1477" s="8" t="n">
        <x:v>25</x:v>
      </x:c>
      <x:c r="D1477" s="9" t="n">
        <x:v>635.99</x:v>
      </x:c>
      <x:c r="E1477" s="9" t="n">
        <x:v>210.72</x:v>
      </x:c>
      <x:c r="F1477" s="8" t="n">
        <x:f>C1477*D1477</x:f>
        <x:v>15899.75</x:v>
      </x:c>
      <x:c r="G1477" s="8" t="n">
        <x:f>C1477*E1477</x:f>
        <x:v>5268</x:v>
      </x:c>
      <x:c r="H1477" s="8" t="n">
        <x:f>F1477-G1477</x:f>
        <x:v>10631.75</x:v>
      </x:c>
      <x:c r="I1477" s="10" t="n">
        <x:f>H1477/F1477</x:f>
        <x:v>0.6686740357552792</x:v>
      </x:c>
    </x:row>
    <x:row r="1478" ht="22" customHeight="1">
      <x:c r="A1478" s="11" t="str">
        <x:v>2344</x:v>
      </x:c>
      <x:c r="B1478" s="8" t="str">
        <x:v>Litware Chandelier M8015 Blue</x:v>
      </x:c>
      <x:c r="C1478" s="8" t="n">
        <x:v>7</x:v>
      </x:c>
      <x:c r="D1478" s="9" t="n">
        <x:v>268.5</x:v>
      </x:c>
      <x:c r="E1478" s="9" t="n">
        <x:v>123.47</x:v>
      </x:c>
      <x:c r="F1478" s="8" t="n">
        <x:f>C1478*D1478</x:f>
        <x:v>1879.5</x:v>
      </x:c>
      <x:c r="G1478" s="8" t="n">
        <x:f>C1478*E1478</x:f>
        <x:v>864.29</x:v>
      </x:c>
      <x:c r="H1478" s="8" t="n">
        <x:f>F1478-G1478</x:f>
        <x:v>1015.21</x:v>
      </x:c>
      <x:c r="I1478" s="10" t="n">
        <x:f>H1478/F1478</x:f>
        <x:v>0.540148975791434</x:v>
      </x:c>
    </x:row>
    <x:row r="1479" ht="22" customHeight="1">
      <x:c r="A1479" s="11" t="str">
        <x:v>2345</x:v>
      </x:c>
      <x:c r="B1479" s="8" t="str">
        <x:v>Litware Chandelier M6015 Blue</x:v>
      </x:c>
      <x:c r="C1479" s="8" t="n">
        <x:v>11</x:v>
      </x:c>
      <x:c r="D1479" s="9" t="n">
        <x:v>229.99</x:v>
      </x:c>
      <x:c r="E1479" s="9" t="n">
        <x:v>105.76</x:v>
      </x:c>
      <x:c r="F1479" s="8" t="n">
        <x:f>C1479*D1479</x:f>
        <x:v>2529.8900000000003</x:v>
      </x:c>
      <x:c r="G1479" s="8" t="n">
        <x:f>C1479*E1479</x:f>
        <x:v>1163.3600000000001</x:v>
      </x:c>
      <x:c r="H1479" s="8" t="n">
        <x:f>F1479-G1479</x:f>
        <x:v>1366.5300000000002</x:v>
      </x:c>
      <x:c r="I1479" s="10" t="n">
        <x:f>H1479/F1479</x:f>
        <x:v>0.5401539197356406</x:v>
      </x:c>
    </x:row>
    <x:row r="1480" ht="22" customHeight="1">
      <x:c r="A1480" s="11" t="str">
        <x:v>2346</x:v>
      </x:c>
      <x:c r="B1480" s="8" t="str">
        <x:v>Litware Wall Lamp E2015 Blue</x:v>
      </x:c>
      <x:c r="C1480" s="8" t="n">
        <x:v>6</x:v>
      </x:c>
      <x:c r="D1480" s="9" t="n">
        <x:v>119.99</x:v>
      </x:c>
      <x:c r="E1480" s="9" t="n">
        <x:v>61.17</x:v>
      </x:c>
      <x:c r="F1480" s="8" t="n">
        <x:f>C1480*D1480</x:f>
        <x:v>719.9399999999999</x:v>
      </x:c>
      <x:c r="G1480" s="8" t="n">
        <x:f>C1480*E1480</x:f>
        <x:v>367.02</x:v>
      </x:c>
      <x:c r="H1480" s="8" t="n">
        <x:f>F1480-G1480</x:f>
        <x:v>352.91999999999996</x:v>
      </x:c>
      <x:c r="I1480" s="10" t="n">
        <x:f>H1480/F1480</x:f>
        <x:v>0.49020751729310774</x:v>
      </x:c>
    </x:row>
    <x:row r="1481" ht="22" customHeight="1">
      <x:c r="A1481" s="11" t="str">
        <x:v>2347</x:v>
      </x:c>
      <x:c r="B1481" s="8" t="str">
        <x:v>Litware Wall Lamp E3015 Blue</x:v>
      </x:c>
      <x:c r="C1481" s="8" t="n">
        <x:v>3</x:v>
      </x:c>
      <x:c r="D1481" s="9" t="n">
        <x:v>101.99</x:v>
      </x:c>
      <x:c r="E1481" s="9" t="n">
        <x:v>52</x:v>
      </x:c>
      <x:c r="F1481" s="8" t="n">
        <x:f>C1481*D1481</x:f>
        <x:v>305.96999999999997</x:v>
      </x:c>
      <x:c r="G1481" s="8" t="n">
        <x:f>C1481*E1481</x:f>
        <x:v>156</x:v>
      </x:c>
      <x:c r="H1481" s="8" t="n">
        <x:f>F1481-G1481</x:f>
        <x:v>149.96999999999997</x:v>
      </x:c>
      <x:c r="I1481" s="10" t="n">
        <x:f>H1481/F1481</x:f>
        <x:v>0.4901460927541915</x:v>
      </x:c>
    </x:row>
    <x:row r="1482" ht="22" customHeight="1">
      <x:c r="A1482" s="11" t="str">
        <x:v>2348</x:v>
      </x:c>
      <x:c r="B1482" s="8" t="str">
        <x:v>Contoso Air conditioner 25000BTU L1672 White</x:v>
      </x:c>
      <x:c r="C1482" s="8" t="n">
        <x:v>17</x:v>
      </x:c>
      <x:c r="D1482" s="9" t="n">
        <x:v>635.99</x:v>
      </x:c>
      <x:c r="E1482" s="9" t="n">
        <x:v>210.72</x:v>
      </x:c>
      <x:c r="F1482" s="8" t="n">
        <x:f>C1482*D1482</x:f>
        <x:v>10811.83</x:v>
      </x:c>
      <x:c r="G1482" s="8" t="n">
        <x:f>C1482*E1482</x:f>
        <x:v>3582.24</x:v>
      </x:c>
      <x:c r="H1482" s="8" t="n">
        <x:f>F1482-G1482</x:f>
        <x:v>7229.59</x:v>
      </x:c>
      <x:c r="I1482" s="10" t="n">
        <x:f>H1482/F1482</x:f>
        <x:v>0.6686740357552792</x:v>
      </x:c>
    </x:row>
    <x:row r="1483" ht="22" customHeight="1">
      <x:c r="A1483" s="11" t="str">
        <x:v>2349</x:v>
      </x:c>
      <x:c r="B1483" s="8" t="str">
        <x:v>Contoso Air conditioner 12000BTU M0640 White</x:v>
      </x:c>
      <x:c r="C1483" s="8" t="n">
        <x:v>10</x:v>
      </x:c>
      <x:c r="D1483" s="9" t="n">
        <x:v>459.99</x:v>
      </x:c>
      <x:c r="E1483" s="9" t="n">
        <x:v>211.53</x:v>
      </x:c>
      <x:c r="F1483" s="8" t="n">
        <x:f>C1483*D1483</x:f>
        <x:v>4599.9</x:v>
      </x:c>
      <x:c r="G1483" s="8" t="n">
        <x:f>C1483*E1483</x:f>
        <x:v>2115.3</x:v>
      </x:c>
      <x:c r="H1483" s="8" t="n">
        <x:f>F1483-G1483</x:f>
        <x:v>2484.5999999999995</x:v>
      </x:c>
      <x:c r="I1483" s="10" t="n">
        <x:f>H1483/F1483</x:f>
        <x:v>0.5401421770038478</x:v>
      </x:c>
    </x:row>
    <x:row r="1484" ht="22" customHeight="1">
      <x:c r="A1484" s="11" t="str">
        <x:v>235</x:v>
      </x:c>
      <x:c r="B1484" s="8" t="str">
        <x:v>Litware Home Theater System 7.1 Channel M710 Brown</x:v>
      </x:c>
      <x:c r="C1484" s="8" t="n">
        <x:v>2</x:v>
      </x:c>
      <x:c r="D1484" s="9" t="n">
        <x:v>799</x:v>
      </x:c>
      <x:c r="E1484" s="9" t="n">
        <x:v>264.72</x:v>
      </x:c>
      <x:c r="F1484" s="8" t="n">
        <x:f>C1484*D1484</x:f>
        <x:v>1598</x:v>
      </x:c>
      <x:c r="G1484" s="8" t="n">
        <x:f>C1484*E1484</x:f>
        <x:v>529.44</x:v>
      </x:c>
      <x:c r="H1484" s="8" t="n">
        <x:f>F1484-G1484</x:f>
        <x:v>1068.56</x:v>
      </x:c>
      <x:c r="I1484" s="10" t="n">
        <x:f>H1484/F1484</x:f>
        <x:v>0.668685857321652</x:v>
      </x:c>
    </x:row>
    <x:row r="1485" ht="22" customHeight="1">
      <x:c r="A1485" s="11" t="str">
        <x:v>2350</x:v>
      </x:c>
      <x:c r="B1485" s="8" t="str">
        <x:v>Contoso Air conditioner 10000BTU M0490 White</x:v>
      </x:c>
      <x:c r="C1485" s="8" t="n">
        <x:v>34</x:v>
      </x:c>
      <x:c r="D1485" s="9" t="n">
        <x:v>429.99</x:v>
      </x:c>
      <x:c r="E1485" s="9" t="n">
        <x:v>197.74</x:v>
      </x:c>
      <x:c r="F1485" s="8" t="n">
        <x:f>C1485*D1485</x:f>
        <x:v>14619.66</x:v>
      </x:c>
      <x:c r="G1485" s="8" t="n">
        <x:f>C1485*E1485</x:f>
        <x:v>6723.16</x:v>
      </x:c>
      <x:c r="H1485" s="8" t="n">
        <x:f>F1485-G1485</x:f>
        <x:v>7896.5</x:v>
      </x:c>
      <x:c r="I1485" s="10" t="n">
        <x:f>H1485/F1485</x:f>
        <x:v>0.5401288402055862</x:v>
      </x:c>
    </x:row>
    <x:row r="1486" ht="22" customHeight="1">
      <x:c r="A1486" s="11" t="str">
        <x:v>2351</x:v>
      </x:c>
      <x:c r="B1486" s="8" t="str">
        <x:v>Contoso Air conditioner 8000BTU M0320 White</x:v>
      </x:c>
      <x:c r="C1486" s="8" t="n">
        <x:v>10</x:v>
      </x:c>
      <x:c r="D1486" s="9" t="n">
        <x:v>399.99</x:v>
      </x:c>
      <x:c r="E1486" s="9" t="n">
        <x:v>183.94</x:v>
      </x:c>
      <x:c r="F1486" s="8" t="n">
        <x:f>C1486*D1486</x:f>
        <x:v>3999.9</x:v>
      </x:c>
      <x:c r="G1486" s="8" t="n">
        <x:f>C1486*E1486</x:f>
        <x:v>1839.4</x:v>
      </x:c>
      <x:c r="H1486" s="8" t="n">
        <x:f>F1486-G1486</x:f>
        <x:v>2160.5</x:v>
      </x:c>
      <x:c r="I1486" s="10" t="n">
        <x:f>H1486/F1486</x:f>
        <x:v>0.5401385034625865</x:v>
      </x:c>
    </x:row>
    <x:row r="1487" ht="22" customHeight="1">
      <x:c r="A1487" s="11" t="str">
        <x:v>2352</x:v>
      </x:c>
      <x:c r="B1487" s="8" t="str">
        <x:v>Contoso Air conditioner 7000BTU E0260 White</x:v>
      </x:c>
      <x:c r="C1487" s="8" t="n">
        <x:v>12</x:v>
      </x:c>
      <x:c r="D1487" s="9" t="n">
        <x:v>299.99</x:v>
      </x:c>
      <x:c r="E1487" s="9" t="n">
        <x:v>152.94</x:v>
      </x:c>
      <x:c r="F1487" s="8" t="n">
        <x:f>C1487*D1487</x:f>
        <x:v>3599.88</x:v>
      </x:c>
      <x:c r="G1487" s="8" t="n">
        <x:f>C1487*E1487</x:f>
        <x:v>1835.28</x:v>
      </x:c>
      <x:c r="H1487" s="8" t="n">
        <x:f>F1487-G1487</x:f>
        <x:v>1764.6000000000001</x:v>
      </x:c>
      <x:c r="I1487" s="10" t="n">
        <x:f>H1487/F1487</x:f>
        <x:v>0.4901830061002034</x:v>
      </x:c>
    </x:row>
    <x:row r="1488" ht="22" customHeight="1">
      <x:c r="A1488" s="11" t="str">
        <x:v>2353</x:v>
      </x:c>
      <x:c r="B1488" s="8" t="str">
        <x:v>Contoso Air conditioner 6000BTU E0180 White</x:v>
      </x:c>
      <x:c r="C1488" s="8" t="n">
        <x:v>11</x:v>
      </x:c>
      <x:c r="D1488" s="9" t="n">
        <x:v>199.99</x:v>
      </x:c>
      <x:c r="E1488" s="9" t="n">
        <x:v>101.96</x:v>
      </x:c>
      <x:c r="F1488" s="8" t="n">
        <x:f>C1488*D1488</x:f>
        <x:v>2199.8900000000003</x:v>
      </x:c>
      <x:c r="G1488" s="8" t="n">
        <x:f>C1488*E1488</x:f>
        <x:v>1121.56</x:v>
      </x:c>
      <x:c r="H1488" s="8" t="n">
        <x:f>F1488-G1488</x:f>
        <x:v>1078.3300000000004</x:v>
      </x:c>
      <x:c r="I1488" s="10" t="n">
        <x:f>H1488/F1488</x:f>
        <x:v>0.4901745087254364</x:v>
      </x:c>
    </x:row>
    <x:row r="1489" ht="22" customHeight="1">
      <x:c r="A1489" s="11" t="str">
        <x:v>2354</x:v>
      </x:c>
      <x:c r="B1489" s="8" t="str">
        <x:v>Contoso Air conditioner 5200BTU E0100 White</x:v>
      </x:c>
      <x:c r="C1489" s="8" t="n">
        <x:v>13</x:v>
      </x:c>
      <x:c r="D1489" s="9" t="n">
        <x:v>109.99</x:v>
      </x:c>
      <x:c r="E1489" s="9" t="n">
        <x:v>56.08</x:v>
      </x:c>
      <x:c r="F1489" s="8" t="n">
        <x:f>C1489*D1489</x:f>
        <x:v>1429.87</x:v>
      </x:c>
      <x:c r="G1489" s="8" t="n">
        <x:f>C1489*E1489</x:f>
        <x:v>729.04</x:v>
      </x:c>
      <x:c r="H1489" s="8" t="n">
        <x:f>F1489-G1489</x:f>
        <x:v>700.8299999999999</x:v>
      </x:c>
      <x:c r="I1489" s="10" t="n">
        <x:f>H1489/F1489</x:f>
        <x:v>0.4901354668606237</x:v>
      </x:c>
    </x:row>
    <x:row r="1490" ht="22" customHeight="1">
      <x:c r="A1490" s="11" t="str">
        <x:v>2355</x:v>
      </x:c>
      <x:c r="B1490" s="8" t="str">
        <x:v>Contoso Air conditioner 25000BTU L1672 Red</x:v>
      </x:c>
      <x:c r="C1490" s="8" t="n">
        <x:v>13</x:v>
      </x:c>
      <x:c r="D1490" s="9" t="n">
        <x:v>635.99</x:v>
      </x:c>
      <x:c r="E1490" s="9" t="n">
        <x:v>210.72</x:v>
      </x:c>
      <x:c r="F1490" s="8" t="n">
        <x:f>C1490*D1490</x:f>
        <x:v>8267.87</x:v>
      </x:c>
      <x:c r="G1490" s="8" t="n">
        <x:f>C1490*E1490</x:f>
        <x:v>2739.36</x:v>
      </x:c>
      <x:c r="H1490" s="8" t="n">
        <x:f>F1490-G1490</x:f>
        <x:v>5528.51</x:v>
      </x:c>
      <x:c r="I1490" s="10" t="n">
        <x:f>H1490/F1490</x:f>
        <x:v>0.6686740357552792</x:v>
      </x:c>
    </x:row>
    <x:row r="1491" ht="22" customHeight="1">
      <x:c r="A1491" s="11" t="str">
        <x:v>2356</x:v>
      </x:c>
      <x:c r="B1491" s="8" t="str">
        <x:v>Contoso Air conditioner 12000BTU M0640 Red</x:v>
      </x:c>
      <x:c r="C1491" s="8" t="n">
        <x:v>13</x:v>
      </x:c>
      <x:c r="D1491" s="9" t="n">
        <x:v>459.99</x:v>
      </x:c>
      <x:c r="E1491" s="9" t="n">
        <x:v>211.53</x:v>
      </x:c>
      <x:c r="F1491" s="8" t="n">
        <x:f>C1491*D1491</x:f>
        <x:v>5979.87</x:v>
      </x:c>
      <x:c r="G1491" s="8" t="n">
        <x:f>C1491*E1491</x:f>
        <x:v>2749.89</x:v>
      </x:c>
      <x:c r="H1491" s="8" t="n">
        <x:f>F1491-G1491</x:f>
        <x:v>3229.98</x:v>
      </x:c>
      <x:c r="I1491" s="10" t="n">
        <x:f>H1491/F1491</x:f>
        <x:v>0.5401421770038479</x:v>
      </x:c>
    </x:row>
    <x:row r="1492" ht="22" customHeight="1">
      <x:c r="A1492" s="11" t="str">
        <x:v>2357</x:v>
      </x:c>
      <x:c r="B1492" s="8" t="str">
        <x:v>Contoso Air conditioner 10000BTU M0490 Red</x:v>
      </x:c>
      <x:c r="C1492" s="8" t="n">
        <x:v>16</x:v>
      </x:c>
      <x:c r="D1492" s="9" t="n">
        <x:v>429.99</x:v>
      </x:c>
      <x:c r="E1492" s="9" t="n">
        <x:v>197.74</x:v>
      </x:c>
      <x:c r="F1492" s="8" t="n">
        <x:f>C1492*D1492</x:f>
        <x:v>6879.84</x:v>
      </x:c>
      <x:c r="G1492" s="8" t="n">
        <x:f>C1492*E1492</x:f>
        <x:v>3163.84</x:v>
      </x:c>
      <x:c r="H1492" s="8" t="n">
        <x:f>F1492-G1492</x:f>
        <x:v>3716</x:v>
      </x:c>
      <x:c r="I1492" s="10" t="n">
        <x:f>H1492/F1492</x:f>
        <x:v>0.5401288402055862</x:v>
      </x:c>
    </x:row>
    <x:row r="1493" ht="22" customHeight="1">
      <x:c r="A1493" s="11" t="str">
        <x:v>2358</x:v>
      </x:c>
      <x:c r="B1493" s="8" t="str">
        <x:v>Contoso Air conditioner 8000BTU M0320 Red</x:v>
      </x:c>
      <x:c r="C1493" s="8" t="n">
        <x:v>16</x:v>
      </x:c>
      <x:c r="D1493" s="9" t="n">
        <x:v>399.99</x:v>
      </x:c>
      <x:c r="E1493" s="9" t="n">
        <x:v>183.94</x:v>
      </x:c>
      <x:c r="F1493" s="8" t="n">
        <x:f>C1493*D1493</x:f>
        <x:v>6399.84</x:v>
      </x:c>
      <x:c r="G1493" s="8" t="n">
        <x:f>C1493*E1493</x:f>
        <x:v>2943.04</x:v>
      </x:c>
      <x:c r="H1493" s="8" t="n">
        <x:f>F1493-G1493</x:f>
        <x:v>3456.8</x:v>
      </x:c>
      <x:c r="I1493" s="10" t="n">
        <x:f>H1493/F1493</x:f>
        <x:v>0.5401385034625866</x:v>
      </x:c>
    </x:row>
    <x:row r="1494" ht="22" customHeight="1">
      <x:c r="A1494" s="11" t="str">
        <x:v>2359</x:v>
      </x:c>
      <x:c r="B1494" s="8" t="str">
        <x:v>Contoso Air conditioner 7000BTU E0260 Red</x:v>
      </x:c>
      <x:c r="C1494" s="8" t="n">
        <x:v>13</x:v>
      </x:c>
      <x:c r="D1494" s="9" t="n">
        <x:v>299.99</x:v>
      </x:c>
      <x:c r="E1494" s="9" t="n">
        <x:v>152.94</x:v>
      </x:c>
      <x:c r="F1494" s="8" t="n">
        <x:f>C1494*D1494</x:f>
        <x:v>3899.87</x:v>
      </x:c>
      <x:c r="G1494" s="8" t="n">
        <x:f>C1494*E1494</x:f>
        <x:v>1988.22</x:v>
      </x:c>
      <x:c r="H1494" s="8" t="n">
        <x:f>F1494-G1494</x:f>
        <x:v>1911.6499999999999</x:v>
      </x:c>
      <x:c r="I1494" s="10" t="n">
        <x:f>H1494/F1494</x:f>
        <x:v>0.4901830061002033</x:v>
      </x:c>
    </x:row>
    <x:row r="1495" ht="22" customHeight="1">
      <x:c r="A1495" s="11" t="str">
        <x:v>236</x:v>
      </x:c>
      <x:c r="B1495" s="8" t="str">
        <x:v>Litware Home Theater System 7.1 Channel X711 Brown</x:v>
      </x:c>
      <x:c r="C1495" s="8" t="n">
        <x:v>15</x:v>
      </x:c>
      <x:c r="D1495" s="9" t="n">
        <x:v>1109</x:v>
      </x:c>
      <x:c r="E1495" s="9" t="n">
        <x:v>367.43</x:v>
      </x:c>
      <x:c r="F1495" s="8" t="n">
        <x:f>C1495*D1495</x:f>
        <x:v>16635</x:v>
      </x:c>
      <x:c r="G1495" s="8" t="n">
        <x:f>C1495*E1495</x:f>
        <x:v>5511.45</x:v>
      </x:c>
      <x:c r="H1495" s="8" t="n">
        <x:f>F1495-G1495</x:f>
        <x:v>11123.55</x:v>
      </x:c>
      <x:c r="I1495" s="10" t="n">
        <x:f>H1495/F1495</x:f>
        <x:v>0.66868349864743</x:v>
      </x:c>
    </x:row>
    <x:row r="1496" ht="22" customHeight="1">
      <x:c r="A1496" s="11" t="str">
        <x:v>2360</x:v>
      </x:c>
      <x:c r="B1496" s="8" t="str">
        <x:v>Contoso Air conditioner 6000BTU E0180 Red</x:v>
      </x:c>
      <x:c r="C1496" s="8" t="n">
        <x:v>20</x:v>
      </x:c>
      <x:c r="D1496" s="9" t="n">
        <x:v>199.99</x:v>
      </x:c>
      <x:c r="E1496" s="9" t="n">
        <x:v>101.96</x:v>
      </x:c>
      <x:c r="F1496" s="8" t="n">
        <x:f>C1496*D1496</x:f>
        <x:v>3999.8</x:v>
      </x:c>
      <x:c r="G1496" s="8" t="n">
        <x:f>C1496*E1496</x:f>
        <x:v>2039.1999999999998</x:v>
      </x:c>
      <x:c r="H1496" s="8" t="n">
        <x:f>F1496-G1496</x:f>
        <x:v>1960.6000000000004</x:v>
      </x:c>
      <x:c r="I1496" s="10" t="n">
        <x:f>H1496/F1496</x:f>
        <x:v>0.49017450872543633</x:v>
      </x:c>
    </x:row>
    <x:row r="1497" ht="22" customHeight="1">
      <x:c r="A1497" s="11" t="str">
        <x:v>2361</x:v>
      </x:c>
      <x:c r="B1497" s="8" t="str">
        <x:v>Contoso Air conditioner 5200BTU E0100 Red</x:v>
      </x:c>
      <x:c r="C1497" s="8" t="n">
        <x:v>16</x:v>
      </x:c>
      <x:c r="D1497" s="9" t="n">
        <x:v>109.99</x:v>
      </x:c>
      <x:c r="E1497" s="9" t="n">
        <x:v>56.08</x:v>
      </x:c>
      <x:c r="F1497" s="8" t="n">
        <x:f>C1497*D1497</x:f>
        <x:v>1759.84</x:v>
      </x:c>
      <x:c r="G1497" s="8" t="n">
        <x:f>C1497*E1497</x:f>
        <x:v>897.28</x:v>
      </x:c>
      <x:c r="H1497" s="8" t="n">
        <x:f>F1497-G1497</x:f>
        <x:v>862.56</x:v>
      </x:c>
      <x:c r="I1497" s="10" t="n">
        <x:f>H1497/F1497</x:f>
        <x:v>0.4901354668606237</x:v>
      </x:c>
    </x:row>
    <x:row r="1498" ht="22" customHeight="1">
      <x:c r="A1498" s="11" t="str">
        <x:v>2362</x:v>
      </x:c>
      <x:c r="B1498" s="8" t="str">
        <x:v>Contoso Air conditioner 25000BTU L1672 Silver</x:v>
      </x:c>
      <x:c r="C1498" s="8" t="n">
        <x:v>11</x:v>
      </x:c>
      <x:c r="D1498" s="9" t="n">
        <x:v>635.99</x:v>
      </x:c>
      <x:c r="E1498" s="9" t="n">
        <x:v>210.72</x:v>
      </x:c>
      <x:c r="F1498" s="8" t="n">
        <x:f>C1498*D1498</x:f>
        <x:v>6995.89</x:v>
      </x:c>
      <x:c r="G1498" s="8" t="n">
        <x:f>C1498*E1498</x:f>
        <x:v>2317.92</x:v>
      </x:c>
      <x:c r="H1498" s="8" t="n">
        <x:f>F1498-G1498</x:f>
        <x:v>4677.97</x:v>
      </x:c>
      <x:c r="I1498" s="10" t="n">
        <x:f>H1498/F1498</x:f>
        <x:v>0.6686740357552792</x:v>
      </x:c>
    </x:row>
    <x:row r="1499" ht="22" customHeight="1">
      <x:c r="A1499" s="11" t="str">
        <x:v>2363</x:v>
      </x:c>
      <x:c r="B1499" s="8" t="str">
        <x:v>Contoso Air conditioner 12000BTU M0640 Silver</x:v>
      </x:c>
      <x:c r="C1499" s="8" t="n">
        <x:v>6</x:v>
      </x:c>
      <x:c r="D1499" s="9" t="n">
        <x:v>459.99</x:v>
      </x:c>
      <x:c r="E1499" s="9" t="n">
        <x:v>211.53</x:v>
      </x:c>
      <x:c r="F1499" s="8" t="n">
        <x:f>C1499*D1499</x:f>
        <x:v>2759.94</x:v>
      </x:c>
      <x:c r="G1499" s="8" t="n">
        <x:f>C1499*E1499</x:f>
        <x:v>1269.18</x:v>
      </x:c>
      <x:c r="H1499" s="8" t="n">
        <x:f>F1499-G1499</x:f>
        <x:v>1490.76</x:v>
      </x:c>
      <x:c r="I1499" s="10" t="n">
        <x:f>H1499/F1499</x:f>
        <x:v>0.5401421770038479</x:v>
      </x:c>
    </x:row>
    <x:row r="1500" ht="22" customHeight="1">
      <x:c r="A1500" s="11" t="str">
        <x:v>2364</x:v>
      </x:c>
      <x:c r="B1500" s="8" t="str">
        <x:v>Contoso Air conditioner 10000BTU M0490 Silver</x:v>
      </x:c>
      <x:c r="C1500" s="8" t="n">
        <x:v>15</x:v>
      </x:c>
      <x:c r="D1500" s="9" t="n">
        <x:v>429.99</x:v>
      </x:c>
      <x:c r="E1500" s="9" t="n">
        <x:v>197.74</x:v>
      </x:c>
      <x:c r="F1500" s="8" t="n">
        <x:f>C1500*D1500</x:f>
        <x:v>6449.85</x:v>
      </x:c>
      <x:c r="G1500" s="8" t="n">
        <x:f>C1500*E1500</x:f>
        <x:v>2966.1000000000004</x:v>
      </x:c>
      <x:c r="H1500" s="8" t="n">
        <x:f>F1500-G1500</x:f>
        <x:v>3483.75</x:v>
      </x:c>
      <x:c r="I1500" s="10" t="n">
        <x:f>H1500/F1500</x:f>
        <x:v>0.5401288402055862</x:v>
      </x:c>
    </x:row>
    <x:row r="1501" ht="22" customHeight="1">
      <x:c r="A1501" s="11" t="str">
        <x:v>2365</x:v>
      </x:c>
      <x:c r="B1501" s="8" t="str">
        <x:v>Contoso Air conditioner 8000BTU M0320 Silver</x:v>
      </x:c>
      <x:c r="C1501" s="8" t="n">
        <x:v>7</x:v>
      </x:c>
      <x:c r="D1501" s="9" t="n">
        <x:v>399.99</x:v>
      </x:c>
      <x:c r="E1501" s="9" t="n">
        <x:v>183.94</x:v>
      </x:c>
      <x:c r="F1501" s="8" t="n">
        <x:f>C1501*D1501</x:f>
        <x:v>2799.9300000000003</x:v>
      </x:c>
      <x:c r="G1501" s="8" t="n">
        <x:f>C1501*E1501</x:f>
        <x:v>1287.58</x:v>
      </x:c>
      <x:c r="H1501" s="8" t="n">
        <x:f>F1501-G1501</x:f>
        <x:v>1512.3500000000004</x:v>
      </x:c>
      <x:c r="I1501" s="10" t="n">
        <x:f>H1501/F1501</x:f>
        <x:v>0.5401385034625866</x:v>
      </x:c>
    </x:row>
    <x:row r="1502" ht="22" customHeight="1">
      <x:c r="A1502" s="11" t="str">
        <x:v>2366</x:v>
      </x:c>
      <x:c r="B1502" s="8" t="str">
        <x:v>Contoso Air conditioner 7000BTU E0260 Silver</x:v>
      </x:c>
      <x:c r="C1502" s="8" t="n">
        <x:v>19</x:v>
      </x:c>
      <x:c r="D1502" s="9" t="n">
        <x:v>299.99</x:v>
      </x:c>
      <x:c r="E1502" s="9" t="n">
        <x:v>152.94</x:v>
      </x:c>
      <x:c r="F1502" s="8" t="n">
        <x:f>C1502*D1502</x:f>
        <x:v>5699.81</x:v>
      </x:c>
      <x:c r="G1502" s="8" t="n">
        <x:f>C1502*E1502</x:f>
        <x:v>2905.86</x:v>
      </x:c>
      <x:c r="H1502" s="8" t="n">
        <x:f>F1502-G1502</x:f>
        <x:v>2793.9500000000003</x:v>
      </x:c>
      <x:c r="I1502" s="10" t="n">
        <x:f>H1502/F1502</x:f>
        <x:v>0.4901830061002034</x:v>
      </x:c>
    </x:row>
    <x:row r="1503" ht="22" customHeight="1">
      <x:c r="A1503" s="11" t="str">
        <x:v>2367</x:v>
      </x:c>
      <x:c r="B1503" s="8" t="str">
        <x:v>Contoso Air conditioner 6000BTU E0180 Silver</x:v>
      </x:c>
      <x:c r="C1503" s="8" t="n">
        <x:v>9</x:v>
      </x:c>
      <x:c r="D1503" s="9" t="n">
        <x:v>199.99</x:v>
      </x:c>
      <x:c r="E1503" s="9" t="n">
        <x:v>101.96</x:v>
      </x:c>
      <x:c r="F1503" s="8" t="n">
        <x:f>C1503*D1503</x:f>
        <x:v>1799.91</x:v>
      </x:c>
      <x:c r="G1503" s="8" t="n">
        <x:f>C1503*E1503</x:f>
        <x:v>917.64</x:v>
      </x:c>
      <x:c r="H1503" s="8" t="n">
        <x:f>F1503-G1503</x:f>
        <x:v>882.2700000000001</x:v>
      </x:c>
      <x:c r="I1503" s="10" t="n">
        <x:f>H1503/F1503</x:f>
        <x:v>0.4901745087254363</x:v>
      </x:c>
    </x:row>
    <x:row r="1504" ht="22" customHeight="1">
      <x:c r="A1504" s="11" t="str">
        <x:v>2368</x:v>
      </x:c>
      <x:c r="B1504" s="8" t="str">
        <x:v>Contoso Air conditioner 5200BTU E0100 Silver</x:v>
      </x:c>
      <x:c r="C1504" s="8" t="n">
        <x:v>24</x:v>
      </x:c>
      <x:c r="D1504" s="9" t="n">
        <x:v>109.99</x:v>
      </x:c>
      <x:c r="E1504" s="9" t="n">
        <x:v>56.08</x:v>
      </x:c>
      <x:c r="F1504" s="8" t="n">
        <x:f>C1504*D1504</x:f>
        <x:v>2639.7599999999998</x:v>
      </x:c>
      <x:c r="G1504" s="8" t="n">
        <x:f>C1504*E1504</x:f>
        <x:v>1345.92</x:v>
      </x:c>
      <x:c r="H1504" s="8" t="n">
        <x:f>F1504-G1504</x:f>
        <x:v>1293.8399999999997</x:v>
      </x:c>
      <x:c r="I1504" s="10" t="n">
        <x:f>H1504/F1504</x:f>
        <x:v>0.49013546686062365</x:v>
      </x:c>
    </x:row>
    <x:row r="1505" ht="22" customHeight="1">
      <x:c r="A1505" s="11" t="str">
        <x:v>2369</x:v>
      </x:c>
      <x:c r="B1505" s="8" t="str">
        <x:v>Contoso Air conditioner 25000BTU L1672 Grey</x:v>
      </x:c>
      <x:c r="C1505" s="8" t="n">
        <x:v>19</x:v>
      </x:c>
      <x:c r="D1505" s="9" t="n">
        <x:v>635.99</x:v>
      </x:c>
      <x:c r="E1505" s="9" t="n">
        <x:v>210.72</x:v>
      </x:c>
      <x:c r="F1505" s="8" t="n">
        <x:f>C1505*D1505</x:f>
        <x:v>12083.81</x:v>
      </x:c>
      <x:c r="G1505" s="8" t="n">
        <x:f>C1505*E1505</x:f>
        <x:v>4003.68</x:v>
      </x:c>
      <x:c r="H1505" s="8" t="n">
        <x:f>F1505-G1505</x:f>
        <x:v>8080.129999999999</x:v>
      </x:c>
      <x:c r="I1505" s="10" t="n">
        <x:f>H1505/F1505</x:f>
        <x:v>0.6686740357552792</x:v>
      </x:c>
    </x:row>
    <x:row r="1506" ht="22" customHeight="1">
      <x:c r="A1506" s="11" t="str">
        <x:v>237</x:v>
      </x:c>
      <x:c r="B1506" s="8" t="str">
        <x:v>Litware Home Theater System 5.1 Channel M514 Brown</x:v>
      </x:c>
      <x:c r="C1506" s="8" t="n">
        <x:v>18</x:v>
      </x:c>
      <x:c r="D1506" s="9" t="n">
        <x:v>599</x:v>
      </x:c>
      <x:c r="E1506" s="9" t="n">
        <x:v>275.46</x:v>
      </x:c>
      <x:c r="F1506" s="8" t="n">
        <x:f>C1506*D1506</x:f>
        <x:v>10782</x:v>
      </x:c>
      <x:c r="G1506" s="8" t="n">
        <x:f>C1506*E1506</x:f>
        <x:v>4958.28</x:v>
      </x:c>
      <x:c r="H1506" s="8" t="n">
        <x:f>F1506-G1506</x:f>
        <x:v>5823.72</x:v>
      </x:c>
      <x:c r="I1506" s="10" t="n">
        <x:f>H1506/F1506</x:f>
        <x:v>0.5401335559265442</x:v>
      </x:c>
    </x:row>
    <x:row r="1507" ht="22" customHeight="1">
      <x:c r="A1507" s="11" t="str">
        <x:v>2370</x:v>
      </x:c>
      <x:c r="B1507" s="8" t="str">
        <x:v>Contoso Air conditioner 12000BTU M0640 Grey</x:v>
      </x:c>
      <x:c r="C1507" s="8" t="n">
        <x:v>28</x:v>
      </x:c>
      <x:c r="D1507" s="9" t="n">
        <x:v>459.99</x:v>
      </x:c>
      <x:c r="E1507" s="9" t="n">
        <x:v>211.53</x:v>
      </x:c>
      <x:c r="F1507" s="8" t="n">
        <x:f>C1507*D1507</x:f>
        <x:v>12879.720000000001</x:v>
      </x:c>
      <x:c r="G1507" s="8" t="n">
        <x:f>C1507*E1507</x:f>
        <x:v>5922.84</x:v>
      </x:c>
      <x:c r="H1507" s="8" t="n">
        <x:f>F1507-G1507</x:f>
        <x:v>6956.880000000001</x:v>
      </x:c>
      <x:c r="I1507" s="10" t="n">
        <x:f>H1507/F1507</x:f>
        <x:v>0.5401421770038479</x:v>
      </x:c>
    </x:row>
    <x:row r="1508" ht="22" customHeight="1">
      <x:c r="A1508" s="11" t="str">
        <x:v>2371</x:v>
      </x:c>
      <x:c r="B1508" s="8" t="str">
        <x:v>Contoso Air conditioner 10000BTU M0490 Grey</x:v>
      </x:c>
      <x:c r="C1508" s="8" t="n">
        <x:v>16</x:v>
      </x:c>
      <x:c r="D1508" s="9" t="n">
        <x:v>429.99</x:v>
      </x:c>
      <x:c r="E1508" s="9" t="n">
        <x:v>197.74</x:v>
      </x:c>
      <x:c r="F1508" s="8" t="n">
        <x:f>C1508*D1508</x:f>
        <x:v>6879.84</x:v>
      </x:c>
      <x:c r="G1508" s="8" t="n">
        <x:f>C1508*E1508</x:f>
        <x:v>3163.84</x:v>
      </x:c>
      <x:c r="H1508" s="8" t="n">
        <x:f>F1508-G1508</x:f>
        <x:v>3716</x:v>
      </x:c>
      <x:c r="I1508" s="10" t="n">
        <x:f>H1508/F1508</x:f>
        <x:v>0.5401288402055862</x:v>
      </x:c>
    </x:row>
    <x:row r="1509" ht="22" customHeight="1">
      <x:c r="A1509" s="11" t="str">
        <x:v>2372</x:v>
      </x:c>
      <x:c r="B1509" s="8" t="str">
        <x:v>Contoso Air conditioner 8000BTU M0320 Grey</x:v>
      </x:c>
      <x:c r="C1509" s="8" t="n">
        <x:v>17</x:v>
      </x:c>
      <x:c r="D1509" s="9" t="n">
        <x:v>399.99</x:v>
      </x:c>
      <x:c r="E1509" s="9" t="n">
        <x:v>183.94</x:v>
      </x:c>
      <x:c r="F1509" s="8" t="n">
        <x:f>C1509*D1509</x:f>
        <x:v>6799.83</x:v>
      </x:c>
      <x:c r="G1509" s="8" t="n">
        <x:f>C1509*E1509</x:f>
        <x:v>3126.98</x:v>
      </x:c>
      <x:c r="H1509" s="8" t="n">
        <x:f>F1509-G1509</x:f>
        <x:v>3672.85</x:v>
      </x:c>
      <x:c r="I1509" s="10" t="n">
        <x:f>H1509/F1509</x:f>
        <x:v>0.5401385034625865</x:v>
      </x:c>
    </x:row>
    <x:row r="1510" ht="22" customHeight="1">
      <x:c r="A1510" s="11" t="str">
        <x:v>2373</x:v>
      </x:c>
      <x:c r="B1510" s="8" t="str">
        <x:v>Contoso Air conditioner 7000BTU E0260 Grey</x:v>
      </x:c>
      <x:c r="C1510" s="8" t="n">
        <x:v>19</x:v>
      </x:c>
      <x:c r="D1510" s="9" t="n">
        <x:v>299.99</x:v>
      </x:c>
      <x:c r="E1510" s="9" t="n">
        <x:v>152.94</x:v>
      </x:c>
      <x:c r="F1510" s="8" t="n">
        <x:f>C1510*D1510</x:f>
        <x:v>5699.81</x:v>
      </x:c>
      <x:c r="G1510" s="8" t="n">
        <x:f>C1510*E1510</x:f>
        <x:v>2905.86</x:v>
      </x:c>
      <x:c r="H1510" s="8" t="n">
        <x:f>F1510-G1510</x:f>
        <x:v>2793.9500000000003</x:v>
      </x:c>
      <x:c r="I1510" s="10" t="n">
        <x:f>H1510/F1510</x:f>
        <x:v>0.4901830061002034</x:v>
      </x:c>
    </x:row>
    <x:row r="1511" ht="22" customHeight="1">
      <x:c r="A1511" s="11" t="str">
        <x:v>2374</x:v>
      </x:c>
      <x:c r="B1511" s="8" t="str">
        <x:v>Contoso Air conditioner 6000BTU E0180 Grey</x:v>
      </x:c>
      <x:c r="C1511" s="8" t="n">
        <x:v>3</x:v>
      </x:c>
      <x:c r="D1511" s="9" t="n">
        <x:v>199.99</x:v>
      </x:c>
      <x:c r="E1511" s="9" t="n">
        <x:v>101.96</x:v>
      </x:c>
      <x:c r="F1511" s="8" t="n">
        <x:f>C1511*D1511</x:f>
        <x:v>599.97</x:v>
      </x:c>
      <x:c r="G1511" s="8" t="n">
        <x:f>C1511*E1511</x:f>
        <x:v>305.88</x:v>
      </x:c>
      <x:c r="H1511" s="8" t="n">
        <x:f>F1511-G1511</x:f>
        <x:v>294.09000000000003</x:v>
      </x:c>
      <x:c r="I1511" s="10" t="n">
        <x:f>H1511/F1511</x:f>
        <x:v>0.4901745087254363</x:v>
      </x:c>
    </x:row>
    <x:row r="1512" ht="22" customHeight="1">
      <x:c r="A1512" s="11" t="str">
        <x:v>2375</x:v>
      </x:c>
      <x:c r="B1512" s="8" t="str">
        <x:v>Contoso Air conditioner 5200BTU E0100 Grey</x:v>
      </x:c>
      <x:c r="C1512" s="8" t="n">
        <x:v>15</x:v>
      </x:c>
      <x:c r="D1512" s="9" t="n">
        <x:v>109.99</x:v>
      </x:c>
      <x:c r="E1512" s="9" t="n">
        <x:v>56.08</x:v>
      </x:c>
      <x:c r="F1512" s="8" t="n">
        <x:f>C1512*D1512</x:f>
        <x:v>1649.85</x:v>
      </x:c>
      <x:c r="G1512" s="8" t="n">
        <x:f>C1512*E1512</x:f>
        <x:v>841.1999999999999</x:v>
      </x:c>
      <x:c r="H1512" s="8" t="n">
        <x:f>F1512-G1512</x:f>
        <x:v>808.65</x:v>
      </x:c>
      <x:c r="I1512" s="10" t="n">
        <x:f>H1512/F1512</x:f>
        <x:v>0.4901354668606237</x:v>
      </x:c>
    </x:row>
    <x:row r="1513" ht="22" customHeight="1">
      <x:c r="A1513" s="11" t="str">
        <x:v>2376</x:v>
      </x:c>
      <x:c r="B1513" s="8" t="str">
        <x:v>Contoso Air conditioner 25000BTU L1672 Blue</x:v>
      </x:c>
      <x:c r="C1513" s="8" t="n">
        <x:v>2</x:v>
      </x:c>
      <x:c r="D1513" s="9" t="n">
        <x:v>635.99</x:v>
      </x:c>
      <x:c r="E1513" s="9" t="n">
        <x:v>210.72</x:v>
      </x:c>
      <x:c r="F1513" s="8" t="n">
        <x:f>C1513*D1513</x:f>
        <x:v>1271.98</x:v>
      </x:c>
      <x:c r="G1513" s="8" t="n">
        <x:f>C1513*E1513</x:f>
        <x:v>421.44</x:v>
      </x:c>
      <x:c r="H1513" s="8" t="n">
        <x:f>F1513-G1513</x:f>
        <x:v>850.54</x:v>
      </x:c>
      <x:c r="I1513" s="10" t="n">
        <x:f>H1513/F1513</x:f>
        <x:v>0.6686740357552792</x:v>
      </x:c>
    </x:row>
    <x:row r="1514" ht="22" customHeight="1">
      <x:c r="A1514" s="11" t="str">
        <x:v>2377</x:v>
      </x:c>
      <x:c r="B1514" s="8" t="str">
        <x:v>Contoso Air conditioner 12000BTU M0640 Blue</x:v>
      </x:c>
      <x:c r="C1514" s="8" t="n">
        <x:v>13</x:v>
      </x:c>
      <x:c r="D1514" s="9" t="n">
        <x:v>459.99</x:v>
      </x:c>
      <x:c r="E1514" s="9" t="n">
        <x:v>211.53</x:v>
      </x:c>
      <x:c r="F1514" s="8" t="n">
        <x:f>C1514*D1514</x:f>
        <x:v>5979.87</x:v>
      </x:c>
      <x:c r="G1514" s="8" t="n">
        <x:f>C1514*E1514</x:f>
        <x:v>2749.89</x:v>
      </x:c>
      <x:c r="H1514" s="8" t="n">
        <x:f>F1514-G1514</x:f>
        <x:v>3229.98</x:v>
      </x:c>
      <x:c r="I1514" s="10" t="n">
        <x:f>H1514/F1514</x:f>
        <x:v>0.5401421770038479</x:v>
      </x:c>
    </x:row>
    <x:row r="1515" ht="22" customHeight="1">
      <x:c r="A1515" s="11" t="str">
        <x:v>2378</x:v>
      </x:c>
      <x:c r="B1515" s="8" t="str">
        <x:v>Contoso Air conditioner 10000BTU M0490 Blue</x:v>
      </x:c>
      <x:c r="C1515" s="8" t="n">
        <x:v>8</x:v>
      </x:c>
      <x:c r="D1515" s="9" t="n">
        <x:v>429.99</x:v>
      </x:c>
      <x:c r="E1515" s="9" t="n">
        <x:v>197.74</x:v>
      </x:c>
      <x:c r="F1515" s="8" t="n">
        <x:f>C1515*D1515</x:f>
        <x:v>3439.92</x:v>
      </x:c>
      <x:c r="G1515" s="8" t="n">
        <x:f>C1515*E1515</x:f>
        <x:v>1581.92</x:v>
      </x:c>
      <x:c r="H1515" s="8" t="n">
        <x:f>F1515-G1515</x:f>
        <x:v>1858</x:v>
      </x:c>
      <x:c r="I1515" s="10" t="n">
        <x:f>H1515/F1515</x:f>
        <x:v>0.5401288402055862</x:v>
      </x:c>
    </x:row>
    <x:row r="1516" ht="22" customHeight="1">
      <x:c r="A1516" s="11" t="str">
        <x:v>2379</x:v>
      </x:c>
      <x:c r="B1516" s="8" t="str">
        <x:v>Contoso Air conditioner 8000BTU M0320 Blue</x:v>
      </x:c>
      <x:c r="C1516" s="8" t="n">
        <x:v>12</x:v>
      </x:c>
      <x:c r="D1516" s="9" t="n">
        <x:v>399.99</x:v>
      </x:c>
      <x:c r="E1516" s="9" t="n">
        <x:v>183.94</x:v>
      </x:c>
      <x:c r="F1516" s="8" t="n">
        <x:f>C1516*D1516</x:f>
        <x:v>4799.88</x:v>
      </x:c>
      <x:c r="G1516" s="8" t="n">
        <x:f>C1516*E1516</x:f>
        <x:v>2207.2799999999997</x:v>
      </x:c>
      <x:c r="H1516" s="8" t="n">
        <x:f>F1516-G1516</x:f>
        <x:v>2592.6000000000004</x:v>
      </x:c>
      <x:c r="I1516" s="10" t="n">
        <x:f>H1516/F1516</x:f>
        <x:v>0.5401385034625866</x:v>
      </x:c>
    </x:row>
    <x:row r="1517" ht="22" customHeight="1">
      <x:c r="A1517" s="11" t="str">
        <x:v>238</x:v>
      </x:c>
      <x:c r="B1517" s="8" t="str">
        <x:v>Litware Home Theater System 5.1 Channel M515 Brown</x:v>
      </x:c>
      <x:c r="C1517" s="8" t="n">
        <x:v>11</x:v>
      </x:c>
      <x:c r="D1517" s="9" t="n">
        <x:v>569</x:v>
      </x:c>
      <x:c r="E1517" s="9" t="n">
        <x:v>261.66</x:v>
      </x:c>
      <x:c r="F1517" s="8" t="n">
        <x:f>C1517*D1517</x:f>
        <x:v>6259</x:v>
      </x:c>
      <x:c r="G1517" s="8" t="n">
        <x:f>C1517*E1517</x:f>
        <x:v>2878.26</x:v>
      </x:c>
      <x:c r="H1517" s="8" t="n">
        <x:f>F1517-G1517</x:f>
        <x:v>3380.74</x:v>
      </x:c>
      <x:c r="I1517" s="10" t="n">
        <x:f>H1517/F1517</x:f>
        <x:v>0.540140597539543</x:v>
      </x:c>
    </x:row>
    <x:row r="1518" ht="22" customHeight="1">
      <x:c r="A1518" s="11" t="str">
        <x:v>2380</x:v>
      </x:c>
      <x:c r="B1518" s="8" t="str">
        <x:v>Contoso Air conditioner 7000BTU E0260 Blue</x:v>
      </x:c>
      <x:c r="C1518" s="8" t="n">
        <x:v>19</x:v>
      </x:c>
      <x:c r="D1518" s="9" t="n">
        <x:v>299.99</x:v>
      </x:c>
      <x:c r="E1518" s="9" t="n">
        <x:v>152.94</x:v>
      </x:c>
      <x:c r="F1518" s="8" t="n">
        <x:f>C1518*D1518</x:f>
        <x:v>5699.81</x:v>
      </x:c>
      <x:c r="G1518" s="8" t="n">
        <x:f>C1518*E1518</x:f>
        <x:v>2905.86</x:v>
      </x:c>
      <x:c r="H1518" s="8" t="n">
        <x:f>F1518-G1518</x:f>
        <x:v>2793.9500000000003</x:v>
      </x:c>
      <x:c r="I1518" s="10" t="n">
        <x:f>H1518/F1518</x:f>
        <x:v>0.4901830061002034</x:v>
      </x:c>
    </x:row>
    <x:row r="1519" ht="22" customHeight="1">
      <x:c r="A1519" s="11" t="str">
        <x:v>2381</x:v>
      </x:c>
      <x:c r="B1519" s="8" t="str">
        <x:v>Contoso Air conditioner 6000BTU E0180 Blue</x:v>
      </x:c>
      <x:c r="C1519" s="8" t="n">
        <x:v>10</x:v>
      </x:c>
      <x:c r="D1519" s="9" t="n">
        <x:v>199.99</x:v>
      </x:c>
      <x:c r="E1519" s="9" t="n">
        <x:v>101.96</x:v>
      </x:c>
      <x:c r="F1519" s="8" t="n">
        <x:f>C1519*D1519</x:f>
        <x:v>1999.9</x:v>
      </x:c>
      <x:c r="G1519" s="8" t="n">
        <x:f>C1519*E1519</x:f>
        <x:v>1019.5999999999999</x:v>
      </x:c>
      <x:c r="H1519" s="8" t="n">
        <x:f>F1519-G1519</x:f>
        <x:v>980.3000000000002</x:v>
      </x:c>
      <x:c r="I1519" s="10" t="n">
        <x:f>H1519/F1519</x:f>
        <x:v>0.49017450872543633</x:v>
      </x:c>
    </x:row>
    <x:row r="1520" ht="22" customHeight="1">
      <x:c r="A1520" s="11" t="str">
        <x:v>2382</x:v>
      </x:c>
      <x:c r="B1520" s="8" t="str">
        <x:v>Contoso Air conditioner 5200BTU E0100 Blue</x:v>
      </x:c>
      <x:c r="C1520" s="8" t="n">
        <x:v>11</x:v>
      </x:c>
      <x:c r="D1520" s="9" t="n">
        <x:v>109.99</x:v>
      </x:c>
      <x:c r="E1520" s="9" t="n">
        <x:v>56.08</x:v>
      </x:c>
      <x:c r="F1520" s="8" t="n">
        <x:f>C1520*D1520</x:f>
        <x:v>1209.8899999999999</x:v>
      </x:c>
      <x:c r="G1520" s="8" t="n">
        <x:f>C1520*E1520</x:f>
        <x:v>616.88</x:v>
      </x:c>
      <x:c r="H1520" s="8" t="n">
        <x:f>F1520-G1520</x:f>
        <x:v>593.0099999999999</x:v>
      </x:c>
      <x:c r="I1520" s="10" t="n">
        <x:f>H1520/F1520</x:f>
        <x:v>0.49013546686062365</x:v>
      </x:c>
    </x:row>
    <x:row r="1521" ht="22" customHeight="1">
      <x:c r="A1521" s="11" t="str">
        <x:v>2383</x:v>
      </x:c>
      <x:c r="B1521" s="8" t="str">
        <x:v>Proseware Air conditioner 25000BTU L167 White</x:v>
      </x:c>
      <x:c r="C1521" s="8" t="n">
        <x:v>31</x:v>
      </x:c>
      <x:c r="D1521" s="9" t="n">
        <x:v>635.99</x:v>
      </x:c>
      <x:c r="E1521" s="9" t="n">
        <x:v>210.72</x:v>
      </x:c>
      <x:c r="F1521" s="8" t="n">
        <x:f>C1521*D1521</x:f>
        <x:v>19715.69</x:v>
      </x:c>
      <x:c r="G1521" s="8" t="n">
        <x:f>C1521*E1521</x:f>
        <x:v>6532.32</x:v>
      </x:c>
      <x:c r="H1521" s="8" t="n">
        <x:f>F1521-G1521</x:f>
        <x:v>13183.369999999999</x:v>
      </x:c>
      <x:c r="I1521" s="10" t="n">
        <x:f>H1521/F1521</x:f>
        <x:v>0.6686740357552792</x:v>
      </x:c>
    </x:row>
    <x:row r="1522" ht="22" customHeight="1">
      <x:c r="A1522" s="11" t="str">
        <x:v>2384</x:v>
      </x:c>
      <x:c r="B1522" s="8" t="str">
        <x:v>Proseware Air conditioner 12000BTU M640 White</x:v>
      </x:c>
      <x:c r="C1522" s="8" t="n">
        <x:v>8</x:v>
      </x:c>
      <x:c r="D1522" s="9" t="n">
        <x:v>459.99</x:v>
      </x:c>
      <x:c r="E1522" s="9" t="n">
        <x:v>211.53</x:v>
      </x:c>
      <x:c r="F1522" s="8" t="n">
        <x:f>C1522*D1522</x:f>
        <x:v>3679.92</x:v>
      </x:c>
      <x:c r="G1522" s="8" t="n">
        <x:f>C1522*E1522</x:f>
        <x:v>1692.24</x:v>
      </x:c>
      <x:c r="H1522" s="8" t="n">
        <x:f>F1522-G1522</x:f>
        <x:v>1987.68</x:v>
      </x:c>
      <x:c r="I1522" s="10" t="n">
        <x:f>H1522/F1522</x:f>
        <x:v>0.5401421770038479</x:v>
      </x:c>
    </x:row>
    <x:row r="1523" ht="22" customHeight="1">
      <x:c r="A1523" s="11" t="str">
        <x:v>2385</x:v>
      </x:c>
      <x:c r="B1523" s="8" t="str">
        <x:v>Proseware Air conditioner 10000BTU M490 White</x:v>
      </x:c>
      <x:c r="C1523" s="8" t="n">
        <x:v>16</x:v>
      </x:c>
      <x:c r="D1523" s="9" t="n">
        <x:v>429.99</x:v>
      </x:c>
      <x:c r="E1523" s="9" t="n">
        <x:v>197.74</x:v>
      </x:c>
      <x:c r="F1523" s="8" t="n">
        <x:f>C1523*D1523</x:f>
        <x:v>6879.84</x:v>
      </x:c>
      <x:c r="G1523" s="8" t="n">
        <x:f>C1523*E1523</x:f>
        <x:v>3163.84</x:v>
      </x:c>
      <x:c r="H1523" s="8" t="n">
        <x:f>F1523-G1523</x:f>
        <x:v>3716</x:v>
      </x:c>
      <x:c r="I1523" s="10" t="n">
        <x:f>H1523/F1523</x:f>
        <x:v>0.5401288402055862</x:v>
      </x:c>
    </x:row>
    <x:row r="1524" ht="22" customHeight="1">
      <x:c r="A1524" s="11" t="str">
        <x:v>2386</x:v>
      </x:c>
      <x:c r="B1524" s="8" t="str">
        <x:v>Proseware Air conditioner 8000BTU M320 White</x:v>
      </x:c>
      <x:c r="C1524" s="8" t="n">
        <x:v>9</x:v>
      </x:c>
      <x:c r="D1524" s="9" t="n">
        <x:v>399.99</x:v>
      </x:c>
      <x:c r="E1524" s="9" t="n">
        <x:v>183.94</x:v>
      </x:c>
      <x:c r="F1524" s="8" t="n">
        <x:f>C1524*D1524</x:f>
        <x:v>3599.91</x:v>
      </x:c>
      <x:c r="G1524" s="8" t="n">
        <x:f>C1524*E1524</x:f>
        <x:v>1655.46</x:v>
      </x:c>
      <x:c r="H1524" s="8" t="n">
        <x:f>F1524-G1524</x:f>
        <x:v>1944.4499999999998</x:v>
      </x:c>
      <x:c r="I1524" s="10" t="n">
        <x:f>H1524/F1524</x:f>
        <x:v>0.5401385034625865</x:v>
      </x:c>
    </x:row>
    <x:row r="1525" ht="22" customHeight="1">
      <x:c r="A1525" s="11" t="str">
        <x:v>2387</x:v>
      </x:c>
      <x:c r="B1525" s="8" t="str">
        <x:v>Proseware Air conditioner 7000BTU E260 White</x:v>
      </x:c>
      <x:c r="C1525" s="8" t="n">
        <x:v>36</x:v>
      </x:c>
      <x:c r="D1525" s="9" t="n">
        <x:v>299.99</x:v>
      </x:c>
      <x:c r="E1525" s="9" t="n">
        <x:v>152.94</x:v>
      </x:c>
      <x:c r="F1525" s="8" t="n">
        <x:f>C1525*D1525</x:f>
        <x:v>10799.64</x:v>
      </x:c>
      <x:c r="G1525" s="8" t="n">
        <x:f>C1525*E1525</x:f>
        <x:v>5505.84</x:v>
      </x:c>
      <x:c r="H1525" s="8" t="n">
        <x:f>F1525-G1525</x:f>
        <x:v>5293.799999999999</x:v>
      </x:c>
      <x:c r="I1525" s="10" t="n">
        <x:f>H1525/F1525</x:f>
        <x:v>0.4901830061002033</x:v>
      </x:c>
    </x:row>
    <x:row r="1526" ht="22" customHeight="1">
      <x:c r="A1526" s="11" t="str">
        <x:v>2388</x:v>
      </x:c>
      <x:c r="B1526" s="8" t="str">
        <x:v>Proseware Air conditioner 6000BTU E180 White</x:v>
      </x:c>
      <x:c r="C1526" s="8" t="n">
        <x:v>15</x:v>
      </x:c>
      <x:c r="D1526" s="9" t="n">
        <x:v>199.99</x:v>
      </x:c>
      <x:c r="E1526" s="9" t="n">
        <x:v>101.96</x:v>
      </x:c>
      <x:c r="F1526" s="8" t="n">
        <x:f>C1526*D1526</x:f>
        <x:v>2999.8500000000004</x:v>
      </x:c>
      <x:c r="G1526" s="8" t="n">
        <x:f>C1526*E1526</x:f>
        <x:v>1529.3999999999999</x:v>
      </x:c>
      <x:c r="H1526" s="8" t="n">
        <x:f>F1526-G1526</x:f>
        <x:v>1470.4500000000005</x:v>
      </x:c>
      <x:c r="I1526" s="10" t="n">
        <x:f>H1526/F1526</x:f>
        <x:v>0.4901745087254364</x:v>
      </x:c>
    </x:row>
    <x:row r="1527" ht="22" customHeight="1">
      <x:c r="A1527" s="11" t="str">
        <x:v>2389</x:v>
      </x:c>
      <x:c r="B1527" s="8" t="str">
        <x:v>Proseware Air conditioner 5200BTU E100 White</x:v>
      </x:c>
      <x:c r="C1527" s="8" t="n">
        <x:v>10</x:v>
      </x:c>
      <x:c r="D1527" s="9" t="n">
        <x:v>109.99</x:v>
      </x:c>
      <x:c r="E1527" s="9" t="n">
        <x:v>56.08</x:v>
      </x:c>
      <x:c r="F1527" s="8" t="n">
        <x:f>C1527*D1527</x:f>
        <x:v>1099.8999999999999</x:v>
      </x:c>
      <x:c r="G1527" s="8" t="n">
        <x:f>C1527*E1527</x:f>
        <x:v>560.8</x:v>
      </x:c>
      <x:c r="H1527" s="8" t="n">
        <x:f>F1527-G1527</x:f>
        <x:v>539.0999999999999</x:v>
      </x:c>
      <x:c r="I1527" s="10" t="n">
        <x:f>H1527/F1527</x:f>
        <x:v>0.49013546686062365</x:v>
      </x:c>
    </x:row>
    <x:row r="1528" ht="22" customHeight="1">
      <x:c r="A1528" s="11" t="str">
        <x:v>239</x:v>
      </x:c>
      <x:c r="B1528" s="8" t="str">
        <x:v>Litware Home Theater System 5.1 Channel M516 Brown</x:v>
      </x:c>
      <x:c r="C1528" s="8" t="n">
        <x:v>11</x:v>
      </x:c>
      <x:c r="D1528" s="9" t="n">
        <x:v>579</x:v>
      </x:c>
      <x:c r="E1528" s="9" t="n">
        <x:v>266.26</x:v>
      </x:c>
      <x:c r="F1528" s="8" t="n">
        <x:f>C1528*D1528</x:f>
        <x:v>6369</x:v>
      </x:c>
      <x:c r="G1528" s="8" t="n">
        <x:f>C1528*E1528</x:f>
        <x:v>2928.8599999999997</x:v>
      </x:c>
      <x:c r="H1528" s="8" t="n">
        <x:f>F1528-G1528</x:f>
        <x:v>3440.1400000000003</x:v>
      </x:c>
      <x:c r="I1528" s="10" t="n">
        <x:f>H1528/F1528</x:f>
        <x:v>0.5401381692573403</x:v>
      </x:c>
    </x:row>
    <x:row r="1529" ht="22" customHeight="1">
      <x:c r="A1529" s="11" t="str">
        <x:v>2390</x:v>
      </x:c>
      <x:c r="B1529" s="8" t="str">
        <x:v>Proseware Air conditioner 25000BTU L167 Red</x:v>
      </x:c>
      <x:c r="C1529" s="8" t="n">
        <x:v>3</x:v>
      </x:c>
      <x:c r="D1529" s="9" t="n">
        <x:v>635.99</x:v>
      </x:c>
      <x:c r="E1529" s="9" t="n">
        <x:v>210.72</x:v>
      </x:c>
      <x:c r="F1529" s="8" t="n">
        <x:f>C1529*D1529</x:f>
        <x:v>1907.97</x:v>
      </x:c>
      <x:c r="G1529" s="8" t="n">
        <x:f>C1529*E1529</x:f>
        <x:v>632.16</x:v>
      </x:c>
      <x:c r="H1529" s="8" t="n">
        <x:f>F1529-G1529</x:f>
        <x:v>1275.81</x:v>
      </x:c>
      <x:c r="I1529" s="10" t="n">
        <x:f>H1529/F1529</x:f>
        <x:v>0.6686740357552792</x:v>
      </x:c>
    </x:row>
    <x:row r="1530" ht="22" customHeight="1">
      <x:c r="A1530" s="11" t="str">
        <x:v>2391</x:v>
      </x:c>
      <x:c r="B1530" s="8" t="str">
        <x:v>Proseware Air conditioner 12000BTU M640 Red</x:v>
      </x:c>
      <x:c r="C1530" s="8" t="n">
        <x:v>2</x:v>
      </x:c>
      <x:c r="D1530" s="9" t="n">
        <x:v>459.99</x:v>
      </x:c>
      <x:c r="E1530" s="9" t="n">
        <x:v>211.53</x:v>
      </x:c>
      <x:c r="F1530" s="8" t="n">
        <x:f>C1530*D1530</x:f>
        <x:v>919.98</x:v>
      </x:c>
      <x:c r="G1530" s="8" t="n">
        <x:f>C1530*E1530</x:f>
        <x:v>423.06</x:v>
      </x:c>
      <x:c r="H1530" s="8" t="n">
        <x:f>F1530-G1530</x:f>
        <x:v>496.92</x:v>
      </x:c>
      <x:c r="I1530" s="10" t="n">
        <x:f>H1530/F1530</x:f>
        <x:v>0.5401421770038479</x:v>
      </x:c>
    </x:row>
    <x:row r="1531" ht="22" customHeight="1">
      <x:c r="A1531" s="11" t="str">
        <x:v>2392</x:v>
      </x:c>
      <x:c r="B1531" s="8" t="str">
        <x:v>Proseware Air conditioner 10000BTU M490 Red</x:v>
      </x:c>
      <x:c r="C1531" s="8" t="n">
        <x:v>25</x:v>
      </x:c>
      <x:c r="D1531" s="9" t="n">
        <x:v>429.99</x:v>
      </x:c>
      <x:c r="E1531" s="9" t="n">
        <x:v>197.74</x:v>
      </x:c>
      <x:c r="F1531" s="8" t="n">
        <x:f>C1531*D1531</x:f>
        <x:v>10749.75</x:v>
      </x:c>
      <x:c r="G1531" s="8" t="n">
        <x:f>C1531*E1531</x:f>
        <x:v>4943.5</x:v>
      </x:c>
      <x:c r="H1531" s="8" t="n">
        <x:f>F1531-G1531</x:f>
        <x:v>5806.25</x:v>
      </x:c>
      <x:c r="I1531" s="10" t="n">
        <x:f>H1531/F1531</x:f>
        <x:v>0.5401288402055862</x:v>
      </x:c>
    </x:row>
    <x:row r="1532" ht="22" customHeight="1">
      <x:c r="A1532" s="11" t="str">
        <x:v>2393</x:v>
      </x:c>
      <x:c r="B1532" s="8" t="str">
        <x:v>Proseware Air conditioner 8000BTU M320 Red</x:v>
      </x:c>
      <x:c r="C1532" s="8" t="n">
        <x:v>3</x:v>
      </x:c>
      <x:c r="D1532" s="9" t="n">
        <x:v>399.99</x:v>
      </x:c>
      <x:c r="E1532" s="9" t="n">
        <x:v>183.94</x:v>
      </x:c>
      <x:c r="F1532" s="8" t="n">
        <x:f>C1532*D1532</x:f>
        <x:v>1199.97</x:v>
      </x:c>
      <x:c r="G1532" s="8" t="n">
        <x:f>C1532*E1532</x:f>
        <x:v>551.8199999999999</x:v>
      </x:c>
      <x:c r="H1532" s="8" t="n">
        <x:f>F1532-G1532</x:f>
        <x:v>648.1500000000001</x:v>
      </x:c>
      <x:c r="I1532" s="10" t="n">
        <x:f>H1532/F1532</x:f>
        <x:v>0.5401385034625866</x:v>
      </x:c>
    </x:row>
    <x:row r="1533" ht="22" customHeight="1">
      <x:c r="A1533" s="11" t="str">
        <x:v>2394</x:v>
      </x:c>
      <x:c r="B1533" s="8" t="str">
        <x:v>Proseware Air conditioner 7000BTU E260 Red</x:v>
      </x:c>
      <x:c r="C1533" s="8" t="n">
        <x:v>15</x:v>
      </x:c>
      <x:c r="D1533" s="9" t="n">
        <x:v>299.99</x:v>
      </x:c>
      <x:c r="E1533" s="9" t="n">
        <x:v>152.94</x:v>
      </x:c>
      <x:c r="F1533" s="8" t="n">
        <x:f>C1533*D1533</x:f>
        <x:v>4499.85</x:v>
      </x:c>
      <x:c r="G1533" s="8" t="n">
        <x:f>C1533*E1533</x:f>
        <x:v>2294.1</x:v>
      </x:c>
      <x:c r="H1533" s="8" t="n">
        <x:f>F1533-G1533</x:f>
        <x:v>2205.7500000000005</x:v>
      </x:c>
      <x:c r="I1533" s="10" t="n">
        <x:f>H1533/F1533</x:f>
        <x:v>0.4901830061002034</x:v>
      </x:c>
    </x:row>
    <x:row r="1534" ht="22" customHeight="1">
      <x:c r="A1534" s="11" t="str">
        <x:v>2395</x:v>
      </x:c>
      <x:c r="B1534" s="8" t="str">
        <x:v>Proseware Air conditioner 6000BTU E180 Red</x:v>
      </x:c>
      <x:c r="C1534" s="8" t="n">
        <x:v>9</x:v>
      </x:c>
      <x:c r="D1534" s="9" t="n">
        <x:v>199.99</x:v>
      </x:c>
      <x:c r="E1534" s="9" t="n">
        <x:v>101.96</x:v>
      </x:c>
      <x:c r="F1534" s="8" t="n">
        <x:f>C1534*D1534</x:f>
        <x:v>1799.91</x:v>
      </x:c>
      <x:c r="G1534" s="8" t="n">
        <x:f>C1534*E1534</x:f>
        <x:v>917.64</x:v>
      </x:c>
      <x:c r="H1534" s="8" t="n">
        <x:f>F1534-G1534</x:f>
        <x:v>882.2700000000001</x:v>
      </x:c>
      <x:c r="I1534" s="10" t="n">
        <x:f>H1534/F1534</x:f>
        <x:v>0.4901745087254363</x:v>
      </x:c>
    </x:row>
    <x:row r="1535" ht="22" customHeight="1">
      <x:c r="A1535" s="11" t="str">
        <x:v>2396</x:v>
      </x:c>
      <x:c r="B1535" s="8" t="str">
        <x:v>Proseware Air conditioner 5200BTU E100 Red</x:v>
      </x:c>
      <x:c r="C1535" s="8" t="n">
        <x:v>12</x:v>
      </x:c>
      <x:c r="D1535" s="9" t="n">
        <x:v>109.99</x:v>
      </x:c>
      <x:c r="E1535" s="9" t="n">
        <x:v>56.08</x:v>
      </x:c>
      <x:c r="F1535" s="8" t="n">
        <x:f>C1535*D1535</x:f>
        <x:v>1319.8799999999999</x:v>
      </x:c>
      <x:c r="G1535" s="8" t="n">
        <x:f>C1535*E1535</x:f>
        <x:v>672.96</x:v>
      </x:c>
      <x:c r="H1535" s="8" t="n">
        <x:f>F1535-G1535</x:f>
        <x:v>646.9199999999998</x:v>
      </x:c>
      <x:c r="I1535" s="10" t="n">
        <x:f>H1535/F1535</x:f>
        <x:v>0.49013546686062365</x:v>
      </x:c>
    </x:row>
    <x:row r="1536" ht="22" customHeight="1">
      <x:c r="A1536" s="11" t="str">
        <x:v>2397</x:v>
      </x:c>
      <x:c r="B1536" s="8" t="str">
        <x:v>Proseware Air conditioner 25000BTU L167 Silver</x:v>
      </x:c>
      <x:c r="C1536" s="8" t="n">
        <x:v>27</x:v>
      </x:c>
      <x:c r="D1536" s="9" t="n">
        <x:v>635.99</x:v>
      </x:c>
      <x:c r="E1536" s="9" t="n">
        <x:v>210.72</x:v>
      </x:c>
      <x:c r="F1536" s="8" t="n">
        <x:f>C1536*D1536</x:f>
        <x:v>17171.73</x:v>
      </x:c>
      <x:c r="G1536" s="8" t="n">
        <x:f>C1536*E1536</x:f>
        <x:v>5689.44</x:v>
      </x:c>
      <x:c r="H1536" s="8" t="n">
        <x:f>F1536-G1536</x:f>
        <x:v>11482.29</x:v>
      </x:c>
      <x:c r="I1536" s="10" t="n">
        <x:f>H1536/F1536</x:f>
        <x:v>0.6686740357552793</x:v>
      </x:c>
    </x:row>
    <x:row r="1537" ht="22" customHeight="1">
      <x:c r="A1537" s="11" t="str">
        <x:v>2398</x:v>
      </x:c>
      <x:c r="B1537" s="8" t="str">
        <x:v>Proseware Air conditioner 12000BTU M640 Silver</x:v>
      </x:c>
      <x:c r="C1537" s="8" t="n">
        <x:v>25</x:v>
      </x:c>
      <x:c r="D1537" s="9" t="n">
        <x:v>459.99</x:v>
      </x:c>
      <x:c r="E1537" s="9" t="n">
        <x:v>211.53</x:v>
      </x:c>
      <x:c r="F1537" s="8" t="n">
        <x:f>C1537*D1537</x:f>
        <x:v>11499.75</x:v>
      </x:c>
      <x:c r="G1537" s="8" t="n">
        <x:f>C1537*E1537</x:f>
        <x:v>5288.25</x:v>
      </x:c>
      <x:c r="H1537" s="8" t="n">
        <x:f>F1537-G1537</x:f>
        <x:v>6211.5</x:v>
      </x:c>
      <x:c r="I1537" s="10" t="n">
        <x:f>H1537/F1537</x:f>
        <x:v>0.5401421770038479</x:v>
      </x:c>
    </x:row>
    <x:row r="1538" ht="22" customHeight="1">
      <x:c r="A1538" s="11" t="str">
        <x:v>2399</x:v>
      </x:c>
      <x:c r="B1538" s="8" t="str">
        <x:v>Proseware Air conditioner 10000BTU M490 Silver</x:v>
      </x:c>
      <x:c r="C1538" s="8" t="n">
        <x:v>14</x:v>
      </x:c>
      <x:c r="D1538" s="9" t="n">
        <x:v>429.99</x:v>
      </x:c>
      <x:c r="E1538" s="9" t="n">
        <x:v>197.74</x:v>
      </x:c>
      <x:c r="F1538" s="8" t="n">
        <x:f>C1538*D1538</x:f>
        <x:v>6019.860000000001</x:v>
      </x:c>
      <x:c r="G1538" s="8" t="n">
        <x:f>C1538*E1538</x:f>
        <x:v>2768.36</x:v>
      </x:c>
      <x:c r="H1538" s="8" t="n">
        <x:f>F1538-G1538</x:f>
        <x:v>3251.5000000000005</x:v>
      </x:c>
      <x:c r="I1538" s="10" t="n">
        <x:f>H1538/F1538</x:f>
        <x:v>0.5401288402055862</x:v>
      </x:c>
    </x:row>
    <x:row r="1539" ht="22" customHeight="1">
      <x:c r="A1539" s="11" t="str">
        <x:v>24</x:v>
      </x:c>
      <x:c r="B1539" s="8" t="str">
        <x:v>Contoso 16GB Mp5 Player M1600 Blue</x:v>
      </x:c>
      <x:c r="C1539" s="8" t="n">
        <x:v>92</x:v>
      </x:c>
      <x:c r="D1539" s="9" t="n">
        <x:v>199.9</x:v>
      </x:c>
      <x:c r="E1539" s="9" t="n">
        <x:v>91.93</x:v>
      </x:c>
      <x:c r="F1539" s="8" t="n">
        <x:f>C1539*D1539</x:f>
        <x:v>18390.8</x:v>
      </x:c>
      <x:c r="G1539" s="8" t="n">
        <x:f>C1539*E1539</x:f>
        <x:v>8457.560000000001</x:v>
      </x:c>
      <x:c r="H1539" s="8" t="n">
        <x:f>F1539-G1539</x:f>
        <x:v>9933.239999999998</x:v>
      </x:c>
      <x:c r="I1539" s="10" t="n">
        <x:f>H1539/F1539</x:f>
        <x:v>0.5401200600300149</x:v>
      </x:c>
    </x:row>
    <x:row r="1540" ht="22" customHeight="1">
      <x:c r="A1540" s="11" t="str">
        <x:v>240</x:v>
      </x:c>
      <x:c r="B1540" s="8" t="str">
        <x:v>Contoso Home Theater System 2.1 Channel E1200 Black</x:v>
      </x:c>
      <x:c r="C1540" s="8" t="n">
        <x:v>3</x:v>
      </x:c>
      <x:c r="D1540" s="9" t="n">
        <x:v>299</x:v>
      </x:c>
      <x:c r="E1540" s="9" t="n">
        <x:v>152.44</x:v>
      </x:c>
      <x:c r="F1540" s="8" t="n">
        <x:f>C1540*D1540</x:f>
        <x:v>897</x:v>
      </x:c>
      <x:c r="G1540" s="8" t="n">
        <x:f>C1540*E1540</x:f>
        <x:v>457.32</x:v>
      </x:c>
      <x:c r="H1540" s="8" t="n">
        <x:f>F1540-G1540</x:f>
        <x:v>439.68</x:v>
      </x:c>
      <x:c r="I1540" s="10" t="n">
        <x:f>H1540/F1540</x:f>
        <x:v>0.4901672240802676</x:v>
      </x:c>
    </x:row>
    <x:row r="1541" ht="22" customHeight="1">
      <x:c r="A1541" s="11" t="str">
        <x:v>2400</x:v>
      </x:c>
      <x:c r="B1541" s="8" t="str">
        <x:v>Proseware Air conditioner 8000BTU M320 Silver</x:v>
      </x:c>
      <x:c r="C1541" s="8" t="n">
        <x:v>5</x:v>
      </x:c>
      <x:c r="D1541" s="9" t="n">
        <x:v>399.99</x:v>
      </x:c>
      <x:c r="E1541" s="9" t="n">
        <x:v>183.94</x:v>
      </x:c>
      <x:c r="F1541" s="8" t="n">
        <x:f>C1541*D1541</x:f>
        <x:v>1999.95</x:v>
      </x:c>
      <x:c r="G1541" s="8" t="n">
        <x:f>C1541*E1541</x:f>
        <x:v>919.7</x:v>
      </x:c>
      <x:c r="H1541" s="8" t="n">
        <x:f>F1541-G1541</x:f>
        <x:v>1080.25</x:v>
      </x:c>
      <x:c r="I1541" s="10" t="n">
        <x:f>H1541/F1541</x:f>
        <x:v>0.5401385034625865</x:v>
      </x:c>
    </x:row>
    <x:row r="1542" ht="22" customHeight="1">
      <x:c r="A1542" s="11" t="str">
        <x:v>2401</x:v>
      </x:c>
      <x:c r="B1542" s="8" t="str">
        <x:v>Proseware Air conditioner 7000BTU E260 Silver</x:v>
      </x:c>
      <x:c r="C1542" s="8" t="n">
        <x:v>6</x:v>
      </x:c>
      <x:c r="D1542" s="9" t="n">
        <x:v>299.99</x:v>
      </x:c>
      <x:c r="E1542" s="9" t="n">
        <x:v>152.94</x:v>
      </x:c>
      <x:c r="F1542" s="8" t="n">
        <x:f>C1542*D1542</x:f>
        <x:v>1799.94</x:v>
      </x:c>
      <x:c r="G1542" s="8" t="n">
        <x:f>C1542*E1542</x:f>
        <x:v>917.64</x:v>
      </x:c>
      <x:c r="H1542" s="8" t="n">
        <x:f>F1542-G1542</x:f>
        <x:v>882.3000000000001</x:v>
      </x:c>
      <x:c r="I1542" s="10" t="n">
        <x:f>H1542/F1542</x:f>
        <x:v>0.4901830061002034</x:v>
      </x:c>
    </x:row>
    <x:row r="1543" ht="22" customHeight="1">
      <x:c r="A1543" s="11" t="str">
        <x:v>2402</x:v>
      </x:c>
      <x:c r="B1543" s="8" t="str">
        <x:v>Proseware Air conditioner 6000BTU E180 Silver</x:v>
      </x:c>
      <x:c r="C1543" s="8" t="n">
        <x:v>11</x:v>
      </x:c>
      <x:c r="D1543" s="9" t="n">
        <x:v>199.99</x:v>
      </x:c>
      <x:c r="E1543" s="9" t="n">
        <x:v>101.96</x:v>
      </x:c>
      <x:c r="F1543" s="8" t="n">
        <x:f>C1543*D1543</x:f>
        <x:v>2199.8900000000003</x:v>
      </x:c>
      <x:c r="G1543" s="8" t="n">
        <x:f>C1543*E1543</x:f>
        <x:v>1121.56</x:v>
      </x:c>
      <x:c r="H1543" s="8" t="n">
        <x:f>F1543-G1543</x:f>
        <x:v>1078.3300000000004</x:v>
      </x:c>
      <x:c r="I1543" s="10" t="n">
        <x:f>H1543/F1543</x:f>
        <x:v>0.4901745087254364</x:v>
      </x:c>
    </x:row>
    <x:row r="1544" ht="22" customHeight="1">
      <x:c r="A1544" s="11" t="str">
        <x:v>2403</x:v>
      </x:c>
      <x:c r="B1544" s="8" t="str">
        <x:v>Proseware Air conditioner 5200BTU E100 Silver</x:v>
      </x:c>
      <x:c r="C1544" s="8" t="n">
        <x:v>4</x:v>
      </x:c>
      <x:c r="D1544" s="9" t="n">
        <x:v>109.99</x:v>
      </x:c>
      <x:c r="E1544" s="9" t="n">
        <x:v>56.08</x:v>
      </x:c>
      <x:c r="F1544" s="8" t="n">
        <x:f>C1544*D1544</x:f>
        <x:v>439.96</x:v>
      </x:c>
      <x:c r="G1544" s="8" t="n">
        <x:f>C1544*E1544</x:f>
        <x:v>224.32</x:v>
      </x:c>
      <x:c r="H1544" s="8" t="n">
        <x:f>F1544-G1544</x:f>
        <x:v>215.64</x:v>
      </x:c>
      <x:c r="I1544" s="10" t="n">
        <x:f>H1544/F1544</x:f>
        <x:v>0.4901354668606237</x:v>
      </x:c>
    </x:row>
    <x:row r="1545" ht="22" customHeight="1">
      <x:c r="A1545" s="11" t="str">
        <x:v>2404</x:v>
      </x:c>
      <x:c r="B1545" s="8" t="str">
        <x:v>Proseware Air conditioner 25000BTU L167 Grey</x:v>
      </x:c>
      <x:c r="C1545" s="8" t="n">
        <x:v>26</x:v>
      </x:c>
      <x:c r="D1545" s="9" t="n">
        <x:v>635.99</x:v>
      </x:c>
      <x:c r="E1545" s="9" t="n">
        <x:v>210.72</x:v>
      </x:c>
      <x:c r="F1545" s="8" t="n">
        <x:f>C1545*D1545</x:f>
        <x:v>16535.74</x:v>
      </x:c>
      <x:c r="G1545" s="8" t="n">
        <x:f>C1545*E1545</x:f>
        <x:v>5478.72</x:v>
      </x:c>
      <x:c r="H1545" s="8" t="n">
        <x:f>F1545-G1545</x:f>
        <x:v>11057.02</x:v>
      </x:c>
      <x:c r="I1545" s="10" t="n">
        <x:f>H1545/F1545</x:f>
        <x:v>0.6686740357552792</x:v>
      </x:c>
    </x:row>
    <x:row r="1546" ht="22" customHeight="1">
      <x:c r="A1546" s="11" t="str">
        <x:v>2405</x:v>
      </x:c>
      <x:c r="B1546" s="8" t="str">
        <x:v>Proseware Air conditioner 12000BTU M640 Grey</x:v>
      </x:c>
      <x:c r="C1546" s="8" t="n">
        <x:v>6</x:v>
      </x:c>
      <x:c r="D1546" s="9" t="n">
        <x:v>459.99</x:v>
      </x:c>
      <x:c r="E1546" s="9" t="n">
        <x:v>211.53</x:v>
      </x:c>
      <x:c r="F1546" s="8" t="n">
        <x:f>C1546*D1546</x:f>
        <x:v>2759.94</x:v>
      </x:c>
      <x:c r="G1546" s="8" t="n">
        <x:f>C1546*E1546</x:f>
        <x:v>1269.18</x:v>
      </x:c>
      <x:c r="H1546" s="8" t="n">
        <x:f>F1546-G1546</x:f>
        <x:v>1490.76</x:v>
      </x:c>
      <x:c r="I1546" s="10" t="n">
        <x:f>H1546/F1546</x:f>
        <x:v>0.5401421770038479</x:v>
      </x:c>
    </x:row>
    <x:row r="1547" ht="22" customHeight="1">
      <x:c r="A1547" s="11" t="str">
        <x:v>2406</x:v>
      </x:c>
      <x:c r="B1547" s="8" t="str">
        <x:v>Proseware Air conditioner 10000BTU M490 Grey</x:v>
      </x:c>
      <x:c r="C1547" s="8" t="n">
        <x:v>20</x:v>
      </x:c>
      <x:c r="D1547" s="9" t="n">
        <x:v>429.99</x:v>
      </x:c>
      <x:c r="E1547" s="9" t="n">
        <x:v>197.74</x:v>
      </x:c>
      <x:c r="F1547" s="8" t="n">
        <x:f>C1547*D1547</x:f>
        <x:v>8599.8</x:v>
      </x:c>
      <x:c r="G1547" s="8" t="n">
        <x:f>C1547*E1547</x:f>
        <x:v>3954.8</x:v>
      </x:c>
      <x:c r="H1547" s="8" t="n">
        <x:f>F1547-G1547</x:f>
        <x:v>4644.999999999999</x:v>
      </x:c>
      <x:c r="I1547" s="10" t="n">
        <x:f>H1547/F1547</x:f>
        <x:v>0.5401288402055862</x:v>
      </x:c>
    </x:row>
    <x:row r="1548" ht="22" customHeight="1">
      <x:c r="A1548" s="11" t="str">
        <x:v>2407</x:v>
      </x:c>
      <x:c r="B1548" s="8" t="str">
        <x:v>Proseware Air conditioner 8000BTU M320 Grey</x:v>
      </x:c>
      <x:c r="C1548" s="8" t="n">
        <x:v>18</x:v>
      </x:c>
      <x:c r="D1548" s="9" t="n">
        <x:v>399.99</x:v>
      </x:c>
      <x:c r="E1548" s="9" t="n">
        <x:v>183.94</x:v>
      </x:c>
      <x:c r="F1548" s="8" t="n">
        <x:f>C1548*D1548</x:f>
        <x:v>7199.82</x:v>
      </x:c>
      <x:c r="G1548" s="8" t="n">
        <x:f>C1548*E1548</x:f>
        <x:v>3310.92</x:v>
      </x:c>
      <x:c r="H1548" s="8" t="n">
        <x:f>F1548-G1548</x:f>
        <x:v>3888.8999999999996</x:v>
      </x:c>
      <x:c r="I1548" s="10" t="n">
        <x:f>H1548/F1548</x:f>
        <x:v>0.5401385034625865</x:v>
      </x:c>
    </x:row>
    <x:row r="1549" ht="22" customHeight="1">
      <x:c r="A1549" s="11" t="str">
        <x:v>2408</x:v>
      </x:c>
      <x:c r="B1549" s="8" t="str">
        <x:v>Proseware Air conditioner 7000BTU E260 Grey</x:v>
      </x:c>
      <x:c r="C1549" s="8" t="n">
        <x:v>14</x:v>
      </x:c>
      <x:c r="D1549" s="9" t="n">
        <x:v>299.99</x:v>
      </x:c>
      <x:c r="E1549" s="9" t="n">
        <x:v>152.94</x:v>
      </x:c>
      <x:c r="F1549" s="8" t="n">
        <x:f>C1549*D1549</x:f>
        <x:v>4199.860000000001</x:v>
      </x:c>
      <x:c r="G1549" s="8" t="n">
        <x:f>C1549*E1549</x:f>
        <x:v>2141.16</x:v>
      </x:c>
      <x:c r="H1549" s="8" t="n">
        <x:f>F1549-G1549</x:f>
        <x:v>2058.7000000000007</x:v>
      </x:c>
      <x:c r="I1549" s="10" t="n">
        <x:f>H1549/F1549</x:f>
        <x:v>0.49018300610020343</x:v>
      </x:c>
    </x:row>
    <x:row r="1550" ht="22" customHeight="1">
      <x:c r="A1550" s="11" t="str">
        <x:v>2409</x:v>
      </x:c>
      <x:c r="B1550" s="8" t="str">
        <x:v>Proseware Air conditioner 6000BTU E180 Grey</x:v>
      </x:c>
      <x:c r="C1550" s="8" t="n">
        <x:v>17</x:v>
      </x:c>
      <x:c r="D1550" s="9" t="n">
        <x:v>199.99</x:v>
      </x:c>
      <x:c r="E1550" s="9" t="n">
        <x:v>101.96</x:v>
      </x:c>
      <x:c r="F1550" s="8" t="n">
        <x:f>C1550*D1550</x:f>
        <x:v>3399.83</x:v>
      </x:c>
      <x:c r="G1550" s="8" t="n">
        <x:f>C1550*E1550</x:f>
        <x:v>1733.32</x:v>
      </x:c>
      <x:c r="H1550" s="8" t="n">
        <x:f>F1550-G1550</x:f>
        <x:v>1666.51</x:v>
      </x:c>
      <x:c r="I1550" s="10" t="n">
        <x:f>H1550/F1550</x:f>
        <x:v>0.4901745087254363</x:v>
      </x:c>
    </x:row>
    <x:row r="1551" ht="22" customHeight="1">
      <x:c r="A1551" s="11" t="str">
        <x:v>241</x:v>
      </x:c>
      <x:c r="B1551" s="8" t="str">
        <x:v>Contoso Home Theater System 2.1 Channel M1210 Black</x:v>
      </x:c>
      <x:c r="C1551" s="8" t="n">
        <x:v>15</x:v>
      </x:c>
      <x:c r="D1551" s="9" t="n">
        <x:v>329</x:v>
      </x:c>
      <x:c r="E1551" s="9" t="n">
        <x:v>167.73</x:v>
      </x:c>
      <x:c r="F1551" s="8" t="n">
        <x:f>C1551*D1551</x:f>
        <x:v>4935</x:v>
      </x:c>
      <x:c r="G1551" s="8" t="n">
        <x:f>C1551*E1551</x:f>
        <x:v>2515.95</x:v>
      </x:c>
      <x:c r="H1551" s="8" t="n">
        <x:f>F1551-G1551</x:f>
        <x:v>2419.05</x:v>
      </x:c>
      <x:c r="I1551" s="10" t="n">
        <x:f>H1551/F1551</x:f>
        <x:v>0.49018237082066873</x:v>
      </x:c>
    </x:row>
    <x:row r="1552" ht="22" customHeight="1">
      <x:c r="A1552" s="11" t="str">
        <x:v>2410</x:v>
      </x:c>
      <x:c r="B1552" s="8" t="str">
        <x:v>Litware 3-Speed Oscillating High-Performance Fan E201 Black</x:v>
      </x:c>
      <x:c r="C1552" s="8" t="n">
        <x:v>5</x:v>
      </x:c>
      <x:c r="D1552" s="9" t="n">
        <x:v>29.99</x:v>
      </x:c>
      <x:c r="E1552" s="9" t="n">
        <x:v>15.29</x:v>
      </x:c>
      <x:c r="F1552" s="8" t="n">
        <x:f>C1552*D1552</x:f>
        <x:v>149.95</x:v>
      </x:c>
      <x:c r="G1552" s="8" t="n">
        <x:f>C1552*E1552</x:f>
        <x:v>76.44999999999999</x:v>
      </x:c>
      <x:c r="H1552" s="8" t="n">
        <x:f>F1552-G1552</x:f>
        <x:v>73.5</x:v>
      </x:c>
      <x:c r="I1552" s="10" t="n">
        <x:f>H1552/F1552</x:f>
        <x:v>0.490163387795932</x:v>
      </x:c>
    </x:row>
    <x:row r="1553" ht="22" customHeight="1">
      <x:c r="A1553" s="11" t="str">
        <x:v>2411</x:v>
      </x:c>
      <x:c r="B1553" s="8" t="str">
        <x:v>Litware 3-Speed Oscillating High-Performance Fan E201 White</x:v>
      </x:c>
      <x:c r="C1553" s="8" t="n">
        <x:v>22</x:v>
      </x:c>
      <x:c r="D1553" s="9" t="n">
        <x:v>29.99</x:v>
      </x:c>
      <x:c r="E1553" s="9" t="n">
        <x:v>15.29</x:v>
      </x:c>
      <x:c r="F1553" s="8" t="n">
        <x:f>C1553*D1553</x:f>
        <x:v>659.78</x:v>
      </x:c>
      <x:c r="G1553" s="8" t="n">
        <x:f>C1553*E1553</x:f>
        <x:v>336.38</x:v>
      </x:c>
      <x:c r="H1553" s="8" t="n">
        <x:f>F1553-G1553</x:f>
        <x:v>323.4</x:v>
      </x:c>
      <x:c r="I1553" s="10" t="n">
        <x:f>H1553/F1553</x:f>
        <x:v>0.49016338779593194</x:v>
      </x:c>
    </x:row>
    <x:row r="1554" ht="22" customHeight="1">
      <x:c r="A1554" s="11" t="str">
        <x:v>2412</x:v>
      </x:c>
      <x:c r="B1554" s="8" t="str">
        <x:v>Litware 3-Speed Oscillating High-Performance Fan E201 Silver</x:v>
      </x:c>
      <x:c r="C1554" s="8" t="n">
        <x:v>14</x:v>
      </x:c>
      <x:c r="D1554" s="9" t="n">
        <x:v>29.99</x:v>
      </x:c>
      <x:c r="E1554" s="9" t="n">
        <x:v>15.29</x:v>
      </x:c>
      <x:c r="F1554" s="8" t="n">
        <x:f>C1554*D1554</x:f>
        <x:v>419.85999999999996</x:v>
      </x:c>
      <x:c r="G1554" s="8" t="n">
        <x:f>C1554*E1554</x:f>
        <x:v>214.06</x:v>
      </x:c>
      <x:c r="H1554" s="8" t="n">
        <x:f>F1554-G1554</x:f>
        <x:v>205.79999999999995</x:v>
      </x:c>
      <x:c r="I1554" s="10" t="n">
        <x:f>H1554/F1554</x:f>
        <x:v>0.49016338779593194</x:v>
      </x:c>
    </x:row>
    <x:row r="1555" ht="22" customHeight="1">
      <x:c r="A1555" s="11" t="str">
        <x:v>2413</x:v>
      </x:c>
      <x:c r="B1555" s="8" t="str">
        <x:v>Litware 18'' Adjustable Oscillating Pedestal Fan E301 Black</x:v>
      </x:c>
      <x:c r="C1555" s="8" t="n">
        <x:v>22</x:v>
      </x:c>
      <x:c r="D1555" s="9" t="n">
        <x:v>36.83</x:v>
      </x:c>
      <x:c r="E1555" s="9" t="n">
        <x:v>18.78</x:v>
      </x:c>
      <x:c r="F1555" s="8" t="n">
        <x:f>C1555*D1555</x:f>
        <x:v>810.26</x:v>
      </x:c>
      <x:c r="G1555" s="8" t="n">
        <x:f>C1555*E1555</x:f>
        <x:v>413.16</x:v>
      </x:c>
      <x:c r="H1555" s="8" t="n">
        <x:f>F1555-G1555</x:f>
        <x:v>397.09999999999997</x:v>
      </x:c>
      <x:c r="I1555" s="10" t="n">
        <x:f>H1555/F1555</x:f>
        <x:v>0.4900896008688569</x:v>
      </x:c>
    </x:row>
    <x:row r="1556" ht="22" customHeight="1">
      <x:c r="A1556" s="11" t="str">
        <x:v>2414</x:v>
      </x:c>
      <x:c r="B1556" s="8" t="str">
        <x:v>Litware 18'' Adjustable Oscillating Pedestal Fan E301 White</x:v>
      </x:c>
      <x:c r="C1556" s="8" t="n">
        <x:v>8</x:v>
      </x:c>
      <x:c r="D1556" s="9" t="n">
        <x:v>36.83</x:v>
      </x:c>
      <x:c r="E1556" s="9" t="n">
        <x:v>18.78</x:v>
      </x:c>
      <x:c r="F1556" s="8" t="n">
        <x:f>C1556*D1556</x:f>
        <x:v>294.64</x:v>
      </x:c>
      <x:c r="G1556" s="8" t="n">
        <x:f>C1556*E1556</x:f>
        <x:v>150.24</x:v>
      </x:c>
      <x:c r="H1556" s="8" t="n">
        <x:f>F1556-G1556</x:f>
        <x:v>144.39999999999998</x:v>
      </x:c>
      <x:c r="I1556" s="10" t="n">
        <x:f>H1556/F1556</x:f>
        <x:v>0.49008960086885683</x:v>
      </x:c>
    </x:row>
    <x:row r="1557" ht="22" customHeight="1">
      <x:c r="A1557" s="11" t="str">
        <x:v>2415</x:v>
      </x:c>
      <x:c r="B1557" s="8" t="str">
        <x:v>Litware 18'' Adjustable Oscillating Pedestal Fan E301 Silver</x:v>
      </x:c>
      <x:c r="C1557" s="8" t="n">
        <x:v>14</x:v>
      </x:c>
      <x:c r="D1557" s="9" t="n">
        <x:v>36.83</x:v>
      </x:c>
      <x:c r="E1557" s="9" t="n">
        <x:v>18.78</x:v>
      </x:c>
      <x:c r="F1557" s="8" t="n">
        <x:f>C1557*D1557</x:f>
        <x:v>515.62</x:v>
      </x:c>
      <x:c r="G1557" s="8" t="n">
        <x:f>C1557*E1557</x:f>
        <x:v>262.92</x:v>
      </x:c>
      <x:c r="H1557" s="8" t="n">
        <x:f>F1557-G1557</x:f>
        <x:v>252.7</x:v>
      </x:c>
      <x:c r="I1557" s="10" t="n">
        <x:f>H1557/F1557</x:f>
        <x:v>0.4900896008688569</x:v>
      </x:c>
    </x:row>
    <x:row r="1558" ht="22" customHeight="1">
      <x:c r="A1558" s="11" t="str">
        <x:v>2416</x:v>
      </x:c>
      <x:c r="B1558" s="8" t="str">
        <x:v>Litware 3-Speed Oscillating Blower Fan M115 White</x:v>
      </x:c>
      <x:c r="C1558" s="8" t="n">
        <x:v>12</x:v>
      </x:c>
      <x:c r="D1558" s="9" t="n">
        <x:v>73.99</x:v>
      </x:c>
      <x:c r="E1558" s="9" t="n">
        <x:v>34.03</x:v>
      </x:c>
      <x:c r="F1558" s="8" t="n">
        <x:f>C1558*D1558</x:f>
        <x:v>887.8799999999999</x:v>
      </x:c>
      <x:c r="G1558" s="8" t="n">
        <x:f>C1558*E1558</x:f>
        <x:v>408.36</x:v>
      </x:c>
      <x:c r="H1558" s="8" t="n">
        <x:f>F1558-G1558</x:f>
        <x:v>479.51999999999987</x:v>
      </x:c>
      <x:c r="I1558" s="10" t="n">
        <x:f>H1558/F1558</x:f>
        <x:v>0.5400729828355182</x:v>
      </x:c>
    </x:row>
    <x:row r="1559" ht="22" customHeight="1">
      <x:c r="A1559" s="11" t="str">
        <x:v>2417</x:v>
      </x:c>
      <x:c r="B1559" s="8" t="str">
        <x:v>Litware 3-Speed Oscillating Blower Fan M115 Black</x:v>
      </x:c>
      <x:c r="C1559" s="8" t="n">
        <x:v>15</x:v>
      </x:c>
      <x:c r="D1559" s="9" t="n">
        <x:v>73.99</x:v>
      </x:c>
      <x:c r="E1559" s="9" t="n">
        <x:v>34.03</x:v>
      </x:c>
      <x:c r="F1559" s="8" t="n">
        <x:f>C1559*D1559</x:f>
        <x:v>1109.85</x:v>
      </x:c>
      <x:c r="G1559" s="8" t="n">
        <x:f>C1559*E1559</x:f>
        <x:v>510.45000000000005</x:v>
      </x:c>
      <x:c r="H1559" s="8" t="n">
        <x:f>F1559-G1559</x:f>
        <x:v>599.3999999999999</x:v>
      </x:c>
      <x:c r="I1559" s="10" t="n">
        <x:f>H1559/F1559</x:f>
        <x:v>0.5400729828355182</x:v>
      </x:c>
    </x:row>
    <x:row r="1560" ht="22" customHeight="1">
      <x:c r="A1560" s="11" t="str">
        <x:v>2418</x:v>
      </x:c>
      <x:c r="B1560" s="8" t="str">
        <x:v>Litware 3-Speed Oscillating Blower Fan M115 Silver</x:v>
      </x:c>
      <x:c r="C1560" s="8" t="n">
        <x:v>25</x:v>
      </x:c>
      <x:c r="D1560" s="9" t="n">
        <x:v>73.99</x:v>
      </x:c>
      <x:c r="E1560" s="9" t="n">
        <x:v>34.03</x:v>
      </x:c>
      <x:c r="F1560" s="8" t="n">
        <x:f>C1560*D1560</x:f>
        <x:v>1849.7499999999998</x:v>
      </x:c>
      <x:c r="G1560" s="8" t="n">
        <x:f>C1560*E1560</x:f>
        <x:v>850.75</x:v>
      </x:c>
      <x:c r="H1560" s="8" t="n">
        <x:f>F1560-G1560</x:f>
        <x:v>998.9999999999998</x:v>
      </x:c>
      <x:c r="I1560" s="10" t="n">
        <x:f>H1560/F1560</x:f>
        <x:v>0.5400729828355183</x:v>
      </x:c>
    </x:row>
    <x:row r="1561" ht="22" customHeight="1">
      <x:c r="A1561" s="11" t="str">
        <x:v>2419</x:v>
      </x:c>
      <x:c r="B1561" s="8" t="str">
        <x:v>Litware 20'' Box Fan E401 Blue</x:v>
      </x:c>
      <x:c r="C1561" s="8" t="n">
        <x:v>22</x:v>
      </x:c>
      <x:c r="D1561" s="9" t="n">
        <x:v>25.99</x:v>
      </x:c>
      <x:c r="E1561" s="9" t="n">
        <x:v>13.25</x:v>
      </x:c>
      <x:c r="F1561" s="8" t="n">
        <x:f>C1561*D1561</x:f>
        <x:v>571.78</x:v>
      </x:c>
      <x:c r="G1561" s="8" t="n">
        <x:f>C1561*E1561</x:f>
        <x:v>291.5</x:v>
      </x:c>
      <x:c r="H1561" s="8" t="n">
        <x:f>F1561-G1561</x:f>
        <x:v>280.28</x:v>
      </x:c>
      <x:c r="I1561" s="10" t="n">
        <x:f>H1561/F1561</x:f>
        <x:v>0.49018853405155827</x:v>
      </x:c>
    </x:row>
    <x:row r="1562" ht="22" customHeight="1">
      <x:c r="A1562" s="11" t="str">
        <x:v>242</x:v>
      </x:c>
      <x:c r="B1562" s="8" t="str">
        <x:v>Contoso Home Theater System 7.1 Channel M1700 Black</x:v>
      </x:c>
      <x:c r="C1562" s="8" t="n">
        <x:v>20</x:v>
      </x:c>
      <x:c r="D1562" s="9" t="n">
        <x:v>889</x:v>
      </x:c>
      <x:c r="E1562" s="9" t="n">
        <x:v>294.54</x:v>
      </x:c>
      <x:c r="F1562" s="8" t="n">
        <x:f>C1562*D1562</x:f>
        <x:v>17780</x:v>
      </x:c>
      <x:c r="G1562" s="8" t="n">
        <x:f>C1562*E1562</x:f>
        <x:v>5890.8</x:v>
      </x:c>
      <x:c r="H1562" s="8" t="n">
        <x:f>F1562-G1562</x:f>
        <x:v>11889.2</x:v>
      </x:c>
      <x:c r="I1562" s="10" t="n">
        <x:f>H1562/F1562</x:f>
        <x:v>0.6686839145106862</x:v>
      </x:c>
    </x:row>
    <x:row r="1563" ht="22" customHeight="1">
      <x:c r="A1563" s="11" t="str">
        <x:v>2420</x:v>
      </x:c>
      <x:c r="B1563" s="8" t="str">
        <x:v>Litware 20'' Box Fan E401 Black</x:v>
      </x:c>
      <x:c r="C1563" s="8" t="n">
        <x:v>22</x:v>
      </x:c>
      <x:c r="D1563" s="9" t="n">
        <x:v>25.99</x:v>
      </x:c>
      <x:c r="E1563" s="9" t="n">
        <x:v>13.25</x:v>
      </x:c>
      <x:c r="F1563" s="8" t="n">
        <x:f>C1563*D1563</x:f>
        <x:v>571.78</x:v>
      </x:c>
      <x:c r="G1563" s="8" t="n">
        <x:f>C1563*E1563</x:f>
        <x:v>291.5</x:v>
      </x:c>
      <x:c r="H1563" s="8" t="n">
        <x:f>F1563-G1563</x:f>
        <x:v>280.28</x:v>
      </x:c>
      <x:c r="I1563" s="10" t="n">
        <x:f>H1563/F1563</x:f>
        <x:v>0.49018853405155827</x:v>
      </x:c>
    </x:row>
    <x:row r="1564" ht="22" customHeight="1">
      <x:c r="A1564" s="11" t="str">
        <x:v>2421</x:v>
      </x:c>
      <x:c r="B1564" s="8" t="str">
        <x:v>Litware 20'' Box Fan E401 White</x:v>
      </x:c>
      <x:c r="C1564" s="8" t="n">
        <x:v>12</x:v>
      </x:c>
      <x:c r="D1564" s="9" t="n">
        <x:v>25.99</x:v>
      </x:c>
      <x:c r="E1564" s="9" t="n">
        <x:v>13.25</x:v>
      </x:c>
      <x:c r="F1564" s="8" t="n">
        <x:f>C1564*D1564</x:f>
        <x:v>311.88</x:v>
      </x:c>
      <x:c r="G1564" s="8" t="n">
        <x:f>C1564*E1564</x:f>
        <x:v>159</x:v>
      </x:c>
      <x:c r="H1564" s="8" t="n">
        <x:f>F1564-G1564</x:f>
        <x:v>152.88</x:v>
      </x:c>
      <x:c r="I1564" s="10" t="n">
        <x:f>H1564/F1564</x:f>
        <x:v>0.49018853405155827</x:v>
      </x:c>
    </x:row>
    <x:row r="1565" ht="22" customHeight="1">
      <x:c r="A1565" s="11" t="str">
        <x:v>2422</x:v>
      </x:c>
      <x:c r="B1565" s="8" t="str">
        <x:v>Litware 20'' Box Fan E401 Yellow</x:v>
      </x:c>
      <x:c r="C1565" s="8" t="n">
        <x:v>8</x:v>
      </x:c>
      <x:c r="D1565" s="9" t="n">
        <x:v>25.99</x:v>
      </x:c>
      <x:c r="E1565" s="9" t="n">
        <x:v>13.25</x:v>
      </x:c>
      <x:c r="F1565" s="8" t="n">
        <x:f>C1565*D1565</x:f>
        <x:v>207.92</x:v>
      </x:c>
      <x:c r="G1565" s="8" t="n">
        <x:f>C1565*E1565</x:f>
        <x:v>106</x:v>
      </x:c>
      <x:c r="H1565" s="8" t="n">
        <x:f>F1565-G1565</x:f>
        <x:v>101.91999999999999</x:v>
      </x:c>
      <x:c r="I1565" s="10" t="n">
        <x:f>H1565/F1565</x:f>
        <x:v>0.49018853405155827</x:v>
      </x:c>
    </x:row>
    <x:row r="1566" ht="22" customHeight="1">
      <x:c r="A1566" s="11" t="str">
        <x:v>2423</x:v>
      </x:c>
      <x:c r="B1566" s="8" t="str">
        <x:v>Litware Tower Fan E501 Black</x:v>
      </x:c>
      <x:c r="C1566" s="8" t="n">
        <x:v>18</x:v>
      </x:c>
      <x:c r="D1566" s="9" t="n">
        <x:v>39.99</x:v>
      </x:c>
      <x:c r="E1566" s="9" t="n">
        <x:v>20.39</x:v>
      </x:c>
      <x:c r="F1566" s="8" t="n">
        <x:f>C1566*D1566</x:f>
        <x:v>719.82</x:v>
      </x:c>
      <x:c r="G1566" s="8" t="n">
        <x:f>C1566*E1566</x:f>
        <x:v>367.02</x:v>
      </x:c>
      <x:c r="H1566" s="8" t="n">
        <x:f>F1566-G1566</x:f>
        <x:v>352.80000000000007</x:v>
      </x:c>
      <x:c r="I1566" s="10" t="n">
        <x:f>H1566/F1566</x:f>
        <x:v>0.4901225306326582</x:v>
      </x:c>
    </x:row>
    <x:row r="1567" ht="22" customHeight="1">
      <x:c r="A1567" s="11" t="str">
        <x:v>2424</x:v>
      </x:c>
      <x:c r="B1567" s="8" t="str">
        <x:v>Litware Tower Fan E501 White</x:v>
      </x:c>
      <x:c r="C1567" s="8" t="n">
        <x:v>18</x:v>
      </x:c>
      <x:c r="D1567" s="9" t="n">
        <x:v>39.99</x:v>
      </x:c>
      <x:c r="E1567" s="9" t="n">
        <x:v>20.39</x:v>
      </x:c>
      <x:c r="F1567" s="8" t="n">
        <x:f>C1567*D1567</x:f>
        <x:v>719.82</x:v>
      </x:c>
      <x:c r="G1567" s="8" t="n">
        <x:f>C1567*E1567</x:f>
        <x:v>367.02</x:v>
      </x:c>
      <x:c r="H1567" s="8" t="n">
        <x:f>F1567-G1567</x:f>
        <x:v>352.80000000000007</x:v>
      </x:c>
      <x:c r="I1567" s="10" t="n">
        <x:f>H1567/F1567</x:f>
        <x:v>0.4901225306326582</x:v>
      </x:c>
    </x:row>
    <x:row r="1568" ht="22" customHeight="1">
      <x:c r="A1568" s="11" t="str">
        <x:v>2425</x:v>
      </x:c>
      <x:c r="B1568" s="8" t="str">
        <x:v>Litware Tower Fan E501 Yellow</x:v>
      </x:c>
      <x:c r="C1568" s="8" t="n">
        <x:v>10</x:v>
      </x:c>
      <x:c r="D1568" s="9" t="n">
        <x:v>39.99</x:v>
      </x:c>
      <x:c r="E1568" s="9" t="n">
        <x:v>20.39</x:v>
      </x:c>
      <x:c r="F1568" s="8" t="n">
        <x:f>C1568*D1568</x:f>
        <x:v>399.90000000000003</x:v>
      </x:c>
      <x:c r="G1568" s="8" t="n">
        <x:f>C1568*E1568</x:f>
        <x:v>203.9</x:v>
      </x:c>
      <x:c r="H1568" s="8" t="n">
        <x:f>F1568-G1568</x:f>
        <x:v>196.00000000000003</x:v>
      </x:c>
      <x:c r="I1568" s="10" t="n">
        <x:f>H1568/F1568</x:f>
        <x:v>0.4901225306326582</x:v>
      </x:c>
    </x:row>
    <x:row r="1569" ht="22" customHeight="1">
      <x:c r="A1569" s="11" t="str">
        <x:v>2426</x:v>
      </x:c>
      <x:c r="B1569" s="8" t="str">
        <x:v>Litware Tower Fan E501 Silver</x:v>
      </x:c>
      <x:c r="C1569" s="8" t="n">
        <x:v>11</x:v>
      </x:c>
      <x:c r="D1569" s="9" t="n">
        <x:v>39.99</x:v>
      </x:c>
      <x:c r="E1569" s="9" t="n">
        <x:v>20.39</x:v>
      </x:c>
      <x:c r="F1569" s="8" t="n">
        <x:f>C1569*D1569</x:f>
        <x:v>439.89000000000004</x:v>
      </x:c>
      <x:c r="G1569" s="8" t="n">
        <x:f>C1569*E1569</x:f>
        <x:v>224.29000000000002</x:v>
      </x:c>
      <x:c r="H1569" s="8" t="n">
        <x:f>F1569-G1569</x:f>
        <x:v>215.60000000000002</x:v>
      </x:c>
      <x:c r="I1569" s="10" t="n">
        <x:f>H1569/F1569</x:f>
        <x:v>0.49012253063265815</x:v>
      </x:c>
    </x:row>
    <x:row r="1570" ht="22" customHeight="1">
      <x:c r="A1570" s="11" t="str">
        <x:v>2427</x:v>
      </x:c>
      <x:c r="B1570" s="8" t="str">
        <x:v>Litware Mobile Fan External USB Cooling Fan E601 Silver</x:v>
      </x:c>
      <x:c r="C1570" s="8" t="n">
        <x:v>11</x:v>
      </x:c>
      <x:c r="D1570" s="9" t="n">
        <x:v>32.89</x:v>
      </x:c>
      <x:c r="E1570" s="9" t="n">
        <x:v>16.77</x:v>
      </x:c>
      <x:c r="F1570" s="8" t="n">
        <x:f>C1570*D1570</x:f>
        <x:v>361.79</x:v>
      </x:c>
      <x:c r="G1570" s="8" t="n">
        <x:f>C1570*E1570</x:f>
        <x:v>184.47</x:v>
      </x:c>
      <x:c r="H1570" s="8" t="n">
        <x:f>F1570-G1570</x:f>
        <x:v>177.32000000000002</x:v>
      </x:c>
      <x:c r="I1570" s="10" t="n">
        <x:f>H1570/F1570</x:f>
        <x:v>0.49011857707509887</x:v>
      </x:c>
    </x:row>
    <x:row r="1571" ht="22" customHeight="1">
      <x:c r="A1571" s="11" t="str">
        <x:v>2428</x:v>
      </x:c>
      <x:c r="B1571" s="8" t="str">
        <x:v>Litware Mobile Fan External USB Cooling Fan E601 White</x:v>
      </x:c>
      <x:c r="C1571" s="8" t="n">
        <x:v>11</x:v>
      </x:c>
      <x:c r="D1571" s="9" t="n">
        <x:v>32.89</x:v>
      </x:c>
      <x:c r="E1571" s="9" t="n">
        <x:v>16.77</x:v>
      </x:c>
      <x:c r="F1571" s="8" t="n">
        <x:f>C1571*D1571</x:f>
        <x:v>361.79</x:v>
      </x:c>
      <x:c r="G1571" s="8" t="n">
        <x:f>C1571*E1571</x:f>
        <x:v>184.47</x:v>
      </x:c>
      <x:c r="H1571" s="8" t="n">
        <x:f>F1571-G1571</x:f>
        <x:v>177.32000000000002</x:v>
      </x:c>
      <x:c r="I1571" s="10" t="n">
        <x:f>H1571/F1571</x:f>
        <x:v>0.49011857707509887</x:v>
      </x:c>
    </x:row>
    <x:row r="1572" ht="22" customHeight="1">
      <x:c r="A1572" s="11" t="str">
        <x:v>2429</x:v>
      </x:c>
      <x:c r="B1572" s="8" t="str">
        <x:v>Litware Mobile Fan External USB Cooling Fan E601 Pink</x:v>
      </x:c>
      <x:c r="C1572" s="8" t="n">
        <x:v>12</x:v>
      </x:c>
      <x:c r="D1572" s="9" t="n">
        <x:v>32.89</x:v>
      </x:c>
      <x:c r="E1572" s="9" t="n">
        <x:v>16.77</x:v>
      </x:c>
      <x:c r="F1572" s="8" t="n">
        <x:f>C1572*D1572</x:f>
        <x:v>394.68</x:v>
      </x:c>
      <x:c r="G1572" s="8" t="n">
        <x:f>C1572*E1572</x:f>
        <x:v>201.24</x:v>
      </x:c>
      <x:c r="H1572" s="8" t="n">
        <x:f>F1572-G1572</x:f>
        <x:v>193.44</x:v>
      </x:c>
      <x:c r="I1572" s="10" t="n">
        <x:f>H1572/F1572</x:f>
        <x:v>0.4901185770750988</x:v>
      </x:c>
    </x:row>
    <x:row r="1573" ht="22" customHeight="1">
      <x:c r="A1573" s="11" t="str">
        <x:v>243</x:v>
      </x:c>
      <x:c r="B1573" s="8" t="str">
        <x:v>Contoso Home Theater System 4.1 Channel M1400 Black</x:v>
      </x:c>
      <x:c r="C1573" s="8" t="n">
        <x:v>13</x:v>
      </x:c>
      <x:c r="D1573" s="9" t="n">
        <x:v>409</x:v>
      </x:c>
      <x:c r="E1573" s="9" t="n">
        <x:v>208.52</x:v>
      </x:c>
      <x:c r="F1573" s="8" t="n">
        <x:f>C1573*D1573</x:f>
        <x:v>5317</x:v>
      </x:c>
      <x:c r="G1573" s="8" t="n">
        <x:f>C1573*E1573</x:f>
        <x:v>2710.76</x:v>
      </x:c>
      <x:c r="H1573" s="8" t="n">
        <x:f>F1573-G1573</x:f>
        <x:v>2606.24</x:v>
      </x:c>
      <x:c r="I1573" s="10" t="n">
        <x:f>H1573/F1573</x:f>
        <x:v>0.49017114914425425</x:v>
      </x:c>
    </x:row>
    <x:row r="1574" ht="22" customHeight="1">
      <x:c r="A1574" s="11" t="str">
        <x:v>2430</x:v>
      </x:c>
      <x:c r="B1574" s="8" t="str">
        <x:v>Litware Mobile Fan External USB Cooling Fan E601 Black</x:v>
      </x:c>
      <x:c r="C1574" s="8" t="n">
        <x:v>12</x:v>
      </x:c>
      <x:c r="D1574" s="9" t="n">
        <x:v>32.89</x:v>
      </x:c>
      <x:c r="E1574" s="9" t="n">
        <x:v>16.77</x:v>
      </x:c>
      <x:c r="F1574" s="8" t="n">
        <x:f>C1574*D1574</x:f>
        <x:v>394.68</x:v>
      </x:c>
      <x:c r="G1574" s="8" t="n">
        <x:f>C1574*E1574</x:f>
        <x:v>201.24</x:v>
      </x:c>
      <x:c r="H1574" s="8" t="n">
        <x:f>F1574-G1574</x:f>
        <x:v>193.44</x:v>
      </x:c>
      <x:c r="I1574" s="10" t="n">
        <x:f>H1574/F1574</x:f>
        <x:v>0.4901185770750988</x:v>
      </x:c>
    </x:row>
    <x:row r="1575" ht="22" customHeight="1">
      <x:c r="A1575" s="11" t="str">
        <x:v>2431</x:v>
      </x:c>
      <x:c r="B1575" s="8" t="str">
        <x:v>Litware 16" White Oscillating Stand Fan E701 White</x:v>
      </x:c>
      <x:c r="C1575" s="8" t="n">
        <x:v>1</x:v>
      </x:c>
      <x:c r="D1575" s="9" t="n">
        <x:v>29.09</x:v>
      </x:c>
      <x:c r="E1575" s="9" t="n">
        <x:v>14.83</x:v>
      </x:c>
      <x:c r="F1575" s="8" t="n">
        <x:f>C1575*D1575</x:f>
        <x:v>29.09</x:v>
      </x:c>
      <x:c r="G1575" s="8" t="n">
        <x:f>C1575*E1575</x:f>
        <x:v>14.83</x:v>
      </x:c>
      <x:c r="H1575" s="8" t="n">
        <x:f>F1575-G1575</x:f>
        <x:v>14.26</x:v>
      </x:c>
      <x:c r="I1575" s="10" t="n">
        <x:f>H1575/F1575</x:f>
        <x:v>0.4902028188380887</x:v>
      </x:c>
    </x:row>
    <x:row r="1576" ht="22" customHeight="1">
      <x:c r="A1576" s="11" t="str">
        <x:v>2432</x:v>
      </x:c>
      <x:c r="B1576" s="8" t="str">
        <x:v>Litware 16" White Oscillating Stand Fan E701 Black</x:v>
      </x:c>
      <x:c r="C1576" s="8" t="n">
        <x:v>14</x:v>
      </x:c>
      <x:c r="D1576" s="9" t="n">
        <x:v>29.09</x:v>
      </x:c>
      <x:c r="E1576" s="9" t="n">
        <x:v>14.83</x:v>
      </x:c>
      <x:c r="F1576" s="8" t="n">
        <x:f>C1576*D1576</x:f>
        <x:v>407.26</x:v>
      </x:c>
      <x:c r="G1576" s="8" t="n">
        <x:f>C1576*E1576</x:f>
        <x:v>207.62</x:v>
      </x:c>
      <x:c r="H1576" s="8" t="n">
        <x:f>F1576-G1576</x:f>
        <x:v>199.64</x:v>
      </x:c>
      <x:c r="I1576" s="10" t="n">
        <x:f>H1576/F1576</x:f>
        <x:v>0.4902028188380887</x:v>
      </x:c>
    </x:row>
    <x:row r="1577" ht="22" customHeight="1">
      <x:c r="A1577" s="11" t="str">
        <x:v>2433</x:v>
      </x:c>
      <x:c r="B1577" s="8" t="str">
        <x:v>Litware 16" White Oscillating Stand Fan E701 Silver</x:v>
      </x:c>
      <x:c r="C1577" s="8" t="n">
        <x:v>9</x:v>
      </x:c>
      <x:c r="D1577" s="9" t="n">
        <x:v>29.09</x:v>
      </x:c>
      <x:c r="E1577" s="9" t="n">
        <x:v>14.83</x:v>
      </x:c>
      <x:c r="F1577" s="8" t="n">
        <x:f>C1577*D1577</x:f>
        <x:v>261.81</x:v>
      </x:c>
      <x:c r="G1577" s="8" t="n">
        <x:f>C1577*E1577</x:f>
        <x:v>133.47</x:v>
      </x:c>
      <x:c r="H1577" s="8" t="n">
        <x:f>F1577-G1577</x:f>
        <x:v>128.34</x:v>
      </x:c>
      <x:c r="I1577" s="10" t="n">
        <x:f>H1577/F1577</x:f>
        <x:v>0.4902028188380887</x:v>
      </x:c>
    </x:row>
    <x:row r="1578" ht="22" customHeight="1">
      <x:c r="A1578" s="11" t="str">
        <x:v>2434</x:v>
      </x:c>
      <x:c r="B1578" s="8" t="str">
        <x:v>Litware 16" White Oscillating Stand Fan E701 Grey</x:v>
      </x:c>
      <x:c r="C1578" s="8" t="n">
        <x:v>17</x:v>
      </x:c>
      <x:c r="D1578" s="9" t="n">
        <x:v>29.09</x:v>
      </x:c>
      <x:c r="E1578" s="9" t="n">
        <x:v>14.83</x:v>
      </x:c>
      <x:c r="F1578" s="8" t="n">
        <x:f>C1578*D1578</x:f>
        <x:v>494.53</x:v>
      </x:c>
      <x:c r="G1578" s="8" t="n">
        <x:f>C1578*E1578</x:f>
        <x:v>252.11</x:v>
      </x:c>
      <x:c r="H1578" s="8" t="n">
        <x:f>F1578-G1578</x:f>
        <x:v>242.41999999999996</x:v>
      </x:c>
      <x:c r="I1578" s="10" t="n">
        <x:f>H1578/F1578</x:f>
        <x:v>0.49020281883808864</x:v>
      </x:c>
    </x:row>
    <x:row r="1579" ht="22" customHeight="1">
      <x:c r="A1579" s="11" t="str">
        <x:v>2435</x:v>
      </x:c>
      <x:c r="B1579" s="8" t="str">
        <x:v>Litware 14" High Velocity Floor Fan E801 Silver</x:v>
      </x:c>
      <x:c r="C1579" s="8" t="n">
        <x:v>14</x:v>
      </x:c>
      <x:c r="D1579" s="9" t="n">
        <x:v>44.99</x:v>
      </x:c>
      <x:c r="E1579" s="9" t="n">
        <x:v>22.94</x:v>
      </x:c>
      <x:c r="F1579" s="8" t="n">
        <x:f>C1579*D1579</x:f>
        <x:v>629.86</x:v>
      </x:c>
      <x:c r="G1579" s="8" t="n">
        <x:f>C1579*E1579</x:f>
        <x:v>321.16</x:v>
      </x:c>
      <x:c r="H1579" s="8" t="n">
        <x:f>F1579-G1579</x:f>
        <x:v>308.7</x:v>
      </x:c>
      <x:c r="I1579" s="10" t="n">
        <x:f>H1579/F1579</x:f>
        <x:v>0.49010891309179816</x:v>
      </x:c>
    </x:row>
    <x:row r="1580" ht="22" customHeight="1">
      <x:c r="A1580" s="11" t="str">
        <x:v>2436</x:v>
      </x:c>
      <x:c r="B1580" s="8" t="str">
        <x:v>Litware 14" High Velocity Floor Fan E801 White</x:v>
      </x:c>
      <x:c r="C1580" s="8" t="n">
        <x:v>23</x:v>
      </x:c>
      <x:c r="D1580" s="9" t="n">
        <x:v>44.99</x:v>
      </x:c>
      <x:c r="E1580" s="9" t="n">
        <x:v>22.94</x:v>
      </x:c>
      <x:c r="F1580" s="8" t="n">
        <x:f>C1580*D1580</x:f>
        <x:v>1034.77</x:v>
      </x:c>
      <x:c r="G1580" s="8" t="n">
        <x:f>C1580*E1580</x:f>
        <x:v>527.62</x:v>
      </x:c>
      <x:c r="H1580" s="8" t="n">
        <x:f>F1580-G1580</x:f>
        <x:v>507.15</x:v>
      </x:c>
      <x:c r="I1580" s="10" t="n">
        <x:f>H1580/F1580</x:f>
        <x:v>0.49010891309179816</x:v>
      </x:c>
    </x:row>
    <x:row r="1581" ht="22" customHeight="1">
      <x:c r="A1581" s="11" t="str">
        <x:v>2437</x:v>
      </x:c>
      <x:c r="B1581" s="8" t="str">
        <x:v>Litware 14" High Velocity Floor Fan E801 Black</x:v>
      </x:c>
      <x:c r="C1581" s="8" t="n">
        <x:v>32</x:v>
      </x:c>
      <x:c r="D1581" s="9" t="n">
        <x:v>44.99</x:v>
      </x:c>
      <x:c r="E1581" s="9" t="n">
        <x:v>22.94</x:v>
      </x:c>
      <x:c r="F1581" s="8" t="n">
        <x:f>C1581*D1581</x:f>
        <x:v>1439.68</x:v>
      </x:c>
      <x:c r="G1581" s="8" t="n">
        <x:f>C1581*E1581</x:f>
        <x:v>734.08</x:v>
      </x:c>
      <x:c r="H1581" s="8" t="n">
        <x:f>F1581-G1581</x:f>
        <x:v>705.6</x:v>
      </x:c>
      <x:c r="I1581" s="10" t="n">
        <x:f>H1581/F1581</x:f>
        <x:v>0.49010891309179816</x:v>
      </x:c>
    </x:row>
    <x:row r="1582" ht="22" customHeight="1">
      <x:c r="A1582" s="11" t="str">
        <x:v>2438</x:v>
      </x:c>
      <x:c r="B1582" s="8" t="str">
        <x:v>Litware 14" High Velocity Floor Fan E801 Pink</x:v>
      </x:c>
      <x:c r="C1582" s="8" t="n">
        <x:v>13</x:v>
      </x:c>
      <x:c r="D1582" s="9" t="n">
        <x:v>44.99</x:v>
      </x:c>
      <x:c r="E1582" s="9" t="n">
        <x:v>22.94</x:v>
      </x:c>
      <x:c r="F1582" s="8" t="n">
        <x:f>C1582*D1582</x:f>
        <x:v>584.87</x:v>
      </x:c>
      <x:c r="G1582" s="8" t="n">
        <x:f>C1582*E1582</x:f>
        <x:v>298.22</x:v>
      </x:c>
      <x:c r="H1582" s="8" t="n">
        <x:f>F1582-G1582</x:f>
        <x:v>286.65</x:v>
      </x:c>
      <x:c r="I1582" s="10" t="n">
        <x:f>H1582/F1582</x:f>
        <x:v>0.49010891309179816</x:v>
      </x:c>
    </x:row>
    <x:row r="1583" ht="22" customHeight="1">
      <x:c r="A1583" s="11" t="str">
        <x:v>2439</x:v>
      </x:c>
      <x:c r="B1583" s="8" t="str">
        <x:v>Litware 120mm Blue LED Case Fan E901 Black</x:v>
      </x:c>
      <x:c r="C1583" s="8" t="n">
        <x:v>3</x:v>
      </x:c>
      <x:c r="D1583" s="9" t="n">
        <x:v>9.99</x:v>
      </x:c>
      <x:c r="E1583" s="9" t="n">
        <x:v>5.09</x:v>
      </x:c>
      <x:c r="F1583" s="8" t="n">
        <x:f>C1583*D1583</x:f>
        <x:v>29.97</x:v>
      </x:c>
      <x:c r="G1583" s="8" t="n">
        <x:f>C1583*E1583</x:f>
        <x:v>15.27</x:v>
      </x:c>
      <x:c r="H1583" s="8" t="n">
        <x:f>F1583-G1583</x:f>
        <x:v>14.7</x:v>
      </x:c>
      <x:c r="I1583" s="10" t="n">
        <x:f>H1583/F1583</x:f>
        <x:v>0.4904904904904905</x:v>
      </x:c>
    </x:row>
    <x:row r="1584" ht="22" customHeight="1">
      <x:c r="A1584" s="11" t="str">
        <x:v>244</x:v>
      </x:c>
      <x:c r="B1584" s="8" t="str">
        <x:v>Contoso Home Theater System 5.1 Channel M1500 Black</x:v>
      </x:c>
      <x:c r="C1584" s="8" t="n">
        <x:v>9</x:v>
      </x:c>
      <x:c r="D1584" s="9" t="n">
        <x:v>429</x:v>
      </x:c>
      <x:c r="E1584" s="9" t="n">
        <x:v>197.28</x:v>
      </x:c>
      <x:c r="F1584" s="8" t="n">
        <x:f>C1584*D1584</x:f>
        <x:v>3861</x:v>
      </x:c>
      <x:c r="G1584" s="8" t="n">
        <x:f>C1584*E1584</x:f>
        <x:v>1775.52</x:v>
      </x:c>
      <x:c r="H1584" s="8" t="n">
        <x:f>F1584-G1584</x:f>
        <x:v>2085.48</x:v>
      </x:c>
      <x:c r="I1584" s="10" t="n">
        <x:f>H1584/F1584</x:f>
        <x:v>0.5401398601398602</x:v>
      </x:c>
    </x:row>
    <x:row r="1585" ht="22" customHeight="1">
      <x:c r="A1585" s="11" t="str">
        <x:v>2440</x:v>
      </x:c>
      <x:c r="B1585" s="8" t="str">
        <x:v>Litware 120mm Blue LED Case Fan E901 White</x:v>
      </x:c>
      <x:c r="C1585" s="8" t="n">
        <x:v>16</x:v>
      </x:c>
      <x:c r="D1585" s="9" t="n">
        <x:v>9.99</x:v>
      </x:c>
      <x:c r="E1585" s="9" t="n">
        <x:v>5.09</x:v>
      </x:c>
      <x:c r="F1585" s="8" t="n">
        <x:f>C1585*D1585</x:f>
        <x:v>159.84</x:v>
      </x:c>
      <x:c r="G1585" s="8" t="n">
        <x:f>C1585*E1585</x:f>
        <x:v>81.44</x:v>
      </x:c>
      <x:c r="H1585" s="8" t="n">
        <x:f>F1585-G1585</x:f>
        <x:v>78.4</x:v>
      </x:c>
      <x:c r="I1585" s="10" t="n">
        <x:f>H1585/F1585</x:f>
        <x:v>0.49049049049049054</x:v>
      </x:c>
    </x:row>
    <x:row r="1586" ht="22" customHeight="1">
      <x:c r="A1586" s="11" t="str">
        <x:v>2441</x:v>
      </x:c>
      <x:c r="B1586" s="8" t="str">
        <x:v>Litware 120mm Blue LED Case Fan E901 blue</x:v>
      </x:c>
      <x:c r="C1586" s="8" t="n">
        <x:v>15</x:v>
      </x:c>
      <x:c r="D1586" s="9" t="n">
        <x:v>9.99</x:v>
      </x:c>
      <x:c r="E1586" s="9" t="n">
        <x:v>5.09</x:v>
      </x:c>
      <x:c r="F1586" s="8" t="n">
        <x:f>C1586*D1586</x:f>
        <x:v>149.85</x:v>
      </x:c>
      <x:c r="G1586" s="8" t="n">
        <x:f>C1586*E1586</x:f>
        <x:v>76.35</x:v>
      </x:c>
      <x:c r="H1586" s="8" t="n">
        <x:f>F1586-G1586</x:f>
        <x:v>73.5</x:v>
      </x:c>
      <x:c r="I1586" s="10" t="n">
        <x:f>H1586/F1586</x:f>
        <x:v>0.4904904904904905</x:v>
      </x:c>
    </x:row>
    <x:row r="1587" ht="22" customHeight="1">
      <x:c r="A1587" s="11" t="str">
        <x:v>2442</x:v>
      </x:c>
      <x:c r="B1587" s="8" t="str">
        <x:v>Litware 120mm Blue LED Case Fan E901 Grey</x:v>
      </x:c>
      <x:c r="C1587" s="8" t="n">
        <x:v>10</x:v>
      </x:c>
      <x:c r="D1587" s="9" t="n">
        <x:v>9.99</x:v>
      </x:c>
      <x:c r="E1587" s="9" t="n">
        <x:v>5.09</x:v>
      </x:c>
      <x:c r="F1587" s="8" t="n">
        <x:f>C1587*D1587</x:f>
        <x:v>99.9</x:v>
      </x:c>
      <x:c r="G1587" s="8" t="n">
        <x:f>C1587*E1587</x:f>
        <x:v>50.9</x:v>
      </x:c>
      <x:c r="H1587" s="8" t="n">
        <x:f>F1587-G1587</x:f>
        <x:v>49.00000000000001</x:v>
      </x:c>
      <x:c r="I1587" s="10" t="n">
        <x:f>H1587/F1587</x:f>
        <x:v>0.49049049049049054</x:v>
      </x:c>
    </x:row>
    <x:row r="1588" ht="22" customHeight="1">
      <x:c r="A1588" s="11" t="str">
        <x:v>2443</x:v>
      </x:c>
      <x:c r="B1588" s="8" t="str">
        <x:v>Litware 80mm Dual Ball Bearing Case Fan E1001 Black</x:v>
      </x:c>
      <x:c r="C1588" s="8" t="n">
        <x:v>17</x:v>
      </x:c>
      <x:c r="D1588" s="9" t="n">
        <x:v>4.99</x:v>
      </x:c>
      <x:c r="E1588" s="9" t="n">
        <x:v>2.54</x:v>
      </x:c>
      <x:c r="F1588" s="8" t="n">
        <x:f>C1588*D1588</x:f>
        <x:v>84.83</x:v>
      </x:c>
      <x:c r="G1588" s="8" t="n">
        <x:f>C1588*E1588</x:f>
        <x:v>43.18</x:v>
      </x:c>
      <x:c r="H1588" s="8" t="n">
        <x:f>F1588-G1588</x:f>
        <x:v>41.65</x:v>
      </x:c>
      <x:c r="I1588" s="10" t="n">
        <x:f>H1588/F1588</x:f>
        <x:v>0.4909819639278557</x:v>
      </x:c>
    </x:row>
    <x:row r="1589" ht="22" customHeight="1">
      <x:c r="A1589" s="11" t="str">
        <x:v>2444</x:v>
      </x:c>
      <x:c r="B1589" s="8" t="str">
        <x:v>Litware 80mm Dual Ball Bearing Case Fan E1001 White</x:v>
      </x:c>
      <x:c r="C1589" s="8" t="n">
        <x:v>18</x:v>
      </x:c>
      <x:c r="D1589" s="9" t="n">
        <x:v>4.99</x:v>
      </x:c>
      <x:c r="E1589" s="9" t="n">
        <x:v>2.54</x:v>
      </x:c>
      <x:c r="F1589" s="8" t="n">
        <x:f>C1589*D1589</x:f>
        <x:v>89.82000000000001</x:v>
      </x:c>
      <x:c r="G1589" s="8" t="n">
        <x:f>C1589*E1589</x:f>
        <x:v>45.72</x:v>
      </x:c>
      <x:c r="H1589" s="8" t="n">
        <x:f>F1589-G1589</x:f>
        <x:v>44.10000000000001</x:v>
      </x:c>
      <x:c r="I1589" s="10" t="n">
        <x:f>H1589/F1589</x:f>
        <x:v>0.49098196392785576</x:v>
      </x:c>
    </x:row>
    <x:row r="1590" ht="22" customHeight="1">
      <x:c r="A1590" s="11" t="str">
        <x:v>2445</x:v>
      </x:c>
      <x:c r="B1590" s="8" t="str">
        <x:v>Litware 80mm Dual Ball Bearing Case Fan E1001 Green</x:v>
      </x:c>
      <x:c r="C1590" s="8" t="n">
        <x:v>4</x:v>
      </x:c>
      <x:c r="D1590" s="9" t="n">
        <x:v>4.99</x:v>
      </x:c>
      <x:c r="E1590" s="9" t="n">
        <x:v>2.54</x:v>
      </x:c>
      <x:c r="F1590" s="8" t="n">
        <x:f>C1590*D1590</x:f>
        <x:v>19.96</x:v>
      </x:c>
      <x:c r="G1590" s="8" t="n">
        <x:f>C1590*E1590</x:f>
        <x:v>10.16</x:v>
      </x:c>
      <x:c r="H1590" s="8" t="n">
        <x:f>F1590-G1590</x:f>
        <x:v>9.8</x:v>
      </x:c>
      <x:c r="I1590" s="10" t="n">
        <x:f>H1590/F1590</x:f>
        <x:v>0.4909819639278557</x:v>
      </x:c>
    </x:row>
    <x:row r="1591" ht="22" customHeight="1">
      <x:c r="A1591" s="11" t="str">
        <x:v>2446</x:v>
      </x:c>
      <x:c r="B1591" s="8" t="str">
        <x:v>Litware 80mm Dual Ball Bearing Case Fan E1001 Pink</x:v>
      </x:c>
      <x:c r="C1591" s="8" t="n">
        <x:v>14</x:v>
      </x:c>
      <x:c r="D1591" s="9" t="n">
        <x:v>4.99</x:v>
      </x:c>
      <x:c r="E1591" s="9" t="n">
        <x:v>2.54</x:v>
      </x:c>
      <x:c r="F1591" s="8" t="n">
        <x:f>C1591*D1591</x:f>
        <x:v>69.86</x:v>
      </x:c>
      <x:c r="G1591" s="8" t="n">
        <x:f>C1591*E1591</x:f>
        <x:v>35.56</x:v>
      </x:c>
      <x:c r="H1591" s="8" t="n">
        <x:f>F1591-G1591</x:f>
        <x:v>34.3</x:v>
      </x:c>
      <x:c r="I1591" s="10" t="n">
        <x:f>H1591/F1591</x:f>
        <x:v>0.4909819639278557</x:v>
      </x:c>
    </x:row>
    <x:row r="1592" ht="22" customHeight="1">
      <x:c r="A1592" s="11" t="str">
        <x:v>2447</x:v>
      </x:c>
      <x:c r="B1592" s="8" t="str">
        <x:v>Litware 92mm DBB Case Fan E1101 Silver</x:v>
      </x:c>
      <x:c r="C1592" s="8" t="n">
        <x:v>35</x:v>
      </x:c>
      <x:c r="D1592" s="9" t="n">
        <x:v>14.99</x:v>
      </x:c>
      <x:c r="E1592" s="9" t="n">
        <x:v>7.64</x:v>
      </x:c>
      <x:c r="F1592" s="8" t="n">
        <x:f>C1592*D1592</x:f>
        <x:v>524.65</x:v>
      </x:c>
      <x:c r="G1592" s="8" t="n">
        <x:f>C1592*E1592</x:f>
        <x:v>267.4</x:v>
      </x:c>
      <x:c r="H1592" s="8" t="n">
        <x:f>F1592-G1592</x:f>
        <x:v>257.25</x:v>
      </x:c>
      <x:c r="I1592" s="10" t="n">
        <x:f>H1592/F1592</x:f>
        <x:v>0.4903268845897265</x:v>
      </x:c>
    </x:row>
    <x:row r="1593" ht="22" customHeight="1">
      <x:c r="A1593" s="11" t="str">
        <x:v>2448</x:v>
      </x:c>
      <x:c r="B1593" s="8" t="str">
        <x:v>Litware 92mm DBB Case Fan E1101 Black</x:v>
      </x:c>
      <x:c r="C1593" s="8" t="n">
        <x:v>25</x:v>
      </x:c>
      <x:c r="D1593" s="9" t="n">
        <x:v>14.99</x:v>
      </x:c>
      <x:c r="E1593" s="9" t="n">
        <x:v>7.64</x:v>
      </x:c>
      <x:c r="F1593" s="8" t="n">
        <x:f>C1593*D1593</x:f>
        <x:v>374.75</x:v>
      </x:c>
      <x:c r="G1593" s="8" t="n">
        <x:f>C1593*E1593</x:f>
        <x:v>191</x:v>
      </x:c>
      <x:c r="H1593" s="8" t="n">
        <x:f>F1593-G1593</x:f>
        <x:v>183.75</x:v>
      </x:c>
      <x:c r="I1593" s="10" t="n">
        <x:f>H1593/F1593</x:f>
        <x:v>0.4903268845897265</x:v>
      </x:c>
    </x:row>
    <x:row r="1594" ht="22" customHeight="1">
      <x:c r="A1594" s="11" t="str">
        <x:v>2449</x:v>
      </x:c>
      <x:c r="B1594" s="8" t="str">
        <x:v>Litware 92mm DBB Case Fan E1101 White</x:v>
      </x:c>
      <x:c r="C1594" s="8" t="n">
        <x:v>8</x:v>
      </x:c>
      <x:c r="D1594" s="9" t="n">
        <x:v>14.99</x:v>
      </x:c>
      <x:c r="E1594" s="9" t="n">
        <x:v>7.64</x:v>
      </x:c>
      <x:c r="F1594" s="8" t="n">
        <x:f>C1594*D1594</x:f>
        <x:v>119.92</x:v>
      </x:c>
      <x:c r="G1594" s="8" t="n">
        <x:f>C1594*E1594</x:f>
        <x:v>61.12</x:v>
      </x:c>
      <x:c r="H1594" s="8" t="n">
        <x:f>F1594-G1594</x:f>
        <x:v>58.800000000000004</x:v>
      </x:c>
      <x:c r="I1594" s="10" t="n">
        <x:f>H1594/F1594</x:f>
        <x:v>0.4903268845897265</x:v>
      </x:c>
    </x:row>
    <x:row r="1595" ht="22" customHeight="1">
      <x:c r="A1595" s="11" t="str">
        <x:v>245</x:v>
      </x:c>
      <x:c r="B1595" s="8" t="str">
        <x:v>Contoso Home Theater System 5.1 Channel M1510 Black</x:v>
      </x:c>
      <x:c r="C1595" s="8" t="n">
        <x:v>9</x:v>
      </x:c>
      <x:c r="D1595" s="9" t="n">
        <x:v>489</x:v>
      </x:c>
      <x:c r="E1595" s="9" t="n">
        <x:v>224.87</x:v>
      </x:c>
      <x:c r="F1595" s="8" t="n">
        <x:f>C1595*D1595</x:f>
        <x:v>4401</x:v>
      </x:c>
      <x:c r="G1595" s="8" t="n">
        <x:f>C1595*E1595</x:f>
        <x:v>2023.83</x:v>
      </x:c>
      <x:c r="H1595" s="8" t="n">
        <x:f>F1595-G1595</x:f>
        <x:v>2377.17</x:v>
      </x:c>
      <x:c r="I1595" s="10" t="n">
        <x:f>H1595/F1595</x:f>
        <x:v>0.5401431492842536</x:v>
      </x:c>
    </x:row>
    <x:row r="1596" ht="22" customHeight="1">
      <x:c r="A1596" s="11" t="str">
        <x:v>2450</x:v>
      </x:c>
      <x:c r="B1596" s="8" t="str">
        <x:v>Litware 92mm DBB Case Fan E1101 Grey</x:v>
      </x:c>
      <x:c r="C1596" s="8" t="n">
        <x:v>9</x:v>
      </x:c>
      <x:c r="D1596" s="9" t="n">
        <x:v>14.99</x:v>
      </x:c>
      <x:c r="E1596" s="9" t="n">
        <x:v>7.64</x:v>
      </x:c>
      <x:c r="F1596" s="8" t="n">
        <x:f>C1596*D1596</x:f>
        <x:v>134.91</x:v>
      </x:c>
      <x:c r="G1596" s="8" t="n">
        <x:f>C1596*E1596</x:f>
        <x:v>68.75999999999999</x:v>
      </x:c>
      <x:c r="H1596" s="8" t="n">
        <x:f>F1596-G1596</x:f>
        <x:v>66.15</x:v>
      </x:c>
      <x:c r="I1596" s="10" t="n">
        <x:f>H1596/F1596</x:f>
        <x:v>0.49032688458972656</x:v>
      </x:c>
    </x:row>
    <x:row r="1597" ht="22" customHeight="1">
      <x:c r="A1597" s="11" t="str">
        <x:v>2451</x:v>
      </x:c>
      <x:c r="B1597" s="8" t="str">
        <x:v>Litware Desktop Wind Tower Oscillating Fan E1201 Brown</x:v>
      </x:c>
      <x:c r="C1597" s="8" t="n">
        <x:v>24</x:v>
      </x:c>
      <x:c r="D1597" s="9" t="n">
        <x:v>29.99</x:v>
      </x:c>
      <x:c r="E1597" s="9" t="n">
        <x:v>15.29</x:v>
      </x:c>
      <x:c r="F1597" s="8" t="n">
        <x:f>C1597*D1597</x:f>
        <x:v>719.76</x:v>
      </x:c>
      <x:c r="G1597" s="8" t="n">
        <x:f>C1597*E1597</x:f>
        <x:v>366.96</x:v>
      </x:c>
      <x:c r="H1597" s="8" t="n">
        <x:f>F1597-G1597</x:f>
        <x:v>352.8</x:v>
      </x:c>
      <x:c r="I1597" s="10" t="n">
        <x:f>H1597/F1597</x:f>
        <x:v>0.490163387795932</x:v>
      </x:c>
    </x:row>
    <x:row r="1598" ht="22" customHeight="1">
      <x:c r="A1598" s="11" t="str">
        <x:v>2452</x:v>
      </x:c>
      <x:c r="B1598" s="8" t="str">
        <x:v>Litware Desktop Wind Tower Oscillating Fan E1201 Purple</x:v>
      </x:c>
      <x:c r="C1598" s="8" t="n">
        <x:v>48</x:v>
      </x:c>
      <x:c r="D1598" s="9" t="n">
        <x:v>29.99</x:v>
      </x:c>
      <x:c r="E1598" s="9" t="n">
        <x:v>15.29</x:v>
      </x:c>
      <x:c r="F1598" s="8" t="n">
        <x:f>C1598*D1598</x:f>
        <x:v>1439.52</x:v>
      </x:c>
      <x:c r="G1598" s="8" t="n">
        <x:f>C1598*E1598</x:f>
        <x:v>733.92</x:v>
      </x:c>
      <x:c r="H1598" s="8" t="n">
        <x:f>F1598-G1598</x:f>
        <x:v>705.6</x:v>
      </x:c>
      <x:c r="I1598" s="10" t="n">
        <x:f>H1598/F1598</x:f>
        <x:v>0.490163387795932</x:v>
      </x:c>
    </x:row>
    <x:row r="1599" ht="22" customHeight="1">
      <x:c r="A1599" s="11" t="str">
        <x:v>2453</x:v>
      </x:c>
      <x:c r="B1599" s="8" t="str">
        <x:v>Litware Desktop Wind Tower Oscillating Fan E1201 Black</x:v>
      </x:c>
      <x:c r="C1599" s="8" t="n">
        <x:v>12</x:v>
      </x:c>
      <x:c r="D1599" s="9" t="n">
        <x:v>29.99</x:v>
      </x:c>
      <x:c r="E1599" s="9" t="n">
        <x:v>15.29</x:v>
      </x:c>
      <x:c r="F1599" s="8" t="n">
        <x:f>C1599*D1599</x:f>
        <x:v>359.88</x:v>
      </x:c>
      <x:c r="G1599" s="8" t="n">
        <x:f>C1599*E1599</x:f>
        <x:v>183.48</x:v>
      </x:c>
      <x:c r="H1599" s="8" t="n">
        <x:f>F1599-G1599</x:f>
        <x:v>176.4</x:v>
      </x:c>
      <x:c r="I1599" s="10" t="n">
        <x:f>H1599/F1599</x:f>
        <x:v>0.490163387795932</x:v>
      </x:c>
    </x:row>
    <x:row r="1600" ht="22" customHeight="1">
      <x:c r="A1600" s="11" t="str">
        <x:v>2454</x:v>
      </x:c>
      <x:c r="B1600" s="8" t="str">
        <x:v>Litware Desktop Wind Tower Oscillating Fan E1201 White</x:v>
      </x:c>
      <x:c r="C1600" s="8" t="n">
        <x:v>18</x:v>
      </x:c>
      <x:c r="D1600" s="9" t="n">
        <x:v>29.99</x:v>
      </x:c>
      <x:c r="E1600" s="9" t="n">
        <x:v>15.29</x:v>
      </x:c>
      <x:c r="F1600" s="8" t="n">
        <x:f>C1600*D1600</x:f>
        <x:v>539.8199999999999</x:v>
      </x:c>
      <x:c r="G1600" s="8" t="n">
        <x:f>C1600*E1600</x:f>
        <x:v>275.21999999999997</x:v>
      </x:c>
      <x:c r="H1600" s="8" t="n">
        <x:f>F1600-G1600</x:f>
        <x:v>264.59999999999997</x:v>
      </x:c>
      <x:c r="I1600" s="10" t="n">
        <x:f>H1600/F1600</x:f>
        <x:v>0.490163387795932</x:v>
      </x:c>
    </x:row>
    <x:row r="1601" ht="22" customHeight="1">
      <x:c r="A1601" s="11" t="str">
        <x:v>2455</x:v>
      </x:c>
      <x:c r="B1601" s="8" t="str">
        <x:v>Litware USB Foam Fan E1301 Pink</x:v>
      </x:c>
      <x:c r="C1601" s="8" t="n">
        <x:v>22</x:v>
      </x:c>
      <x:c r="D1601" s="9" t="n">
        <x:v>19.99</x:v>
      </x:c>
      <x:c r="E1601" s="9" t="n">
        <x:v>10.19</x:v>
      </x:c>
      <x:c r="F1601" s="8" t="n">
        <x:f>C1601*D1601</x:f>
        <x:v>439.78</x:v>
      </x:c>
      <x:c r="G1601" s="8" t="n">
        <x:f>C1601*E1601</x:f>
        <x:v>224.17999999999998</x:v>
      </x:c>
      <x:c r="H1601" s="8" t="n">
        <x:f>F1601-G1601</x:f>
        <x:v>215.6</x:v>
      </x:c>
      <x:c r="I1601" s="10" t="n">
        <x:f>H1601/F1601</x:f>
        <x:v>0.49024512256128067</x:v>
      </x:c>
    </x:row>
    <x:row r="1602" ht="22" customHeight="1">
      <x:c r="A1602" s="11" t="str">
        <x:v>2456</x:v>
      </x:c>
      <x:c r="B1602" s="8" t="str">
        <x:v>Litware USB Foam Fan E1301 White</x:v>
      </x:c>
      <x:c r="C1602" s="8" t="n">
        <x:v>12</x:v>
      </x:c>
      <x:c r="D1602" s="9" t="n">
        <x:v>19.99</x:v>
      </x:c>
      <x:c r="E1602" s="9" t="n">
        <x:v>10.19</x:v>
      </x:c>
      <x:c r="F1602" s="8" t="n">
        <x:f>C1602*D1602</x:f>
        <x:v>239.88</x:v>
      </x:c>
      <x:c r="G1602" s="8" t="n">
        <x:f>C1602*E1602</x:f>
        <x:v>122.28</x:v>
      </x:c>
      <x:c r="H1602" s="8" t="n">
        <x:f>F1602-G1602</x:f>
        <x:v>117.6</x:v>
      </x:c>
      <x:c r="I1602" s="10" t="n">
        <x:f>H1602/F1602</x:f>
        <x:v>0.4902451225612806</x:v>
      </x:c>
    </x:row>
    <x:row r="1603" ht="22" customHeight="1">
      <x:c r="A1603" s="11" t="str">
        <x:v>2457</x:v>
      </x:c>
      <x:c r="B1603" s="8" t="str">
        <x:v>Litware USB Foam Fan E1301 Black</x:v>
      </x:c>
      <x:c r="C1603" s="8" t="n">
        <x:v>25</x:v>
      </x:c>
      <x:c r="D1603" s="9" t="n">
        <x:v>19.99</x:v>
      </x:c>
      <x:c r="E1603" s="9" t="n">
        <x:v>10.19</x:v>
      </x:c>
      <x:c r="F1603" s="8" t="n">
        <x:f>C1603*D1603</x:f>
        <x:v>499.74999999999994</x:v>
      </x:c>
      <x:c r="G1603" s="8" t="n">
        <x:f>C1603*E1603</x:f>
        <x:v>254.75</x:v>
      </x:c>
      <x:c r="H1603" s="8" t="n">
        <x:f>F1603-G1603</x:f>
        <x:v>244.99999999999994</x:v>
      </x:c>
      <x:c r="I1603" s="10" t="n">
        <x:f>H1603/F1603</x:f>
        <x:v>0.49024512256128056</x:v>
      </x:c>
    </x:row>
    <x:row r="1604" ht="22" customHeight="1">
      <x:c r="A1604" s="11" t="str">
        <x:v>2458</x:v>
      </x:c>
      <x:c r="B1604" s="8" t="str">
        <x:v>Litware USB Foam Fan E1301 Red</x:v>
      </x:c>
      <x:c r="C1604" s="8" t="n">
        <x:v>29</x:v>
      </x:c>
      <x:c r="D1604" s="9" t="n">
        <x:v>19.99</x:v>
      </x:c>
      <x:c r="E1604" s="9" t="n">
        <x:v>10.19</x:v>
      </x:c>
      <x:c r="F1604" s="8" t="n">
        <x:f>C1604*D1604</x:f>
        <x:v>579.7099999999999</x:v>
      </x:c>
      <x:c r="G1604" s="8" t="n">
        <x:f>C1604*E1604</x:f>
        <x:v>295.51</x:v>
      </x:c>
      <x:c r="H1604" s="8" t="n">
        <x:f>F1604-G1604</x:f>
        <x:v>284.19999999999993</x:v>
      </x:c>
      <x:c r="I1604" s="10" t="n">
        <x:f>H1604/F1604</x:f>
        <x:v>0.4902451225612806</x:v>
      </x:c>
    </x:row>
    <x:row r="1605" ht="22" customHeight="1">
      <x:c r="A1605" s="11" t="str">
        <x:v>2459</x:v>
      </x:c>
      <x:c r="B1605" s="8" t="str">
        <x:v>Litware 180 CFM Vertical Discharge Fan X450 Red</x:v>
      </x:c>
      <x:c r="C1605" s="8" t="n">
        <x:v>18</x:v>
      </x:c>
      <x:c r="D1605" s="9" t="n">
        <x:v>215.62</x:v>
      </x:c>
      <x:c r="E1605" s="9" t="n">
        <x:v>71.44</x:v>
      </x:c>
      <x:c r="F1605" s="8" t="n">
        <x:f>C1605*D1605</x:f>
        <x:v>3881.16</x:v>
      </x:c>
      <x:c r="G1605" s="8" t="n">
        <x:f>C1605*E1605</x:f>
        <x:v>1285.92</x:v>
      </x:c>
      <x:c r="H1605" s="8" t="n">
        <x:f>F1605-G1605</x:f>
        <x:v>2595.24</x:v>
      </x:c>
      <x:c r="I1605" s="10" t="n">
        <x:f>H1605/F1605</x:f>
        <x:v>0.6686763751043502</x:v>
      </x:c>
    </x:row>
    <x:row r="1606" ht="22" customHeight="1">
      <x:c r="A1606" s="11" t="str">
        <x:v>246</x:v>
      </x:c>
      <x:c r="B1606" s="8" t="str">
        <x:v>Contoso Home Theater System 4.1 Channel M1410 Black</x:v>
      </x:c>
      <x:c r="C1606" s="8" t="n">
        <x:v>18</x:v>
      </x:c>
      <x:c r="D1606" s="9" t="n">
        <x:v>329</x:v>
      </x:c>
      <x:c r="E1606" s="9" t="n">
        <x:v>167.73</x:v>
      </x:c>
      <x:c r="F1606" s="8" t="n">
        <x:f>C1606*D1606</x:f>
        <x:v>5922</x:v>
      </x:c>
      <x:c r="G1606" s="8" t="n">
        <x:f>C1606*E1606</x:f>
        <x:v>3019.14</x:v>
      </x:c>
      <x:c r="H1606" s="8" t="n">
        <x:f>F1606-G1606</x:f>
        <x:v>2902.86</x:v>
      </x:c>
      <x:c r="I1606" s="10" t="n">
        <x:f>H1606/F1606</x:f>
        <x:v>0.49018237082066873</x:v>
      </x:c>
    </x:row>
    <x:row r="1607" ht="22" customHeight="1">
      <x:c r="A1607" s="11" t="str">
        <x:v>2460</x:v>
      </x:c>
      <x:c r="B1607" s="8" t="str">
        <x:v>Litware 180 CFM Vertical Discharge Fan X450 Black</x:v>
      </x:c>
      <x:c r="C1607" s="8" t="n">
        <x:v>10</x:v>
      </x:c>
      <x:c r="D1607" s="9" t="n">
        <x:v>215.62</x:v>
      </x:c>
      <x:c r="E1607" s="9" t="n">
        <x:v>71.44</x:v>
      </x:c>
      <x:c r="F1607" s="8" t="n">
        <x:f>C1607*D1607</x:f>
        <x:v>2156.2</x:v>
      </x:c>
      <x:c r="G1607" s="8" t="n">
        <x:f>C1607*E1607</x:f>
        <x:v>714.4</x:v>
      </x:c>
      <x:c r="H1607" s="8" t="n">
        <x:f>F1607-G1607</x:f>
        <x:v>1441.7999999999997</x:v>
      </x:c>
      <x:c r="I1607" s="10" t="n">
        <x:f>H1607/F1607</x:f>
        <x:v>0.6686763751043502</x:v>
      </x:c>
    </x:row>
    <x:row r="1608" ht="22" customHeight="1">
      <x:c r="A1608" s="11" t="str">
        <x:v>2461</x:v>
      </x:c>
      <x:c r="B1608" s="8" t="str">
        <x:v>Litware 180 CFM Vertical Discharge Fan X450 White</x:v>
      </x:c>
      <x:c r="C1608" s="8" t="n">
        <x:v>4</x:v>
      </x:c>
      <x:c r="D1608" s="9" t="n">
        <x:v>215.62</x:v>
      </x:c>
      <x:c r="E1608" s="9" t="n">
        <x:v>71.44</x:v>
      </x:c>
      <x:c r="F1608" s="8" t="n">
        <x:f>C1608*D1608</x:f>
        <x:v>862.48</x:v>
      </x:c>
      <x:c r="G1608" s="8" t="n">
        <x:f>C1608*E1608</x:f>
        <x:v>285.76</x:v>
      </x:c>
      <x:c r="H1608" s="8" t="n">
        <x:f>F1608-G1608</x:f>
        <x:v>576.72</x:v>
      </x:c>
      <x:c r="I1608" s="10" t="n">
        <x:f>H1608/F1608</x:f>
        <x:v>0.6686763751043503</x:v>
      </x:c>
    </x:row>
    <x:row r="1609" ht="22" customHeight="1">
      <x:c r="A1609" s="11" t="str">
        <x:v>2462</x:v>
      </x:c>
      <x:c r="B1609" s="8" t="str">
        <x:v>Litware 180 CFM Vertical Discharge Fan X450 Blue</x:v>
      </x:c>
      <x:c r="C1609" s="8" t="n">
        <x:v>9</x:v>
      </x:c>
      <x:c r="D1609" s="9" t="n">
        <x:v>215.62</x:v>
      </x:c>
      <x:c r="E1609" s="9" t="n">
        <x:v>71.44</x:v>
      </x:c>
      <x:c r="F1609" s="8" t="n">
        <x:f>C1609*D1609</x:f>
        <x:v>1940.58</x:v>
      </x:c>
      <x:c r="G1609" s="8" t="n">
        <x:f>C1609*E1609</x:f>
        <x:v>642.96</x:v>
      </x:c>
      <x:c r="H1609" s="8" t="n">
        <x:f>F1609-G1609</x:f>
        <x:v>1297.62</x:v>
      </x:c>
      <x:c r="I1609" s="10" t="n">
        <x:f>H1609/F1609</x:f>
        <x:v>0.6686763751043502</x:v>
      </x:c>
    </x:row>
    <x:row r="1610" ht="22" customHeight="1">
      <x:c r="A1610" s="11" t="str">
        <x:v>2463</x:v>
      </x:c>
      <x:c r="B1610" s="8" t="str">
        <x:v>Litware USB Durable Desk Soft Fan E1401 White</x:v>
      </x:c>
      <x:c r="C1610" s="8" t="n">
        <x:v>16</x:v>
      </x:c>
      <x:c r="D1610" s="9" t="n">
        <x:v>30</x:v>
      </x:c>
      <x:c r="E1610" s="9" t="n">
        <x:v>15.29</x:v>
      </x:c>
      <x:c r="F1610" s="8" t="n">
        <x:f>C1610*D1610</x:f>
        <x:v>480</x:v>
      </x:c>
      <x:c r="G1610" s="8" t="n">
        <x:f>C1610*E1610</x:f>
        <x:v>244.64</x:v>
      </x:c>
      <x:c r="H1610" s="8" t="n">
        <x:f>F1610-G1610</x:f>
        <x:v>235.36</x:v>
      </x:c>
      <x:c r="I1610" s="10" t="n">
        <x:f>H1610/F1610</x:f>
        <x:v>0.49033333333333334</x:v>
      </x:c>
    </x:row>
    <x:row r="1611" ht="22" customHeight="1">
      <x:c r="A1611" s="11" t="str">
        <x:v>2464</x:v>
      </x:c>
      <x:c r="B1611" s="8" t="str">
        <x:v>Litware USB Durable Desk Soft Fan E1401 Black</x:v>
      </x:c>
      <x:c r="C1611" s="8" t="n">
        <x:v>28</x:v>
      </x:c>
      <x:c r="D1611" s="9" t="n">
        <x:v>30</x:v>
      </x:c>
      <x:c r="E1611" s="9" t="n">
        <x:v>15.29</x:v>
      </x:c>
      <x:c r="F1611" s="8" t="n">
        <x:f>C1611*D1611</x:f>
        <x:v>840</x:v>
      </x:c>
      <x:c r="G1611" s="8" t="n">
        <x:f>C1611*E1611</x:f>
        <x:v>428.12</x:v>
      </x:c>
      <x:c r="H1611" s="8" t="n">
        <x:f>F1611-G1611</x:f>
        <x:v>411.88</x:v>
      </x:c>
      <x:c r="I1611" s="10" t="n">
        <x:f>H1611/F1611</x:f>
        <x:v>0.49033333333333334</x:v>
      </x:c>
    </x:row>
    <x:row r="1612" ht="22" customHeight="1">
      <x:c r="A1612" s="11" t="str">
        <x:v>2465</x:v>
      </x:c>
      <x:c r="B1612" s="8" t="str">
        <x:v>Litware USB Durable Desk Soft Fan E1401 Blue</x:v>
      </x:c>
      <x:c r="C1612" s="8" t="n">
        <x:v>15</x:v>
      </x:c>
      <x:c r="D1612" s="9" t="n">
        <x:v>30</x:v>
      </x:c>
      <x:c r="E1612" s="9" t="n">
        <x:v>15.29</x:v>
      </x:c>
      <x:c r="F1612" s="8" t="n">
        <x:f>C1612*D1612</x:f>
        <x:v>450</x:v>
      </x:c>
      <x:c r="G1612" s="8" t="n">
        <x:f>C1612*E1612</x:f>
        <x:v>229.35</x:v>
      </x:c>
      <x:c r="H1612" s="8" t="n">
        <x:f>F1612-G1612</x:f>
        <x:v>220.65</x:v>
      </x:c>
      <x:c r="I1612" s="10" t="n">
        <x:f>H1612/F1612</x:f>
        <x:v>0.49033333333333334</x:v>
      </x:c>
    </x:row>
    <x:row r="1613" ht="22" customHeight="1">
      <x:c r="A1613" s="11" t="str">
        <x:v>2466</x:v>
      </x:c>
      <x:c r="B1613" s="8" t="str">
        <x:v>Litware USB Durable Desk Soft Fan E1401 Red</x:v>
      </x:c>
      <x:c r="C1613" s="8" t="n">
        <x:v>20</x:v>
      </x:c>
      <x:c r="D1613" s="9" t="n">
        <x:v>30</x:v>
      </x:c>
      <x:c r="E1613" s="9" t="n">
        <x:v>15.29</x:v>
      </x:c>
      <x:c r="F1613" s="8" t="n">
        <x:f>C1613*D1613</x:f>
        <x:v>600</x:v>
      </x:c>
      <x:c r="G1613" s="8" t="n">
        <x:f>C1613*E1613</x:f>
        <x:v>305.79999999999995</x:v>
      </x:c>
      <x:c r="H1613" s="8" t="n">
        <x:f>F1613-G1613</x:f>
        <x:v>294.20000000000005</x:v>
      </x:c>
      <x:c r="I1613" s="10" t="n">
        <x:f>H1613/F1613</x:f>
        <x:v>0.4903333333333334</x:v>
      </x:c>
    </x:row>
    <x:row r="1614" ht="22" customHeight="1">
      <x:c r="A1614" s="11" t="str">
        <x:v>2467</x:v>
      </x:c>
      <x:c r="B1614" s="8" t="str">
        <x:v>Litware 80mm LED Dual PCI Slot Fan E1501 Yellow</x:v>
      </x:c>
      <x:c r="C1614" s="8" t="n">
        <x:v>3</x:v>
      </x:c>
      <x:c r="D1614" s="9" t="n">
        <x:v>30.99</x:v>
      </x:c>
      <x:c r="E1614" s="9" t="n">
        <x:v>15.8</x:v>
      </x:c>
      <x:c r="F1614" s="8" t="n">
        <x:f>C1614*D1614</x:f>
        <x:v>92.97</x:v>
      </x:c>
      <x:c r="G1614" s="8" t="n">
        <x:f>C1614*E1614</x:f>
        <x:v>47.400000000000006</x:v>
      </x:c>
      <x:c r="H1614" s="8" t="n">
        <x:f>F1614-G1614</x:f>
        <x:v>45.56999999999999</x:v>
      </x:c>
      <x:c r="I1614" s="10" t="n">
        <x:f>H1614/F1614</x:f>
        <x:v>0.4901581155211358</x:v>
      </x:c>
    </x:row>
    <x:row r="1615" ht="22" customHeight="1">
      <x:c r="A1615" s="11" t="str">
        <x:v>2468</x:v>
      </x:c>
      <x:c r="B1615" s="8" t="str">
        <x:v>Litware 80mm LED Dual PCI Slot Fan E1501 Red</x:v>
      </x:c>
      <x:c r="C1615" s="8" t="n">
        <x:v>8</x:v>
      </x:c>
      <x:c r="D1615" s="9" t="n">
        <x:v>30.99</x:v>
      </x:c>
      <x:c r="E1615" s="9" t="n">
        <x:v>15.8</x:v>
      </x:c>
      <x:c r="F1615" s="8" t="n">
        <x:f>C1615*D1615</x:f>
        <x:v>247.92</x:v>
      </x:c>
      <x:c r="G1615" s="8" t="n">
        <x:f>C1615*E1615</x:f>
        <x:v>126.4</x:v>
      </x:c>
      <x:c r="H1615" s="8" t="n">
        <x:f>F1615-G1615</x:f>
        <x:v>121.51999999999998</x:v>
      </x:c>
      <x:c r="I1615" s="10" t="n">
        <x:f>H1615/F1615</x:f>
        <x:v>0.4901581155211358</x:v>
      </x:c>
    </x:row>
    <x:row r="1616" ht="22" customHeight="1">
      <x:c r="A1616" s="11" t="str">
        <x:v>2469</x:v>
      </x:c>
      <x:c r="B1616" s="8" t="str">
        <x:v>Litware 80mm LED Dual PCI Slot Fan E1501 Blue</x:v>
      </x:c>
      <x:c r="C1616" s="8" t="n">
        <x:v>2</x:v>
      </x:c>
      <x:c r="D1616" s="9" t="n">
        <x:v>30.99</x:v>
      </x:c>
      <x:c r="E1616" s="9" t="n">
        <x:v>15.8</x:v>
      </x:c>
      <x:c r="F1616" s="8" t="n">
        <x:f>C1616*D1616</x:f>
        <x:v>61.98</x:v>
      </x:c>
      <x:c r="G1616" s="8" t="n">
        <x:f>C1616*E1616</x:f>
        <x:v>31.6</x:v>
      </x:c>
      <x:c r="H1616" s="8" t="n">
        <x:f>F1616-G1616</x:f>
        <x:v>30.379999999999995</x:v>
      </x:c>
      <x:c r="I1616" s="10" t="n">
        <x:f>H1616/F1616</x:f>
        <x:v>0.4901581155211358</x:v>
      </x:c>
    </x:row>
    <x:row r="1617" ht="22" customHeight="1">
      <x:c r="A1617" s="11" t="str">
        <x:v>247</x:v>
      </x:c>
      <x:c r="B1617" s="8" t="str">
        <x:v>Contoso Home Theater System 5.1 Channel M1520 Black</x:v>
      </x:c>
      <x:c r="C1617" s="8" t="n">
        <x:v>3</x:v>
      </x:c>
      <x:c r="D1617" s="9" t="n">
        <x:v>339</x:v>
      </x:c>
      <x:c r="E1617" s="9" t="n">
        <x:v>155.89</x:v>
      </x:c>
      <x:c r="F1617" s="8" t="n">
        <x:f>C1617*D1617</x:f>
        <x:v>1017</x:v>
      </x:c>
      <x:c r="G1617" s="8" t="n">
        <x:f>C1617*E1617</x:f>
        <x:v>467.66999999999996</x:v>
      </x:c>
      <x:c r="H1617" s="8" t="n">
        <x:f>F1617-G1617</x:f>
        <x:v>549.33</x:v>
      </x:c>
      <x:c r="I1617" s="10" t="n">
        <x:f>H1617/F1617</x:f>
        <x:v>0.5401474926253688</x:v>
      </x:c>
    </x:row>
    <x:row r="1618" ht="22" customHeight="1">
      <x:c r="A1618" s="11" t="str">
        <x:v>2470</x:v>
      </x:c>
      <x:c r="B1618" s="8" t="str">
        <x:v>Litware 80mm LED Dual PCI Slot Fan E1501 Pink</x:v>
      </x:c>
      <x:c r="C1618" s="8" t="n">
        <x:v>9</x:v>
      </x:c>
      <x:c r="D1618" s="9" t="n">
        <x:v>30.99</x:v>
      </x:c>
      <x:c r="E1618" s="9" t="n">
        <x:v>15.8</x:v>
      </x:c>
      <x:c r="F1618" s="8" t="n">
        <x:f>C1618*D1618</x:f>
        <x:v>278.90999999999997</x:v>
      </x:c>
      <x:c r="G1618" s="8" t="n">
        <x:f>C1618*E1618</x:f>
        <x:v>142.20000000000002</x:v>
      </x:c>
      <x:c r="H1618" s="8" t="n">
        <x:f>F1618-G1618</x:f>
        <x:v>136.70999999999995</x:v>
      </x:c>
      <x:c r="I1618" s="10" t="n">
        <x:f>H1618/F1618</x:f>
        <x:v>0.49015811552113575</x:v>
      </x:c>
    </x:row>
    <x:row r="1619" ht="22" customHeight="1">
      <x:c r="A1619" s="11" t="str">
        <x:v>2471</x:v>
      </x:c>
      <x:c r="B1619" s="8" t="str">
        <x:v>Litware 80mm LED Dual PCI Slot Fan E1501 White</x:v>
      </x:c>
      <x:c r="C1619" s="8" t="n">
        <x:v>18</x:v>
      </x:c>
      <x:c r="D1619" s="9" t="n">
        <x:v>30.99</x:v>
      </x:c>
      <x:c r="E1619" s="9" t="n">
        <x:v>15.8</x:v>
      </x:c>
      <x:c r="F1619" s="8" t="n">
        <x:f>C1619*D1619</x:f>
        <x:v>557.8199999999999</x:v>
      </x:c>
      <x:c r="G1619" s="8" t="n">
        <x:f>C1619*E1619</x:f>
        <x:v>284.40000000000003</x:v>
      </x:c>
      <x:c r="H1619" s="8" t="n">
        <x:f>F1619-G1619</x:f>
        <x:v>273.4199999999999</x:v>
      </x:c>
      <x:c r="I1619" s="10" t="n">
        <x:f>H1619/F1619</x:f>
        <x:v>0.49015811552113575</x:v>
      </x:c>
    </x:row>
    <x:row r="1620" ht="22" customHeight="1">
      <x:c r="A1620" s="11" t="str">
        <x:v>2472</x:v>
      </x:c>
      <x:c r="B1620" s="8" t="str">
        <x:v>Litware 20'' Weather-Shield Performance Box Fan E1601 Orange</x:v>
      </x:c>
      <x:c r="C1620" s="8" t="n">
        <x:v>13</x:v>
      </x:c>
      <x:c r="D1620" s="9" t="n">
        <x:v>29.99</x:v>
      </x:c>
      <x:c r="E1620" s="9" t="n">
        <x:v>15.29</x:v>
      </x:c>
      <x:c r="F1620" s="8" t="n">
        <x:f>C1620*D1620</x:f>
        <x:v>389.87</x:v>
      </x:c>
      <x:c r="G1620" s="8" t="n">
        <x:f>C1620*E1620</x:f>
        <x:v>198.76999999999998</x:v>
      </x:c>
      <x:c r="H1620" s="8" t="n">
        <x:f>F1620-G1620</x:f>
        <x:v>191.10000000000002</x:v>
      </x:c>
      <x:c r="I1620" s="10" t="n">
        <x:f>H1620/F1620</x:f>
        <x:v>0.49016338779593205</x:v>
      </x:c>
    </x:row>
    <x:row r="1621" ht="22" customHeight="1">
      <x:c r="A1621" s="11" t="str">
        <x:v>2473</x:v>
      </x:c>
      <x:c r="B1621" s="8" t="str">
        <x:v>Litware 20'' Weather-Shield Performance Box Fan E1601 Yellow</x:v>
      </x:c>
      <x:c r="C1621" s="8" t="n">
        <x:v>30</x:v>
      </x:c>
      <x:c r="D1621" s="9" t="n">
        <x:v>29.99</x:v>
      </x:c>
      <x:c r="E1621" s="9" t="n">
        <x:v>15.29</x:v>
      </x:c>
      <x:c r="F1621" s="8" t="n">
        <x:f>C1621*D1621</x:f>
        <x:v>899.6999999999999</x:v>
      </x:c>
      <x:c r="G1621" s="8" t="n">
        <x:f>C1621*E1621</x:f>
        <x:v>458.7</x:v>
      </x:c>
      <x:c r="H1621" s="8" t="n">
        <x:f>F1621-G1621</x:f>
        <x:v>440.99999999999994</x:v>
      </x:c>
      <x:c r="I1621" s="10" t="n">
        <x:f>H1621/F1621</x:f>
        <x:v>0.49016338779593194</x:v>
      </x:c>
    </x:row>
    <x:row r="1622" ht="22" customHeight="1">
      <x:c r="A1622" s="11" t="str">
        <x:v>2474</x:v>
      </x:c>
      <x:c r="B1622" s="8" t="str">
        <x:v>Litware 20'' Weather-Shield Performance Box Fan E1601 White</x:v>
      </x:c>
      <x:c r="C1622" s="8" t="n">
        <x:v>29</x:v>
      </x:c>
      <x:c r="D1622" s="9" t="n">
        <x:v>29.99</x:v>
      </x:c>
      <x:c r="E1622" s="9" t="n">
        <x:v>15.29</x:v>
      </x:c>
      <x:c r="F1622" s="8" t="n">
        <x:f>C1622*D1622</x:f>
        <x:v>869.7099999999999</x:v>
      </x:c>
      <x:c r="G1622" s="8" t="n">
        <x:f>C1622*E1622</x:f>
        <x:v>443.40999999999997</x:v>
      </x:c>
      <x:c r="H1622" s="8" t="n">
        <x:f>F1622-G1622</x:f>
        <x:v>426.29999999999995</x:v>
      </x:c>
      <x:c r="I1622" s="10" t="n">
        <x:f>H1622/F1622</x:f>
        <x:v>0.490163387795932</x:v>
      </x:c>
    </x:row>
    <x:row r="1623" ht="22" customHeight="1">
      <x:c r="A1623" s="11" t="str">
        <x:v>2475</x:v>
      </x:c>
      <x:c r="B1623" s="8" t="str">
        <x:v>Litware 20'' Weather-Shield Performance Box Fan E1601 Black</x:v>
      </x:c>
      <x:c r="C1623" s="8" t="n">
        <x:v>35</x:v>
      </x:c>
      <x:c r="D1623" s="9" t="n">
        <x:v>29.99</x:v>
      </x:c>
      <x:c r="E1623" s="9" t="n">
        <x:v>15.29</x:v>
      </x:c>
      <x:c r="F1623" s="8" t="n">
        <x:f>C1623*D1623</x:f>
        <x:v>1049.6499999999999</x:v>
      </x:c>
      <x:c r="G1623" s="8" t="n">
        <x:f>C1623*E1623</x:f>
        <x:v>535.15</x:v>
      </x:c>
      <x:c r="H1623" s="8" t="n">
        <x:f>F1623-G1623</x:f>
        <x:v>514.4999999999999</x:v>
      </x:c>
      <x:c r="I1623" s="10" t="n">
        <x:f>H1623/F1623</x:f>
        <x:v>0.49016338779593194</x:v>
      </x:c>
    </x:row>
    <x:row r="1624" ht="22" customHeight="1">
      <x:c r="A1624" s="11" t="str">
        <x:v>2476</x:v>
      </x:c>
      <x:c r="B1624" s="8" t="str">
        <x:v>Litware 17'' Oscillating Pedestal Fan M125 Pink</x:v>
      </x:c>
      <x:c r="C1624" s="8" t="n">
        <x:v>9</x:v>
      </x:c>
      <x:c r="D1624" s="9" t="n">
        <x:v>210</x:v>
      </x:c>
      <x:c r="E1624" s="9" t="n">
        <x:v>96.57</x:v>
      </x:c>
      <x:c r="F1624" s="8" t="n">
        <x:f>C1624*D1624</x:f>
        <x:v>1890</x:v>
      </x:c>
      <x:c r="G1624" s="8" t="n">
        <x:f>C1624*E1624</x:f>
        <x:v>869.1299999999999</x:v>
      </x:c>
      <x:c r="H1624" s="8" t="n">
        <x:f>F1624-G1624</x:f>
        <x:v>1020.8700000000001</x:v>
      </x:c>
      <x:c r="I1624" s="10" t="n">
        <x:f>H1624/F1624</x:f>
        <x:v>0.5401428571428573</x:v>
      </x:c>
    </x:row>
    <x:row r="1625" ht="22" customHeight="1">
      <x:c r="A1625" s="11" t="str">
        <x:v>2477</x:v>
      </x:c>
      <x:c r="B1625" s="8" t="str">
        <x:v>Litware 17'' Oscillating Pedestal Fan M125 Yellow</x:v>
      </x:c>
      <x:c r="C1625" s="8" t="n">
        <x:v>12</x:v>
      </x:c>
      <x:c r="D1625" s="9" t="n">
        <x:v>210</x:v>
      </x:c>
      <x:c r="E1625" s="9" t="n">
        <x:v>96.57</x:v>
      </x:c>
      <x:c r="F1625" s="8" t="n">
        <x:f>C1625*D1625</x:f>
        <x:v>2520</x:v>
      </x:c>
      <x:c r="G1625" s="8" t="n">
        <x:f>C1625*E1625</x:f>
        <x:v>1158.84</x:v>
      </x:c>
      <x:c r="H1625" s="8" t="n">
        <x:f>F1625-G1625</x:f>
        <x:v>1361.16</x:v>
      </x:c>
      <x:c r="I1625" s="10" t="n">
        <x:f>H1625/F1625</x:f>
        <x:v>0.5401428571428571</x:v>
      </x:c>
    </x:row>
    <x:row r="1626" ht="22" customHeight="1">
      <x:c r="A1626" s="11" t="str">
        <x:v>2478</x:v>
      </x:c>
      <x:c r="B1626" s="8" t="str">
        <x:v>Litware 17'' Oscillating Pedestal Fan M125 Blue</x:v>
      </x:c>
      <x:c r="C1626" s="8" t="n">
        <x:v>24</x:v>
      </x:c>
      <x:c r="D1626" s="9" t="n">
        <x:v>210</x:v>
      </x:c>
      <x:c r="E1626" s="9" t="n">
        <x:v>96.57</x:v>
      </x:c>
      <x:c r="F1626" s="8" t="n">
        <x:f>C1626*D1626</x:f>
        <x:v>5040</x:v>
      </x:c>
      <x:c r="G1626" s="8" t="n">
        <x:f>C1626*E1626</x:f>
        <x:v>2317.68</x:v>
      </x:c>
      <x:c r="H1626" s="8" t="n">
        <x:f>F1626-G1626</x:f>
        <x:v>2722.32</x:v>
      </x:c>
      <x:c r="I1626" s="10" t="n">
        <x:f>H1626/F1626</x:f>
        <x:v>0.5401428571428571</x:v>
      </x:c>
    </x:row>
    <x:row r="1627" ht="22" customHeight="1">
      <x:c r="A1627" s="11" t="str">
        <x:v>2479</x:v>
      </x:c>
      <x:c r="B1627" s="8" t="str">
        <x:v>Litware 17'' Oscillating Pedestal Fan M125 White</x:v>
      </x:c>
      <x:c r="C1627" s="8" t="n">
        <x:v>5</x:v>
      </x:c>
      <x:c r="D1627" s="9" t="n">
        <x:v>210</x:v>
      </x:c>
      <x:c r="E1627" s="9" t="n">
        <x:v>96.57</x:v>
      </x:c>
      <x:c r="F1627" s="8" t="n">
        <x:f>C1627*D1627</x:f>
        <x:v>1050</x:v>
      </x:c>
      <x:c r="G1627" s="8" t="n">
        <x:f>C1627*E1627</x:f>
        <x:v>482.84999999999997</x:v>
      </x:c>
      <x:c r="H1627" s="8" t="n">
        <x:f>F1627-G1627</x:f>
        <x:v>567.1500000000001</x:v>
      </x:c>
      <x:c r="I1627" s="10" t="n">
        <x:f>H1627/F1627</x:f>
        <x:v>0.5401428571428573</x:v>
      </x:c>
    </x:row>
    <x:row r="1628" ht="22" customHeight="1">
      <x:c r="A1628" s="11" t="str">
        <x:v>248</x:v>
      </x:c>
      <x:c r="B1628" s="8" t="str">
        <x:v>Contoso Home Theater System 5.1 Channel M1530 Black</x:v>
      </x:c>
      <x:c r="C1628" s="8" t="n">
        <x:v>2</x:v>
      </x:c>
      <x:c r="D1628" s="9" t="n">
        <x:v>399</x:v>
      </x:c>
      <x:c r="E1628" s="9" t="n">
        <x:v>183.49</x:v>
      </x:c>
      <x:c r="F1628" s="8" t="n">
        <x:f>C1628*D1628</x:f>
        <x:v>798</x:v>
      </x:c>
      <x:c r="G1628" s="8" t="n">
        <x:f>C1628*E1628</x:f>
        <x:v>366.98</x:v>
      </x:c>
      <x:c r="H1628" s="8" t="n">
        <x:f>F1628-G1628</x:f>
        <x:v>431.02</x:v>
      </x:c>
      <x:c r="I1628" s="10" t="n">
        <x:f>H1628/F1628</x:f>
        <x:v>0.540125313283208</x:v>
      </x:c>
    </x:row>
    <x:row r="1629" ht="22" customHeight="1">
      <x:c r="A1629" s="11" t="str">
        <x:v>2480</x:v>
      </x:c>
      <x:c r="B1629" s="8" t="str">
        <x:v>Litware 18'' Oscillating Pedestal Fan M135 Pink</x:v>
      </x:c>
      <x:c r="C1629" s="8" t="n">
        <x:v>15</x:v>
      </x:c>
      <x:c r="D1629" s="9" t="n">
        <x:v>350</x:v>
      </x:c>
      <x:c r="E1629" s="9" t="n">
        <x:v>160.95</x:v>
      </x:c>
      <x:c r="F1629" s="8" t="n">
        <x:f>C1629*D1629</x:f>
        <x:v>5250</x:v>
      </x:c>
      <x:c r="G1629" s="8" t="n">
        <x:f>C1629*E1629</x:f>
        <x:v>2414.25</x:v>
      </x:c>
      <x:c r="H1629" s="8" t="n">
        <x:f>F1629-G1629</x:f>
        <x:v>2835.75</x:v>
      </x:c>
      <x:c r="I1629" s="10" t="n">
        <x:f>H1629/F1629</x:f>
        <x:v>0.5401428571428571</x:v>
      </x:c>
    </x:row>
    <x:row r="1630" ht="22" customHeight="1">
      <x:c r="A1630" s="11" t="str">
        <x:v>2481</x:v>
      </x:c>
      <x:c r="B1630" s="8" t="str">
        <x:v>Litware 18'' Oscillating Pedestal Fan M135 Yellow</x:v>
      </x:c>
      <x:c r="C1630" s="8" t="n">
        <x:v>24</x:v>
      </x:c>
      <x:c r="D1630" s="9" t="n">
        <x:v>350</x:v>
      </x:c>
      <x:c r="E1630" s="9" t="n">
        <x:v>160.95</x:v>
      </x:c>
      <x:c r="F1630" s="8" t="n">
        <x:f>C1630*D1630</x:f>
        <x:v>8400</x:v>
      </x:c>
      <x:c r="G1630" s="8" t="n">
        <x:f>C1630*E1630</x:f>
        <x:v>3862.7999999999997</x:v>
      </x:c>
      <x:c r="H1630" s="8" t="n">
        <x:f>F1630-G1630</x:f>
        <x:v>4537.200000000001</x:v>
      </x:c>
      <x:c r="I1630" s="10" t="n">
        <x:f>H1630/F1630</x:f>
        <x:v>0.5401428571428573</x:v>
      </x:c>
    </x:row>
    <x:row r="1631" ht="22" customHeight="1">
      <x:c r="A1631" s="11" t="str">
        <x:v>2482</x:v>
      </x:c>
      <x:c r="B1631" s="8" t="str">
        <x:v>Litware 18'' Oscillating Pedestal Fan M135 Blue</x:v>
      </x:c>
      <x:c r="C1631" s="8" t="n">
        <x:v>15</x:v>
      </x:c>
      <x:c r="D1631" s="9" t="n">
        <x:v>350</x:v>
      </x:c>
      <x:c r="E1631" s="9" t="n">
        <x:v>160.95</x:v>
      </x:c>
      <x:c r="F1631" s="8" t="n">
        <x:f>C1631*D1631</x:f>
        <x:v>5250</x:v>
      </x:c>
      <x:c r="G1631" s="8" t="n">
        <x:f>C1631*E1631</x:f>
        <x:v>2414.25</x:v>
      </x:c>
      <x:c r="H1631" s="8" t="n">
        <x:f>F1631-G1631</x:f>
        <x:v>2835.75</x:v>
      </x:c>
      <x:c r="I1631" s="10" t="n">
        <x:f>H1631/F1631</x:f>
        <x:v>0.5401428571428571</x:v>
      </x:c>
    </x:row>
    <x:row r="1632" ht="22" customHeight="1">
      <x:c r="A1632" s="11" t="str">
        <x:v>2483</x:v>
      </x:c>
      <x:c r="B1632" s="8" t="str">
        <x:v>Litware 18'' Oscillating Pedestal Fan M135 White</x:v>
      </x:c>
      <x:c r="C1632" s="8" t="n">
        <x:v>20</x:v>
      </x:c>
      <x:c r="D1632" s="9" t="n">
        <x:v>350</x:v>
      </x:c>
      <x:c r="E1632" s="9" t="n">
        <x:v>160.95</x:v>
      </x:c>
      <x:c r="F1632" s="8" t="n">
        <x:f>C1632*D1632</x:f>
        <x:v>7000</x:v>
      </x:c>
      <x:c r="G1632" s="8" t="n">
        <x:f>C1632*E1632</x:f>
        <x:v>3219</x:v>
      </x:c>
      <x:c r="H1632" s="8" t="n">
        <x:f>F1632-G1632</x:f>
        <x:v>3781</x:v>
      </x:c>
      <x:c r="I1632" s="10" t="n">
        <x:f>H1632/F1632</x:f>
        <x:v>0.5401428571428571</x:v>
      </x:c>
    </x:row>
    <x:row r="1633" ht="22" customHeight="1">
      <x:c r="A1633" s="11" t="str">
        <x:v>2484</x:v>
      </x:c>
      <x:c r="B1633" s="8" t="str">
        <x:v>Litware 18'' Oscillating Pedestal Fan M145 Pink</x:v>
      </x:c>
      <x:c r="C1633" s="8" t="n">
        <x:v>29</x:v>
      </x:c>
      <x:c r="D1633" s="9" t="n">
        <x:v>400</x:v>
      </x:c>
      <x:c r="E1633" s="9" t="n">
        <x:v>183.95</x:v>
      </x:c>
      <x:c r="F1633" s="8" t="n">
        <x:f>C1633*D1633</x:f>
        <x:v>11600</x:v>
      </x:c>
      <x:c r="G1633" s="8" t="n">
        <x:f>C1633*E1633</x:f>
        <x:v>5334.549999999999</x:v>
      </x:c>
      <x:c r="H1633" s="8" t="n">
        <x:f>F1633-G1633</x:f>
        <x:v>6265.450000000001</x:v>
      </x:c>
      <x:c r="I1633" s="10" t="n">
        <x:f>H1633/F1633</x:f>
        <x:v>0.5401250000000001</x:v>
      </x:c>
    </x:row>
    <x:row r="1634" ht="22" customHeight="1">
      <x:c r="A1634" s="11" t="str">
        <x:v>2485</x:v>
      </x:c>
      <x:c r="B1634" s="8" t="str">
        <x:v>Litware 18'' Oscillating Pedestal Fan M145 Yellow</x:v>
      </x:c>
      <x:c r="C1634" s="8" t="n">
        <x:v>16</x:v>
      </x:c>
      <x:c r="D1634" s="9" t="n">
        <x:v>400</x:v>
      </x:c>
      <x:c r="E1634" s="9" t="n">
        <x:v>183.95</x:v>
      </x:c>
      <x:c r="F1634" s="8" t="n">
        <x:f>C1634*D1634</x:f>
        <x:v>6400</x:v>
      </x:c>
      <x:c r="G1634" s="8" t="n">
        <x:f>C1634*E1634</x:f>
        <x:v>2943.2</x:v>
      </x:c>
      <x:c r="H1634" s="8" t="n">
        <x:f>F1634-G1634</x:f>
        <x:v>3456.8</x:v>
      </x:c>
      <x:c r="I1634" s="10" t="n">
        <x:f>H1634/F1634</x:f>
        <x:v>0.5401250000000001</x:v>
      </x:c>
    </x:row>
    <x:row r="1635" ht="22" customHeight="1">
      <x:c r="A1635" s="11" t="str">
        <x:v>2486</x:v>
      </x:c>
      <x:c r="B1635" s="8" t="str">
        <x:v>Litware 18'' Oscillating Pedestal Fan M145 Blue</x:v>
      </x:c>
      <x:c r="C1635" s="8" t="n">
        <x:v>2</x:v>
      </x:c>
      <x:c r="D1635" s="9" t="n">
        <x:v>400</x:v>
      </x:c>
      <x:c r="E1635" s="9" t="n">
        <x:v>183.95</x:v>
      </x:c>
      <x:c r="F1635" s="8" t="n">
        <x:f>C1635*D1635</x:f>
        <x:v>800</x:v>
      </x:c>
      <x:c r="G1635" s="8" t="n">
        <x:f>C1635*E1635</x:f>
        <x:v>367.9</x:v>
      </x:c>
      <x:c r="H1635" s="8" t="n">
        <x:f>F1635-G1635</x:f>
        <x:v>432.1</x:v>
      </x:c>
      <x:c r="I1635" s="10" t="n">
        <x:f>H1635/F1635</x:f>
        <x:v>0.5401250000000001</x:v>
      </x:c>
    </x:row>
    <x:row r="1636" ht="22" customHeight="1">
      <x:c r="A1636" s="11" t="str">
        <x:v>2487</x:v>
      </x:c>
      <x:c r="B1636" s="8" t="str">
        <x:v>Litware 18'' Oscillating Pedestal Fan M145 White</x:v>
      </x:c>
      <x:c r="C1636" s="8" t="n">
        <x:v>12</x:v>
      </x:c>
      <x:c r="D1636" s="9" t="n">
        <x:v>400</x:v>
      </x:c>
      <x:c r="E1636" s="9" t="n">
        <x:v>183.95</x:v>
      </x:c>
      <x:c r="F1636" s="8" t="n">
        <x:f>C1636*D1636</x:f>
        <x:v>4800</x:v>
      </x:c>
      <x:c r="G1636" s="8" t="n">
        <x:f>C1636*E1636</x:f>
        <x:v>2207.3999999999996</x:v>
      </x:c>
      <x:c r="H1636" s="8" t="n">
        <x:f>F1636-G1636</x:f>
        <x:v>2592.6000000000004</x:v>
      </x:c>
      <x:c r="I1636" s="10" t="n">
        <x:f>H1636/F1636</x:f>
        <x:v>0.5401250000000001</x:v>
      </x:c>
    </x:row>
    <x:row r="1637" ht="22" customHeight="1">
      <x:c r="A1637" s="11" t="str">
        <x:v>2488</x:v>
      </x:c>
      <x:c r="B1637" s="8" t="str">
        <x:v>Contoso Rubberized Skin BlackBerry E100 Black</x:v>
      </x:c>
      <x:c r="C1637" s="8" t="n">
        <x:v>124</x:v>
      </x:c>
      <x:c r="D1637" s="9" t="n">
        <x:v>14.99</x:v>
      </x:c>
      <x:c r="E1637" s="9" t="n">
        <x:v>7.64</x:v>
      </x:c>
      <x:c r="F1637" s="8" t="n">
        <x:f>C1637*D1637</x:f>
        <x:v>1858.76</x:v>
      </x:c>
      <x:c r="G1637" s="8" t="n">
        <x:f>C1637*E1637</x:f>
        <x:v>947.36</x:v>
      </x:c>
      <x:c r="H1637" s="8" t="n">
        <x:f>F1637-G1637</x:f>
        <x:v>911.4</x:v>
      </x:c>
      <x:c r="I1637" s="10" t="n">
        <x:f>H1637/F1637</x:f>
        <x:v>0.49032688458972645</x:v>
      </x:c>
    </x:row>
    <x:row r="1638" ht="22" customHeight="1">
      <x:c r="A1638" s="11" t="str">
        <x:v>2489</x:v>
      </x:c>
      <x:c r="B1638" s="8" t="str">
        <x:v>Contoso Rubberized Skin BlackBerry E100 Silver</x:v>
      </x:c>
      <x:c r="C1638" s="8" t="n">
        <x:v>207</x:v>
      </x:c>
      <x:c r="D1638" s="9" t="n">
        <x:v>14.99</x:v>
      </x:c>
      <x:c r="E1638" s="9" t="n">
        <x:v>7.64</x:v>
      </x:c>
      <x:c r="F1638" s="8" t="n">
        <x:f>C1638*D1638</x:f>
        <x:v>3102.93</x:v>
      </x:c>
      <x:c r="G1638" s="8" t="n">
        <x:f>C1638*E1638</x:f>
        <x:v>1581.48</x:v>
      </x:c>
      <x:c r="H1638" s="8" t="n">
        <x:f>F1638-G1638</x:f>
        <x:v>1521.4499999999998</x:v>
      </x:c>
      <x:c r="I1638" s="10" t="n">
        <x:f>H1638/F1638</x:f>
        <x:v>0.49032688458972645</x:v>
      </x:c>
    </x:row>
    <x:row r="1639" ht="22" customHeight="1">
      <x:c r="A1639" s="11" t="str">
        <x:v>249</x:v>
      </x:c>
      <x:c r="B1639" s="8" t="str">
        <x:v>Contoso Home Theater System 2.1 Channel E1220 Black</x:v>
      </x:c>
      <x:c r="C1639" s="8" t="n">
        <x:v>8</x:v>
      </x:c>
      <x:c r="D1639" s="9" t="n">
        <x:v>199</x:v>
      </x:c>
      <x:c r="E1639" s="9" t="n">
        <x:v>101.46</x:v>
      </x:c>
      <x:c r="F1639" s="8" t="n">
        <x:f>C1639*D1639</x:f>
        <x:v>1592</x:v>
      </x:c>
      <x:c r="G1639" s="8" t="n">
        <x:f>C1639*E1639</x:f>
        <x:v>811.68</x:v>
      </x:c>
      <x:c r="H1639" s="8" t="n">
        <x:f>F1639-G1639</x:f>
        <x:v>780.32</x:v>
      </x:c>
      <x:c r="I1639" s="10" t="n">
        <x:f>H1639/F1639</x:f>
        <x:v>0.49015075376884426</x:v>
      </x:c>
    </x:row>
    <x:row r="1640" ht="22" customHeight="1">
      <x:c r="A1640" s="11" t="str">
        <x:v>2490</x:v>
      </x:c>
      <x:c r="B1640" s="8" t="str">
        <x:v>Contoso Rubberized Skin BlackBerry E100 White</x:v>
      </x:c>
      <x:c r="C1640" s="8" t="n">
        <x:v>148</x:v>
      </x:c>
      <x:c r="D1640" s="9" t="n">
        <x:v>14.99</x:v>
      </x:c>
      <x:c r="E1640" s="9" t="n">
        <x:v>7.64</x:v>
      </x:c>
      <x:c r="F1640" s="8" t="n">
        <x:f>C1640*D1640</x:f>
        <x:v>2218.52</x:v>
      </x:c>
      <x:c r="G1640" s="8" t="n">
        <x:f>C1640*E1640</x:f>
        <x:v>1130.72</x:v>
      </x:c>
      <x:c r="H1640" s="8" t="n">
        <x:f>F1640-G1640</x:f>
        <x:v>1087.8</x:v>
      </x:c>
      <x:c r="I1640" s="10" t="n">
        <x:f>H1640/F1640</x:f>
        <x:v>0.49032688458972645</x:v>
      </x:c>
    </x:row>
    <x:row r="1641" ht="22" customHeight="1">
      <x:c r="A1641" s="11" t="str">
        <x:v>2491</x:v>
      </x:c>
      <x:c r="B1641" s="8" t="str">
        <x:v>Cigarette Lighter Adapter for Contoso Phones E110 Black</x:v>
      </x:c>
      <x:c r="C1641" s="8" t="n">
        <x:v>204</x:v>
      </x:c>
      <x:c r="D1641" s="9" t="n">
        <x:v>24.99</x:v>
      </x:c>
      <x:c r="E1641" s="9" t="n">
        <x:v>12.74</x:v>
      </x:c>
      <x:c r="F1641" s="8" t="n">
        <x:f>C1641*D1641</x:f>
        <x:v>5097.96</x:v>
      </x:c>
      <x:c r="G1641" s="8" t="n">
        <x:f>C1641*E1641</x:f>
        <x:v>2598.96</x:v>
      </x:c>
      <x:c r="H1641" s="8" t="n">
        <x:f>F1641-G1641</x:f>
        <x:v>2499</x:v>
      </x:c>
      <x:c r="I1641" s="10" t="n">
        <x:f>H1641/F1641</x:f>
        <x:v>0.49019607843137253</x:v>
      </x:c>
    </x:row>
    <x:row r="1642" ht="22" customHeight="1">
      <x:c r="A1642" s="11" t="str">
        <x:v>2492</x:v>
      </x:c>
      <x:c r="B1642" s="8" t="str">
        <x:v>Cigarette Lighter Adapter for Contoso Phones E110 White</x:v>
      </x:c>
      <x:c r="C1642" s="8" t="n">
        <x:v>170</x:v>
      </x:c>
      <x:c r="D1642" s="9" t="n">
        <x:v>24.99</x:v>
      </x:c>
      <x:c r="E1642" s="9" t="n">
        <x:v>12.74</x:v>
      </x:c>
      <x:c r="F1642" s="8" t="n">
        <x:f>C1642*D1642</x:f>
        <x:v>4248.3</x:v>
      </x:c>
      <x:c r="G1642" s="8" t="n">
        <x:f>C1642*E1642</x:f>
        <x:v>2165.8</x:v>
      </x:c>
      <x:c r="H1642" s="8" t="n">
        <x:f>F1642-G1642</x:f>
        <x:v>2082.5</x:v>
      </x:c>
      <x:c r="I1642" s="10" t="n">
        <x:f>H1642/F1642</x:f>
        <x:v>0.49019607843137253</x:v>
      </x:c>
    </x:row>
    <x:row r="1643" ht="22" customHeight="1">
      <x:c r="A1643" s="11" t="str">
        <x:v>2493</x:v>
      </x:c>
      <x:c r="B1643" s="8" t="str">
        <x:v>Cigarette Lighter Adapter for Contoso Phones E110 Red</x:v>
      </x:c>
      <x:c r="C1643" s="8" t="n">
        <x:v>195</x:v>
      </x:c>
      <x:c r="D1643" s="9" t="n">
        <x:v>24.99</x:v>
      </x:c>
      <x:c r="E1643" s="9" t="n">
        <x:v>12.74</x:v>
      </x:c>
      <x:c r="F1643" s="8" t="n">
        <x:f>C1643*D1643</x:f>
        <x:v>4873.049999999999</x:v>
      </x:c>
      <x:c r="G1643" s="8" t="n">
        <x:f>C1643*E1643</x:f>
        <x:v>2484.3</x:v>
      </x:c>
      <x:c r="H1643" s="8" t="n">
        <x:f>F1643-G1643</x:f>
        <x:v>2388.749999999999</x:v>
      </x:c>
      <x:c r="I1643" s="10" t="n">
        <x:f>H1643/F1643</x:f>
        <x:v>0.4901960784313724</x:v>
      </x:c>
    </x:row>
    <x:row r="1644" ht="22" customHeight="1">
      <x:c r="A1644" s="11" t="str">
        <x:v>2494</x:v>
      </x:c>
      <x:c r="B1644" s="8" t="str">
        <x:v>Reusable Phone Screen Protector E120</x:v>
      </x:c>
      <x:c r="C1644" s="8" t="n">
        <x:v>213</x:v>
      </x:c>
      <x:c r="D1644" s="9" t="n">
        <x:v>2.94</x:v>
      </x:c>
      <x:c r="E1644" s="9" t="n">
        <x:v>1.5</x:v>
      </x:c>
      <x:c r="F1644" s="8" t="n">
        <x:f>C1644*D1644</x:f>
        <x:v>626.22</x:v>
      </x:c>
      <x:c r="G1644" s="8" t="n">
        <x:f>C1644*E1644</x:f>
        <x:v>319.5</x:v>
      </x:c>
      <x:c r="H1644" s="8" t="n">
        <x:f>F1644-G1644</x:f>
        <x:v>306.72</x:v>
      </x:c>
      <x:c r="I1644" s="10" t="n">
        <x:f>H1644/F1644</x:f>
        <x:v>0.489795918367347</x:v>
      </x:c>
    </x:row>
    <x:row r="1645" ht="22" customHeight="1">
      <x:c r="A1645" s="11" t="str">
        <x:v>2495</x:v>
      </x:c>
      <x:c r="B1645" s="8" t="str">
        <x:v>Headphone Adapter for Contoso Phone E130 Black</x:v>
      </x:c>
      <x:c r="C1645" s="8" t="n">
        <x:v>229</x:v>
      </x:c>
      <x:c r="D1645" s="9" t="n">
        <x:v>9.99</x:v>
      </x:c>
      <x:c r="E1645" s="9" t="n">
        <x:v>5.09</x:v>
      </x:c>
      <x:c r="F1645" s="8" t="n">
        <x:f>C1645*D1645</x:f>
        <x:v>2287.71</x:v>
      </x:c>
      <x:c r="G1645" s="8" t="n">
        <x:f>C1645*E1645</x:f>
        <x:v>1165.61</x:v>
      </x:c>
      <x:c r="H1645" s="8" t="n">
        <x:f>F1645-G1645</x:f>
        <x:v>1122.1000000000001</x:v>
      </x:c>
      <x:c r="I1645" s="10" t="n">
        <x:f>H1645/F1645</x:f>
        <x:v>0.49049049049049054</x:v>
      </x:c>
    </x:row>
    <x:row r="1646" ht="22" customHeight="1">
      <x:c r="A1646" s="11" t="str">
        <x:v>2496</x:v>
      </x:c>
      <x:c r="B1646" s="8" t="str">
        <x:v>Headphone Adapter for Contoso Phone E130 Silver</x:v>
      </x:c>
      <x:c r="C1646" s="8" t="n">
        <x:v>182</x:v>
      </x:c>
      <x:c r="D1646" s="9" t="n">
        <x:v>9.99</x:v>
      </x:c>
      <x:c r="E1646" s="9" t="n">
        <x:v>5.09</x:v>
      </x:c>
      <x:c r="F1646" s="8" t="n">
        <x:f>C1646*D1646</x:f>
        <x:v>1818.18</x:v>
      </x:c>
      <x:c r="G1646" s="8" t="n">
        <x:f>C1646*E1646</x:f>
        <x:v>926.38</x:v>
      </x:c>
      <x:c r="H1646" s="8" t="n">
        <x:f>F1646-G1646</x:f>
        <x:v>891.8000000000001</x:v>
      </x:c>
      <x:c r="I1646" s="10" t="n">
        <x:f>H1646/F1646</x:f>
        <x:v>0.49049049049049054</x:v>
      </x:c>
    </x:row>
    <x:row r="1647" ht="22" customHeight="1">
      <x:c r="A1647" s="11" t="str">
        <x:v>2497</x:v>
      </x:c>
      <x:c r="B1647" s="8" t="str">
        <x:v>Headphone Adapter for Contoso Phone E130 White</x:v>
      </x:c>
      <x:c r="C1647" s="8" t="n">
        <x:v>182</x:v>
      </x:c>
      <x:c r="D1647" s="9" t="n">
        <x:v>9.99</x:v>
      </x:c>
      <x:c r="E1647" s="9" t="n">
        <x:v>5.09</x:v>
      </x:c>
      <x:c r="F1647" s="8" t="n">
        <x:f>C1647*D1647</x:f>
        <x:v>1818.18</x:v>
      </x:c>
      <x:c r="G1647" s="8" t="n">
        <x:f>C1647*E1647</x:f>
        <x:v>926.38</x:v>
      </x:c>
      <x:c r="H1647" s="8" t="n">
        <x:f>F1647-G1647</x:f>
        <x:v>891.8000000000001</x:v>
      </x:c>
      <x:c r="I1647" s="10" t="n">
        <x:f>H1647/F1647</x:f>
        <x:v>0.49049049049049054</x:v>
      </x:c>
    </x:row>
    <x:row r="1648" ht="22" customHeight="1">
      <x:c r="A1648" s="11" t="str">
        <x:v>2498</x:v>
      </x:c>
      <x:c r="B1648" s="8" t="str">
        <x:v>Contoso Phone Tough Skin Case E140 Black</x:v>
      </x:c>
      <x:c r="C1648" s="8" t="n">
        <x:v>138</x:v>
      </x:c>
      <x:c r="D1648" s="9" t="n">
        <x:v>23.72</x:v>
      </x:c>
      <x:c r="E1648" s="9" t="n">
        <x:v>12.09</x:v>
      </x:c>
      <x:c r="F1648" s="8" t="n">
        <x:f>C1648*D1648</x:f>
        <x:v>3273.3599999999997</x:v>
      </x:c>
      <x:c r="G1648" s="8" t="n">
        <x:f>C1648*E1648</x:f>
        <x:v>1668.42</x:v>
      </x:c>
      <x:c r="H1648" s="8" t="n">
        <x:f>F1648-G1648</x:f>
        <x:v>1604.9399999999996</x:v>
      </x:c>
      <x:c r="I1648" s="10" t="n">
        <x:f>H1648/F1648</x:f>
        <x:v>0.49030354131534565</x:v>
      </x:c>
    </x:row>
    <x:row r="1649" ht="22" customHeight="1">
      <x:c r="A1649" s="11" t="str">
        <x:v>2499</x:v>
      </x:c>
      <x:c r="B1649" s="8" t="str">
        <x:v>Contoso Phone Tough Skin Case E140 White</x:v>
      </x:c>
      <x:c r="C1649" s="8" t="n">
        <x:v>179</x:v>
      </x:c>
      <x:c r="D1649" s="9" t="n">
        <x:v>23.72</x:v>
      </x:c>
      <x:c r="E1649" s="9" t="n">
        <x:v>12.09</x:v>
      </x:c>
      <x:c r="F1649" s="8" t="n">
        <x:f>C1649*D1649</x:f>
        <x:v>4245.88</x:v>
      </x:c>
      <x:c r="G1649" s="8" t="n">
        <x:f>C1649*E1649</x:f>
        <x:v>2164.11</x:v>
      </x:c>
      <x:c r="H1649" s="8" t="n">
        <x:f>F1649-G1649</x:f>
        <x:v>2081.77</x:v>
      </x:c>
      <x:c r="I1649" s="10" t="n">
        <x:f>H1649/F1649</x:f>
        <x:v>0.4903035413153457</x:v>
      </x:c>
    </x:row>
    <x:row r="1650" ht="22" customHeight="1">
      <x:c r="A1650" s="11" t="str">
        <x:v>25</x:v>
      </x:c>
      <x:c r="B1650" s="8" t="str">
        <x:v>Contoso 16GB Mp5 Player M1600 Black</x:v>
      </x:c>
      <x:c r="C1650" s="8" t="n">
        <x:v>102</x:v>
      </x:c>
      <x:c r="D1650" s="9" t="n">
        <x:v>199.9</x:v>
      </x:c>
      <x:c r="E1650" s="9" t="n">
        <x:v>91.93</x:v>
      </x:c>
      <x:c r="F1650" s="8" t="n">
        <x:f>C1650*D1650</x:f>
        <x:v>20389.8</x:v>
      </x:c>
      <x:c r="G1650" s="8" t="n">
        <x:f>C1650*E1650</x:f>
        <x:v>9376.86</x:v>
      </x:c>
      <x:c r="H1650" s="8" t="n">
        <x:f>F1650-G1650</x:f>
        <x:v>11012.939999999999</x:v>
      </x:c>
      <x:c r="I1650" s="10" t="n">
        <x:f>H1650/F1650</x:f>
        <x:v>0.540120060030015</x:v>
      </x:c>
    </x:row>
    <x:row r="1651" ht="22" customHeight="1">
      <x:c r="A1651" s="11" t="str">
        <x:v>250</x:v>
      </x:c>
      <x:c r="B1651" s="8" t="str">
        <x:v>Contoso Home Theater System 5.1 Channel M1540 Black</x:v>
      </x:c>
      <x:c r="C1651" s="8" t="n">
        <x:v>14</x:v>
      </x:c>
      <x:c r="D1651" s="9" t="n">
        <x:v>529</x:v>
      </x:c>
      <x:c r="E1651" s="9" t="n">
        <x:v>243.27</x:v>
      </x:c>
      <x:c r="F1651" s="8" t="n">
        <x:f>C1651*D1651</x:f>
        <x:v>7406</x:v>
      </x:c>
      <x:c r="G1651" s="8" t="n">
        <x:f>C1651*E1651</x:f>
        <x:v>3405.78</x:v>
      </x:c>
      <x:c r="H1651" s="8" t="n">
        <x:f>F1651-G1651</x:f>
        <x:v>4000.22</x:v>
      </x:c>
      <x:c r="I1651" s="10" t="n">
        <x:f>H1651/F1651</x:f>
        <x:v>0.5401323251417769</x:v>
      </x:c>
    </x:row>
    <x:row r="1652" ht="22" customHeight="1">
      <x:c r="A1652" s="11" t="str">
        <x:v>2500</x:v>
      </x:c>
      <x:c r="B1652" s="8" t="str">
        <x:v>Contoso Phone Tough Skin Case E140 Silver</x:v>
      </x:c>
      <x:c r="C1652" s="8" t="n">
        <x:v>197</x:v>
      </x:c>
      <x:c r="D1652" s="9" t="n">
        <x:v>23.72</x:v>
      </x:c>
      <x:c r="E1652" s="9" t="n">
        <x:v>12.09</x:v>
      </x:c>
      <x:c r="F1652" s="8" t="n">
        <x:f>C1652*D1652</x:f>
        <x:v>4672.84</x:v>
      </x:c>
      <x:c r="G1652" s="8" t="n">
        <x:f>C1652*E1652</x:f>
        <x:v>2381.73</x:v>
      </x:c>
      <x:c r="H1652" s="8" t="n">
        <x:f>F1652-G1652</x:f>
        <x:v>2291.11</x:v>
      </x:c>
      <x:c r="I1652" s="10" t="n">
        <x:f>H1652/F1652</x:f>
        <x:v>0.4903035413153457</x:v>
      </x:c>
    </x:row>
    <x:row r="1653" ht="22" customHeight="1">
      <x:c r="A1653" s="11" t="str">
        <x:v>2501</x:v>
      </x:c>
      <x:c r="B1653" s="8" t="str">
        <x:v>Contoso Phone Tough Skin Case E140 Pink</x:v>
      </x:c>
      <x:c r="C1653" s="8" t="n">
        <x:v>189</x:v>
      </x:c>
      <x:c r="D1653" s="9" t="n">
        <x:v>23.72</x:v>
      </x:c>
      <x:c r="E1653" s="9" t="n">
        <x:v>12.09</x:v>
      </x:c>
      <x:c r="F1653" s="8" t="n">
        <x:f>C1653*D1653</x:f>
        <x:v>4483.08</x:v>
      </x:c>
      <x:c r="G1653" s="8" t="n">
        <x:f>C1653*E1653</x:f>
        <x:v>2285.0099999999998</x:v>
      </x:c>
      <x:c r="H1653" s="8" t="n">
        <x:f>F1653-G1653</x:f>
        <x:v>2198.07</x:v>
      </x:c>
      <x:c r="I1653" s="10" t="n">
        <x:f>H1653/F1653</x:f>
        <x:v>0.49030354131534576</x:v>
      </x:c>
    </x:row>
    <x:row r="1654" ht="22" customHeight="1">
      <x:c r="A1654" s="11" t="str">
        <x:v>2502</x:v>
      </x:c>
      <x:c r="B1654" s="8" t="str">
        <x:v>Contoso Touch Stylus Pen E150 Black</x:v>
      </x:c>
      <x:c r="C1654" s="8" t="n">
        <x:v>172</x:v>
      </x:c>
      <x:c r="D1654" s="9" t="n">
        <x:v>9.99</x:v>
      </x:c>
      <x:c r="E1654" s="9" t="n">
        <x:v>5.09</x:v>
      </x:c>
      <x:c r="F1654" s="8" t="n">
        <x:f>C1654*D1654</x:f>
        <x:v>1718.28</x:v>
      </x:c>
      <x:c r="G1654" s="8" t="n">
        <x:f>C1654*E1654</x:f>
        <x:v>875.48</x:v>
      </x:c>
      <x:c r="H1654" s="8" t="n">
        <x:f>F1654-G1654</x:f>
        <x:v>842.8</x:v>
      </x:c>
      <x:c r="I1654" s="10" t="n">
        <x:f>H1654/F1654</x:f>
        <x:v>0.4904904904904905</x:v>
      </x:c>
    </x:row>
    <x:row r="1655" ht="22" customHeight="1">
      <x:c r="A1655" s="11" t="str">
        <x:v>2503</x:v>
      </x:c>
      <x:c r="B1655" s="8" t="str">
        <x:v>Contoso Touch Stylus Pen E150 Silver</x:v>
      </x:c>
      <x:c r="C1655" s="8" t="n">
        <x:v>176</x:v>
      </x:c>
      <x:c r="D1655" s="9" t="n">
        <x:v>9.99</x:v>
      </x:c>
      <x:c r="E1655" s="9" t="n">
        <x:v>5.09</x:v>
      </x:c>
      <x:c r="F1655" s="8" t="n">
        <x:f>C1655*D1655</x:f>
        <x:v>1758.24</x:v>
      </x:c>
      <x:c r="G1655" s="8" t="n">
        <x:f>C1655*E1655</x:f>
        <x:v>895.8399999999999</x:v>
      </x:c>
      <x:c r="H1655" s="8" t="n">
        <x:f>F1655-G1655</x:f>
        <x:v>862.4000000000001</x:v>
      </x:c>
      <x:c r="I1655" s="10" t="n">
        <x:f>H1655/F1655</x:f>
        <x:v>0.49049049049049054</x:v>
      </x:c>
    </x:row>
    <x:row r="1656" ht="22" customHeight="1">
      <x:c r="A1656" s="11" t="str">
        <x:v>2504</x:v>
      </x:c>
      <x:c r="B1656" s="8" t="str">
        <x:v>Contoso Touch Stylus Pen E150 White</x:v>
      </x:c>
      <x:c r="C1656" s="8" t="n">
        <x:v>167</x:v>
      </x:c>
      <x:c r="D1656" s="9" t="n">
        <x:v>9.99</x:v>
      </x:c>
      <x:c r="E1656" s="9" t="n">
        <x:v>5.09</x:v>
      </x:c>
      <x:c r="F1656" s="8" t="n">
        <x:f>C1656*D1656</x:f>
        <x:v>1668.33</x:v>
      </x:c>
      <x:c r="G1656" s="8" t="n">
        <x:f>C1656*E1656</x:f>
        <x:v>850.03</x:v>
      </x:c>
      <x:c r="H1656" s="8" t="n">
        <x:f>F1656-G1656</x:f>
        <x:v>818.3</x:v>
      </x:c>
      <x:c r="I1656" s="10" t="n">
        <x:f>H1656/F1656</x:f>
        <x:v>0.4904904904904905</x:v>
      </x:c>
    </x:row>
    <x:row r="1657" ht="22" customHeight="1">
      <x:c r="A1657" s="11" t="str">
        <x:v>2505</x:v>
      </x:c>
      <x:c r="B1657" s="8" t="str">
        <x:v>Contoso Touch Stylus Pen E150 Red</x:v>
      </x:c>
      <x:c r="C1657" s="8" t="n">
        <x:v>167</x:v>
      </x:c>
      <x:c r="D1657" s="9" t="n">
        <x:v>9.99</x:v>
      </x:c>
      <x:c r="E1657" s="9" t="n">
        <x:v>5.09</x:v>
      </x:c>
      <x:c r="F1657" s="8" t="n">
        <x:f>C1657*D1657</x:f>
        <x:v>1668.33</x:v>
      </x:c>
      <x:c r="G1657" s="8" t="n">
        <x:f>C1657*E1657</x:f>
        <x:v>850.03</x:v>
      </x:c>
      <x:c r="H1657" s="8" t="n">
        <x:f>F1657-G1657</x:f>
        <x:v>818.3</x:v>
      </x:c>
      <x:c r="I1657" s="10" t="n">
        <x:f>H1657/F1657</x:f>
        <x:v>0.4904904904904905</x:v>
      </x:c>
    </x:row>
    <x:row r="1658" ht="22" customHeight="1">
      <x:c r="A1658" s="11" t="str">
        <x:v>2506</x:v>
      </x:c>
      <x:c r="B1658" s="8" t="str">
        <x:v>Contoso Rubberized Snap-On Cover Hard Case Cell Phone Protector E160 Pink</x:v>
      </x:c>
      <x:c r="C1658" s="8" t="n">
        <x:v>180</x:v>
      </x:c>
      <x:c r="D1658" s="9" t="n">
        <x:v>4.74</x:v>
      </x:c>
      <x:c r="E1658" s="9" t="n">
        <x:v>2.42</x:v>
      </x:c>
      <x:c r="F1658" s="8" t="n">
        <x:f>C1658*D1658</x:f>
        <x:v>853.2</x:v>
      </x:c>
      <x:c r="G1658" s="8" t="n">
        <x:f>C1658*E1658</x:f>
        <x:v>435.59999999999997</x:v>
      </x:c>
      <x:c r="H1658" s="8" t="n">
        <x:f>F1658-G1658</x:f>
        <x:v>417.6000000000001</x:v>
      </x:c>
      <x:c r="I1658" s="10" t="n">
        <x:f>H1658/F1658</x:f>
        <x:v>0.489451476793249</x:v>
      </x:c>
    </x:row>
    <x:row r="1659" ht="22" customHeight="1">
      <x:c r="A1659" s="11" t="str">
        <x:v>2507</x:v>
      </x:c>
      <x:c r="B1659" s="8" t="str">
        <x:v>Contoso Rubberized Snap-On Cover Hard Case Cell Phone Protector E160 White</x:v>
      </x:c>
      <x:c r="C1659" s="8" t="n">
        <x:v>132</x:v>
      </x:c>
      <x:c r="D1659" s="9" t="n">
        <x:v>4.74</x:v>
      </x:c>
      <x:c r="E1659" s="9" t="n">
        <x:v>2.42</x:v>
      </x:c>
      <x:c r="F1659" s="8" t="n">
        <x:f>C1659*D1659</x:f>
        <x:v>625.6800000000001</x:v>
      </x:c>
      <x:c r="G1659" s="8" t="n">
        <x:f>C1659*E1659</x:f>
        <x:v>319.44</x:v>
      </x:c>
      <x:c r="H1659" s="8" t="n">
        <x:f>F1659-G1659</x:f>
        <x:v>306.24000000000007</x:v>
      </x:c>
      <x:c r="I1659" s="10" t="n">
        <x:f>H1659/F1659</x:f>
        <x:v>0.489451476793249</x:v>
      </x:c>
    </x:row>
    <x:row r="1660" ht="22" customHeight="1">
      <x:c r="A1660" s="11" t="str">
        <x:v>2508</x:v>
      </x:c>
      <x:c r="B1660" s="8" t="str">
        <x:v>Contoso Rubberized Snap-On Cover Hard Case Cell Phone Protector E160 Silver</x:v>
      </x:c>
      <x:c r="C1660" s="8" t="n">
        <x:v>188</x:v>
      </x:c>
      <x:c r="D1660" s="9" t="n">
        <x:v>4.74</x:v>
      </x:c>
      <x:c r="E1660" s="9" t="n">
        <x:v>2.42</x:v>
      </x:c>
      <x:c r="F1660" s="8" t="n">
        <x:f>C1660*D1660</x:f>
        <x:v>891.12</x:v>
      </x:c>
      <x:c r="G1660" s="8" t="n">
        <x:f>C1660*E1660</x:f>
        <x:v>454.96</x:v>
      </x:c>
      <x:c r="H1660" s="8" t="n">
        <x:f>F1660-G1660</x:f>
        <x:v>436.16</x:v>
      </x:c>
      <x:c r="I1660" s="10" t="n">
        <x:f>H1660/F1660</x:f>
        <x:v>0.48945147679324896</x:v>
      </x:c>
    </x:row>
    <x:row r="1661" ht="22" customHeight="1">
      <x:c r="A1661" s="11" t="str">
        <x:v>2509</x:v>
      </x:c>
      <x:c r="B1661" s="8" t="str">
        <x:v>Contoso Original K1m Li-Ion Standard Battery E170 Black</x:v>
      </x:c>
      <x:c r="C1661" s="8" t="n">
        <x:v>191</x:v>
      </x:c>
      <x:c r="D1661" s="9" t="n">
        <x:v>4.06</x:v>
      </x:c>
      <x:c r="E1661" s="9" t="n">
        <x:v>2.07</x:v>
      </x:c>
      <x:c r="F1661" s="8" t="n">
        <x:f>C1661*D1661</x:f>
        <x:v>775.4599999999999</x:v>
      </x:c>
      <x:c r="G1661" s="8" t="n">
        <x:f>C1661*E1661</x:f>
        <x:v>395.36999999999995</x:v>
      </x:c>
      <x:c r="H1661" s="8" t="n">
        <x:f>F1661-G1661</x:f>
        <x:v>380.09</x:v>
      </x:c>
      <x:c r="I1661" s="10" t="n">
        <x:f>H1661/F1661</x:f>
        <x:v>0.49014778325123154</x:v>
      </x:c>
    </x:row>
    <x:row r="1662" ht="22" customHeight="1">
      <x:c r="A1662" s="11" t="str">
        <x:v>251</x:v>
      </x:c>
      <x:c r="B1662" s="8" t="str">
        <x:v>Contoso Home Theater System 4.1 Channel M1420 Black</x:v>
      </x:c>
      <x:c r="C1662" s="8" t="n">
        <x:v>25</x:v>
      </x:c>
      <x:c r="D1662" s="9" t="n">
        <x:v>480</x:v>
      </x:c>
      <x:c r="E1662" s="9" t="n">
        <x:v>244.72</x:v>
      </x:c>
      <x:c r="F1662" s="8" t="n">
        <x:f>C1662*D1662</x:f>
        <x:v>12000</x:v>
      </x:c>
      <x:c r="G1662" s="8" t="n">
        <x:f>C1662*E1662</x:f>
        <x:v>6118</x:v>
      </x:c>
      <x:c r="H1662" s="8" t="n">
        <x:f>F1662-G1662</x:f>
        <x:v>5882</x:v>
      </x:c>
      <x:c r="I1662" s="10" t="n">
        <x:f>H1662/F1662</x:f>
        <x:v>0.49016666666666664</x:v>
      </x:c>
    </x:row>
    <x:row r="1663" ht="22" customHeight="1">
      <x:c r="A1663" s="11" t="str">
        <x:v>2510</x:v>
      </x:c>
      <x:c r="B1663" s="8" t="str">
        <x:v>Contoso Original K1m Li-Ion Standard Battery E170 White</x:v>
      </x:c>
      <x:c r="C1663" s="8" t="n">
        <x:v>153</x:v>
      </x:c>
      <x:c r="D1663" s="9" t="n">
        <x:v>4.06</x:v>
      </x:c>
      <x:c r="E1663" s="9" t="n">
        <x:v>2.07</x:v>
      </x:c>
      <x:c r="F1663" s="8" t="n">
        <x:f>C1663*D1663</x:f>
        <x:v>621.18</x:v>
      </x:c>
      <x:c r="G1663" s="8" t="n">
        <x:f>C1663*E1663</x:f>
        <x:v>316.71</x:v>
      </x:c>
      <x:c r="H1663" s="8" t="n">
        <x:f>F1663-G1663</x:f>
        <x:v>304.46999999999997</x:v>
      </x:c>
      <x:c r="I1663" s="10" t="n">
        <x:f>H1663/F1663</x:f>
        <x:v>0.49014778325123154</x:v>
      </x:c>
    </x:row>
    <x:row r="1664" ht="22" customHeight="1">
      <x:c r="A1664" s="11" t="str">
        <x:v>2511</x:v>
      </x:c>
      <x:c r="B1664" s="8" t="str">
        <x:v>Contoso Original K1m Li-Ion Standard Battery E170 Silver</x:v>
      </x:c>
      <x:c r="C1664" s="8" t="n">
        <x:v>198</x:v>
      </x:c>
      <x:c r="D1664" s="9" t="n">
        <x:v>4.06</x:v>
      </x:c>
      <x:c r="E1664" s="9" t="n">
        <x:v>2.07</x:v>
      </x:c>
      <x:c r="F1664" s="8" t="n">
        <x:f>C1664*D1664</x:f>
        <x:v>803.8799999999999</x:v>
      </x:c>
      <x:c r="G1664" s="8" t="n">
        <x:f>C1664*E1664</x:f>
        <x:v>409.85999999999996</x:v>
      </x:c>
      <x:c r="H1664" s="8" t="n">
        <x:f>F1664-G1664</x:f>
        <x:v>394.0199999999999</x:v>
      </x:c>
      <x:c r="I1664" s="10" t="n">
        <x:f>H1664/F1664</x:f>
        <x:v>0.4901477832512315</x:v>
      </x:c>
    </x:row>
    <x:row r="1665" ht="22" customHeight="1">
      <x:c r="A1665" s="11" t="str">
        <x:v>2512</x:v>
      </x:c>
      <x:c r="B1665" s="8" t="str">
        <x:v>Contoso Bluetooth Active Headphones L15 Black</x:v>
      </x:c>
      <x:c r="C1665" s="8" t="n">
        <x:v>174</x:v>
      </x:c>
      <x:c r="D1665" s="9" t="n">
        <x:v>129.99</x:v>
      </x:c>
      <x:c r="E1665" s="9" t="n">
        <x:v>43.07</x:v>
      </x:c>
      <x:c r="F1665" s="8" t="n">
        <x:f>C1665*D1665</x:f>
        <x:v>22618.260000000002</x:v>
      </x:c>
      <x:c r="G1665" s="8" t="n">
        <x:f>C1665*E1665</x:f>
        <x:v>7494.18</x:v>
      </x:c>
      <x:c r="H1665" s="8" t="n">
        <x:f>F1665-G1665</x:f>
        <x:v>15124.080000000002</x:v>
      </x:c>
      <x:c r="I1665" s="10" t="n">
        <x:f>H1665/F1665</x:f>
        <x:v>0.6686668205246558</x:v>
      </x:c>
    </x:row>
    <x:row r="1666" ht="22" customHeight="1">
      <x:c r="A1666" s="11" t="str">
        <x:v>2513</x:v>
      </x:c>
      <x:c r="B1666" s="8" t="str">
        <x:v>Contoso Bluetooth Active Headphones L15 Red</x:v>
      </x:c>
      <x:c r="C1666" s="8" t="n">
        <x:v>163</x:v>
      </x:c>
      <x:c r="D1666" s="9" t="n">
        <x:v>129.99</x:v>
      </x:c>
      <x:c r="E1666" s="9" t="n">
        <x:v>43.07</x:v>
      </x:c>
      <x:c r="F1666" s="8" t="n">
        <x:f>C1666*D1666</x:f>
        <x:v>21188.370000000003</x:v>
      </x:c>
      <x:c r="G1666" s="8" t="n">
        <x:f>C1666*E1666</x:f>
        <x:v>7020.41</x:v>
      </x:c>
      <x:c r="H1666" s="8" t="n">
        <x:f>F1666-G1666</x:f>
        <x:v>14167.960000000003</x:v>
      </x:c>
      <x:c r="I1666" s="10" t="n">
        <x:f>H1666/F1666</x:f>
        <x:v>0.6686668205246558</x:v>
      </x:c>
    </x:row>
    <x:row r="1667" ht="22" customHeight="1">
      <x:c r="A1667" s="11" t="str">
        <x:v>2514</x:v>
      </x:c>
      <x:c r="B1667" s="8" t="str">
        <x:v>Contoso Bluetooth Active Headphones L15 White</x:v>
      </x:c>
      <x:c r="C1667" s="8" t="n">
        <x:v>211</x:v>
      </x:c>
      <x:c r="D1667" s="9" t="n">
        <x:v>129.99</x:v>
      </x:c>
      <x:c r="E1667" s="9" t="n">
        <x:v>43.07</x:v>
      </x:c>
      <x:c r="F1667" s="8" t="n">
        <x:f>C1667*D1667</x:f>
        <x:v>27427.890000000003</x:v>
      </x:c>
      <x:c r="G1667" s="8" t="n">
        <x:f>C1667*E1667</x:f>
        <x:v>9087.77</x:v>
      </x:c>
      <x:c r="H1667" s="8" t="n">
        <x:f>F1667-G1667</x:f>
        <x:v>18340.120000000003</x:v>
      </x:c>
      <x:c r="I1667" s="10" t="n">
        <x:f>H1667/F1667</x:f>
        <x:v>0.6686668205246558</x:v>
      </x:c>
    </x:row>
    <x:row r="1668" ht="22" customHeight="1">
      <x:c r="A1668" s="11" t="str">
        <x:v>2515</x:v>
      </x:c>
      <x:c r="B1668" s="8" t="str">
        <x:v>Contoso In-Line Coupler E180 White</x:v>
      </x:c>
      <x:c r="C1668" s="8" t="n">
        <x:v>178</x:v>
      </x:c>
      <x:c r="D1668" s="9" t="n">
        <x:v>3.35</x:v>
      </x:c>
      <x:c r="E1668" s="9" t="n">
        <x:v>1.71</x:v>
      </x:c>
      <x:c r="F1668" s="8" t="n">
        <x:f>C1668*D1668</x:f>
        <x:v>596.3000000000001</x:v>
      </x:c>
      <x:c r="G1668" s="8" t="n">
        <x:f>C1668*E1668</x:f>
        <x:v>304.38</x:v>
      </x:c>
      <x:c r="H1668" s="8" t="n">
        <x:f>F1668-G1668</x:f>
        <x:v>291.9200000000001</x:v>
      </x:c>
      <x:c r="I1668" s="10" t="n">
        <x:f>H1668/F1668</x:f>
        <x:v>0.4895522388059702</x:v>
      </x:c>
    </x:row>
    <x:row r="1669" ht="22" customHeight="1">
      <x:c r="A1669" s="11" t="str">
        <x:v>2516</x:v>
      </x:c>
      <x:c r="B1669" s="8" t="str">
        <x:v>Contoso In-Line Coupler E180 Black</x:v>
      </x:c>
      <x:c r="C1669" s="8" t="n">
        <x:v>156</x:v>
      </x:c>
      <x:c r="D1669" s="9" t="n">
        <x:v>3.35</x:v>
      </x:c>
      <x:c r="E1669" s="9" t="n">
        <x:v>1.71</x:v>
      </x:c>
      <x:c r="F1669" s="8" t="n">
        <x:f>C1669*D1669</x:f>
        <x:v>522.6</x:v>
      </x:c>
      <x:c r="G1669" s="8" t="n">
        <x:f>C1669*E1669</x:f>
        <x:v>266.76</x:v>
      </x:c>
      <x:c r="H1669" s="8" t="n">
        <x:f>F1669-G1669</x:f>
        <x:v>255.84000000000003</x:v>
      </x:c>
      <x:c r="I1669" s="10" t="n">
        <x:f>H1669/F1669</x:f>
        <x:v>0.4895522388059702</x:v>
      </x:c>
    </x:row>
    <x:row r="1670" ht="22" customHeight="1">
      <x:c r="A1670" s="11" t="str">
        <x:v>2517</x:v>
      </x:c>
      <x:c r="B1670" s="8" t="str">
        <x:v>Contoso In-Line Coupler E180 Silver</x:v>
      </x:c>
      <x:c r="C1670" s="8" t="n">
        <x:v>175</x:v>
      </x:c>
      <x:c r="D1670" s="9" t="n">
        <x:v>3.35</x:v>
      </x:c>
      <x:c r="E1670" s="9" t="n">
        <x:v>1.71</x:v>
      </x:c>
      <x:c r="F1670" s="8" t="n">
        <x:f>C1670*D1670</x:f>
        <x:v>586.25</x:v>
      </x:c>
      <x:c r="G1670" s="8" t="n">
        <x:f>C1670*E1670</x:f>
        <x:v>299.25</x:v>
      </x:c>
      <x:c r="H1670" s="8" t="n">
        <x:f>F1670-G1670</x:f>
        <x:v>287</x:v>
      </x:c>
      <x:c r="I1670" s="10" t="n">
        <x:f>H1670/F1670</x:f>
        <x:v>0.48955223880597015</x:v>
      </x:c>
    </x:row>
    <x:row r="1671" ht="22" customHeight="1">
      <x:c r="A1671" s="11" t="str">
        <x:v>252</x:v>
      </x:c>
      <x:c r="B1671" s="8" t="str">
        <x:v>Contoso Home Theater System 2.1 Channel M1230 Black</x:v>
      </x:c>
      <x:c r="C1671" s="8" t="n">
        <x:v>18</x:v>
      </x:c>
      <x:c r="D1671" s="9" t="n">
        <x:v>360</x:v>
      </x:c>
      <x:c r="E1671" s="9" t="n">
        <x:v>183.54</x:v>
      </x:c>
      <x:c r="F1671" s="8" t="n">
        <x:f>C1671*D1671</x:f>
        <x:v>6480</x:v>
      </x:c>
      <x:c r="G1671" s="8" t="n">
        <x:f>C1671*E1671</x:f>
        <x:v>3303.72</x:v>
      </x:c>
      <x:c r="H1671" s="8" t="n">
        <x:f>F1671-G1671</x:f>
        <x:v>3176.28</x:v>
      </x:c>
      <x:c r="I1671" s="10" t="n">
        <x:f>H1671/F1671</x:f>
        <x:v>0.4901666666666667</x:v>
      </x:c>
    </x:row>
    <x:row r="1672" ht="22" customHeight="1">
      <x:c r="A1672" s="11" t="str">
        <x:v>253</x:v>
      </x:c>
      <x:c r="B1672" s="8" t="str">
        <x:v>Contoso Home Theater System 2.1 Channel E1200 Silver</x:v>
      </x:c>
      <x:c r="C1672" s="8" t="n">
        <x:v>18</x:v>
      </x:c>
      <x:c r="D1672" s="9" t="n">
        <x:v>299</x:v>
      </x:c>
      <x:c r="E1672" s="9" t="n">
        <x:v>152.44</x:v>
      </x:c>
      <x:c r="F1672" s="8" t="n">
        <x:f>C1672*D1672</x:f>
        <x:v>5382</x:v>
      </x:c>
      <x:c r="G1672" s="8" t="n">
        <x:f>C1672*E1672</x:f>
        <x:v>2743.92</x:v>
      </x:c>
      <x:c r="H1672" s="8" t="n">
        <x:f>F1672-G1672</x:f>
        <x:v>2638.08</x:v>
      </x:c>
      <x:c r="I1672" s="10" t="n">
        <x:f>H1672/F1672</x:f>
        <x:v>0.4901672240802675</x:v>
      </x:c>
    </x:row>
    <x:row r="1673" ht="22" customHeight="1">
      <x:c r="A1673" s="11" t="str">
        <x:v>254</x:v>
      </x:c>
      <x:c r="B1673" s="8" t="str">
        <x:v>Contoso Home Theater System 2.1 Channel M1210 Silver</x:v>
      </x:c>
      <x:c r="C1673" s="8" t="n">
        <x:v>10</x:v>
      </x:c>
      <x:c r="D1673" s="9" t="n">
        <x:v>329</x:v>
      </x:c>
      <x:c r="E1673" s="9" t="n">
        <x:v>167.73</x:v>
      </x:c>
      <x:c r="F1673" s="8" t="n">
        <x:f>C1673*D1673</x:f>
        <x:v>3290</x:v>
      </x:c>
      <x:c r="G1673" s="8" t="n">
        <x:f>C1673*E1673</x:f>
        <x:v>1677.3</x:v>
      </x:c>
      <x:c r="H1673" s="8" t="n">
        <x:f>F1673-G1673</x:f>
        <x:v>1612.7</x:v>
      </x:c>
      <x:c r="I1673" s="10" t="n">
        <x:f>H1673/F1673</x:f>
        <x:v>0.49018237082066873</x:v>
      </x:c>
    </x:row>
    <x:row r="1674" ht="22" customHeight="1">
      <x:c r="A1674" s="11" t="str">
        <x:v>255</x:v>
      </x:c>
      <x:c r="B1674" s="8" t="str">
        <x:v>Contoso Home Theater System 7.1 Channel M1700 Silver</x:v>
      </x:c>
      <x:c r="C1674" s="8" t="n">
        <x:v>34</x:v>
      </x:c>
      <x:c r="D1674" s="9" t="n">
        <x:v>889</x:v>
      </x:c>
      <x:c r="E1674" s="9" t="n">
        <x:v>294.54</x:v>
      </x:c>
      <x:c r="F1674" s="8" t="n">
        <x:f>C1674*D1674</x:f>
        <x:v>30226</x:v>
      </x:c>
      <x:c r="G1674" s="8" t="n">
        <x:f>C1674*E1674</x:f>
        <x:v>10014.36</x:v>
      </x:c>
      <x:c r="H1674" s="8" t="n">
        <x:f>F1674-G1674</x:f>
        <x:v>20211.64</x:v>
      </x:c>
      <x:c r="I1674" s="10" t="n">
        <x:f>H1674/F1674</x:f>
        <x:v>0.6686839145106861</x:v>
      </x:c>
    </x:row>
    <x:row r="1675" ht="22" customHeight="1">
      <x:c r="A1675" s="11" t="str">
        <x:v>256</x:v>
      </x:c>
      <x:c r="B1675" s="8" t="str">
        <x:v>Contoso Home Theater System 4.1 Channel M1400 Silver</x:v>
      </x:c>
      <x:c r="C1675" s="8" t="n">
        <x:v>5</x:v>
      </x:c>
      <x:c r="D1675" s="9" t="n">
        <x:v>409</x:v>
      </x:c>
      <x:c r="E1675" s="9" t="n">
        <x:v>208.52</x:v>
      </x:c>
      <x:c r="F1675" s="8" t="n">
        <x:f>C1675*D1675</x:f>
        <x:v>2045</x:v>
      </x:c>
      <x:c r="G1675" s="8" t="n">
        <x:f>C1675*E1675</x:f>
        <x:v>1042.6000000000001</x:v>
      </x:c>
      <x:c r="H1675" s="8" t="n">
        <x:f>F1675-G1675</x:f>
        <x:v>1002.3999999999999</x:v>
      </x:c>
      <x:c r="I1675" s="10" t="n">
        <x:f>H1675/F1675</x:f>
        <x:v>0.4901711491442542</x:v>
      </x:c>
    </x:row>
    <x:row r="1676" ht="22" customHeight="1">
      <x:c r="A1676" s="11" t="str">
        <x:v>257</x:v>
      </x:c>
      <x:c r="B1676" s="8" t="str">
        <x:v>Contoso Home Theater System 5.1 Channel M1500 Silver</x:v>
      </x:c>
      <x:c r="C1676" s="8" t="n">
        <x:v>21</x:v>
      </x:c>
      <x:c r="D1676" s="9" t="n">
        <x:v>429</x:v>
      </x:c>
      <x:c r="E1676" s="9" t="n">
        <x:v>197.28</x:v>
      </x:c>
      <x:c r="F1676" s="8" t="n">
        <x:f>C1676*D1676</x:f>
        <x:v>9009</x:v>
      </x:c>
      <x:c r="G1676" s="8" t="n">
        <x:f>C1676*E1676</x:f>
        <x:v>4142.88</x:v>
      </x:c>
      <x:c r="H1676" s="8" t="n">
        <x:f>F1676-G1676</x:f>
        <x:v>4866.12</x:v>
      </x:c>
      <x:c r="I1676" s="10" t="n">
        <x:f>H1676/F1676</x:f>
        <x:v>0.5401398601398602</x:v>
      </x:c>
    </x:row>
    <x:row r="1677" ht="22" customHeight="1">
      <x:c r="A1677" s="11" t="str">
        <x:v>258</x:v>
      </x:c>
      <x:c r="B1677" s="8" t="str">
        <x:v>Contoso Home Theater System 5.1 Channel M1510 Silver</x:v>
      </x:c>
      <x:c r="C1677" s="8" t="n">
        <x:v>16</x:v>
      </x:c>
      <x:c r="D1677" s="9" t="n">
        <x:v>489</x:v>
      </x:c>
      <x:c r="E1677" s="9" t="n">
        <x:v>224.87</x:v>
      </x:c>
      <x:c r="F1677" s="8" t="n">
        <x:f>C1677*D1677</x:f>
        <x:v>7824</x:v>
      </x:c>
      <x:c r="G1677" s="8" t="n">
        <x:f>C1677*E1677</x:f>
        <x:v>3597.92</x:v>
      </x:c>
      <x:c r="H1677" s="8" t="n">
        <x:f>F1677-G1677</x:f>
        <x:v>4226.08</x:v>
      </x:c>
      <x:c r="I1677" s="10" t="n">
        <x:f>H1677/F1677</x:f>
        <x:v>0.5401431492842536</x:v>
      </x:c>
    </x:row>
    <x:row r="1678" ht="22" customHeight="1">
      <x:c r="A1678" s="11" t="str">
        <x:v>259</x:v>
      </x:c>
      <x:c r="B1678" s="8" t="str">
        <x:v>Contoso Home Theater System 4.1 Channel M1410 Silver</x:v>
      </x:c>
      <x:c r="C1678" s="8" t="n">
        <x:v>21</x:v>
      </x:c>
      <x:c r="D1678" s="9" t="n">
        <x:v>329</x:v>
      </x:c>
      <x:c r="E1678" s="9" t="n">
        <x:v>167.73</x:v>
      </x:c>
      <x:c r="F1678" s="8" t="n">
        <x:f>C1678*D1678</x:f>
        <x:v>6909</x:v>
      </x:c>
      <x:c r="G1678" s="8" t="n">
        <x:f>C1678*E1678</x:f>
        <x:v>3522.33</x:v>
      </x:c>
      <x:c r="H1678" s="8" t="n">
        <x:f>F1678-G1678</x:f>
        <x:v>3386.67</x:v>
      </x:c>
      <x:c r="I1678" s="10" t="n">
        <x:f>H1678/F1678</x:f>
        <x:v>0.4901823708206687</x:v>
      </x:c>
    </x:row>
    <x:row r="1679" ht="22" customHeight="1">
      <x:c r="A1679" s="11" t="str">
        <x:v>26</x:v>
      </x:c>
      <x:c r="B1679" s="8" t="str">
        <x:v>Contoso 16GB Mp5 Player M1600 Green</x:v>
      </x:c>
      <x:c r="C1679" s="8" t="n">
        <x:v>60</x:v>
      </x:c>
      <x:c r="D1679" s="9" t="n">
        <x:v>199.9</x:v>
      </x:c>
      <x:c r="E1679" s="9" t="n">
        <x:v>91.93</x:v>
      </x:c>
      <x:c r="F1679" s="8" t="n">
        <x:f>C1679*D1679</x:f>
        <x:v>11994</x:v>
      </x:c>
      <x:c r="G1679" s="8" t="n">
        <x:f>C1679*E1679</x:f>
        <x:v>5515.8</x:v>
      </x:c>
      <x:c r="H1679" s="8" t="n">
        <x:f>F1679-G1679</x:f>
        <x:v>6478.2</x:v>
      </x:c>
      <x:c r="I1679" s="10" t="n">
        <x:f>H1679/F1679</x:f>
        <x:v>0.540120060030015</x:v>
      </x:c>
    </x:row>
    <x:row r="1680" ht="22" customHeight="1">
      <x:c r="A1680" s="11" t="str">
        <x:v>260</x:v>
      </x:c>
      <x:c r="B1680" s="8" t="str">
        <x:v>Contoso Home Theater System 5.1 Channel M1520 Silver</x:v>
      </x:c>
      <x:c r="C1680" s="8" t="n">
        <x:v>11</x:v>
      </x:c>
      <x:c r="D1680" s="9" t="n">
        <x:v>339</x:v>
      </x:c>
      <x:c r="E1680" s="9" t="n">
        <x:v>155.89</x:v>
      </x:c>
      <x:c r="F1680" s="8" t="n">
        <x:f>C1680*D1680</x:f>
        <x:v>3729</x:v>
      </x:c>
      <x:c r="G1680" s="8" t="n">
        <x:f>C1680*E1680</x:f>
        <x:v>1714.79</x:v>
      </x:c>
      <x:c r="H1680" s="8" t="n">
        <x:f>F1680-G1680</x:f>
        <x:v>2014.21</x:v>
      </x:c>
      <x:c r="I1680" s="10" t="n">
        <x:f>H1680/F1680</x:f>
        <x:v>0.5401474926253688</x:v>
      </x:c>
    </x:row>
    <x:row r="1681" ht="22" customHeight="1">
      <x:c r="A1681" s="11" t="str">
        <x:v>261</x:v>
      </x:c>
      <x:c r="B1681" s="8" t="str">
        <x:v>Contoso Home Theater System 5.1 Channel M1530 Silver</x:v>
      </x:c>
      <x:c r="C1681" s="8" t="n">
        <x:v>9</x:v>
      </x:c>
      <x:c r="D1681" s="9" t="n">
        <x:v>399</x:v>
      </x:c>
      <x:c r="E1681" s="9" t="n">
        <x:v>183.49</x:v>
      </x:c>
      <x:c r="F1681" s="8" t="n">
        <x:f>C1681*D1681</x:f>
        <x:v>3591</x:v>
      </x:c>
      <x:c r="G1681" s="8" t="n">
        <x:f>C1681*E1681</x:f>
        <x:v>1651.41</x:v>
      </x:c>
      <x:c r="H1681" s="8" t="n">
        <x:f>F1681-G1681</x:f>
        <x:v>1939.59</x:v>
      </x:c>
      <x:c r="I1681" s="10" t="n">
        <x:f>H1681/F1681</x:f>
        <x:v>0.540125313283208</x:v>
      </x:c>
    </x:row>
    <x:row r="1682" ht="22" customHeight="1">
      <x:c r="A1682" s="11" t="str">
        <x:v>262</x:v>
      </x:c>
      <x:c r="B1682" s="8" t="str">
        <x:v>Contoso Home Theater System 2.1 Channel E1220 Silver</x:v>
      </x:c>
      <x:c r="C1682" s="8" t="n">
        <x:v>7</x:v>
      </x:c>
      <x:c r="D1682" s="9" t="n">
        <x:v>199</x:v>
      </x:c>
      <x:c r="E1682" s="9" t="n">
        <x:v>101.46</x:v>
      </x:c>
      <x:c r="F1682" s="8" t="n">
        <x:f>C1682*D1682</x:f>
        <x:v>1393</x:v>
      </x:c>
      <x:c r="G1682" s="8" t="n">
        <x:f>C1682*E1682</x:f>
        <x:v>710.2199999999999</x:v>
      </x:c>
      <x:c r="H1682" s="8" t="n">
        <x:f>F1682-G1682</x:f>
        <x:v>682.7800000000001</x:v>
      </x:c>
      <x:c r="I1682" s="10" t="n">
        <x:f>H1682/F1682</x:f>
        <x:v>0.49015075376884426</x:v>
      </x:c>
    </x:row>
    <x:row r="1683" ht="22" customHeight="1">
      <x:c r="A1683" s="11" t="str">
        <x:v>263</x:v>
      </x:c>
      <x:c r="B1683" s="8" t="str">
        <x:v>Contoso Home Theater System 5.1 Channel M1540 Silver</x:v>
      </x:c>
      <x:c r="C1683" s="8" t="n">
        <x:v>14</x:v>
      </x:c>
      <x:c r="D1683" s="9" t="n">
        <x:v>529</x:v>
      </x:c>
      <x:c r="E1683" s="9" t="n">
        <x:v>243.27</x:v>
      </x:c>
      <x:c r="F1683" s="8" t="n">
        <x:f>C1683*D1683</x:f>
        <x:v>7406</x:v>
      </x:c>
      <x:c r="G1683" s="8" t="n">
        <x:f>C1683*E1683</x:f>
        <x:v>3405.78</x:v>
      </x:c>
      <x:c r="H1683" s="8" t="n">
        <x:f>F1683-G1683</x:f>
        <x:v>4000.22</x:v>
      </x:c>
      <x:c r="I1683" s="10" t="n">
        <x:f>H1683/F1683</x:f>
        <x:v>0.5401323251417769</x:v>
      </x:c>
    </x:row>
    <x:row r="1684" ht="22" customHeight="1">
      <x:c r="A1684" s="11" t="str">
        <x:v>264</x:v>
      </x:c>
      <x:c r="B1684" s="8" t="str">
        <x:v>Contoso Home Theater System 4.1 Channel M1420 Silver</x:v>
      </x:c>
      <x:c r="C1684" s="8" t="n">
        <x:v>19</x:v>
      </x:c>
      <x:c r="D1684" s="9" t="n">
        <x:v>480</x:v>
      </x:c>
      <x:c r="E1684" s="9" t="n">
        <x:v>244.72</x:v>
      </x:c>
      <x:c r="F1684" s="8" t="n">
        <x:f>C1684*D1684</x:f>
        <x:v>9120</x:v>
      </x:c>
      <x:c r="G1684" s="8" t="n">
        <x:f>C1684*E1684</x:f>
        <x:v>4649.68</x:v>
      </x:c>
      <x:c r="H1684" s="8" t="n">
        <x:f>F1684-G1684</x:f>
        <x:v>4470.32</x:v>
      </x:c>
      <x:c r="I1684" s="10" t="n">
        <x:f>H1684/F1684</x:f>
        <x:v>0.49016666666666664</x:v>
      </x:c>
    </x:row>
    <x:row r="1685" ht="22" customHeight="1">
      <x:c r="A1685" s="11" t="str">
        <x:v>265</x:v>
      </x:c>
      <x:c r="B1685" s="8" t="str">
        <x:v>Contoso Home Theater System 2.1 Channel M1230 Silver</x:v>
      </x:c>
      <x:c r="C1685" s="8" t="n">
        <x:v>21</x:v>
      </x:c>
      <x:c r="D1685" s="9" t="n">
        <x:v>360</x:v>
      </x:c>
      <x:c r="E1685" s="9" t="n">
        <x:v>183.54</x:v>
      </x:c>
      <x:c r="F1685" s="8" t="n">
        <x:f>C1685*D1685</x:f>
        <x:v>7560</x:v>
      </x:c>
      <x:c r="G1685" s="8" t="n">
        <x:f>C1685*E1685</x:f>
        <x:v>3854.3399999999997</x:v>
      </x:c>
      <x:c r="H1685" s="8" t="n">
        <x:f>F1685-G1685</x:f>
        <x:v>3705.6600000000003</x:v>
      </x:c>
      <x:c r="I1685" s="10" t="n">
        <x:f>H1685/F1685</x:f>
        <x:v>0.4901666666666667</x:v>
      </x:c>
    </x:row>
    <x:row r="1686" ht="22" customHeight="1">
      <x:c r="A1686" s="11" t="str">
        <x:v>266</x:v>
      </x:c>
      <x:c r="B1686" s="8" t="str">
        <x:v>Contoso Home Theater System 2.1 Channel E1200 White</x:v>
      </x:c>
      <x:c r="C1686" s="8" t="n">
        <x:v>9</x:v>
      </x:c>
      <x:c r="D1686" s="9" t="n">
        <x:v>299</x:v>
      </x:c>
      <x:c r="E1686" s="9" t="n">
        <x:v>152.44</x:v>
      </x:c>
      <x:c r="F1686" s="8" t="n">
        <x:f>C1686*D1686</x:f>
        <x:v>2691</x:v>
      </x:c>
      <x:c r="G1686" s="8" t="n">
        <x:f>C1686*E1686</x:f>
        <x:v>1371.96</x:v>
      </x:c>
      <x:c r="H1686" s="8" t="n">
        <x:f>F1686-G1686</x:f>
        <x:v>1319.04</x:v>
      </x:c>
      <x:c r="I1686" s="10" t="n">
        <x:f>H1686/F1686</x:f>
        <x:v>0.4901672240802675</x:v>
      </x:c>
    </x:row>
    <x:row r="1687" ht="22" customHeight="1">
      <x:c r="A1687" s="11" t="str">
        <x:v>267</x:v>
      </x:c>
      <x:c r="B1687" s="8" t="str">
        <x:v>Contoso Home Theater System 2.1 Channel M1210 White</x:v>
      </x:c>
      <x:c r="C1687" s="8" t="n">
        <x:v>12</x:v>
      </x:c>
      <x:c r="D1687" s="9" t="n">
        <x:v>329</x:v>
      </x:c>
      <x:c r="E1687" s="9" t="n">
        <x:v>167.73</x:v>
      </x:c>
      <x:c r="F1687" s="8" t="n">
        <x:f>C1687*D1687</x:f>
        <x:v>3948</x:v>
      </x:c>
      <x:c r="G1687" s="8" t="n">
        <x:f>C1687*E1687</x:f>
        <x:v>2012.7599999999998</x:v>
      </x:c>
      <x:c r="H1687" s="8" t="n">
        <x:f>F1687-G1687</x:f>
        <x:v>1935.2400000000002</x:v>
      </x:c>
      <x:c r="I1687" s="10" t="n">
        <x:f>H1687/F1687</x:f>
        <x:v>0.49018237082066873</x:v>
      </x:c>
    </x:row>
    <x:row r="1688" ht="22" customHeight="1">
      <x:c r="A1688" s="11" t="str">
        <x:v>268</x:v>
      </x:c>
      <x:c r="B1688" s="8" t="str">
        <x:v>Contoso Home Theater System 7.1 Channel M1700 White</x:v>
      </x:c>
      <x:c r="C1688" s="8" t="n">
        <x:v>14</x:v>
      </x:c>
      <x:c r="D1688" s="9" t="n">
        <x:v>889</x:v>
      </x:c>
      <x:c r="E1688" s="9" t="n">
        <x:v>294.54</x:v>
      </x:c>
      <x:c r="F1688" s="8" t="n">
        <x:f>C1688*D1688</x:f>
        <x:v>12446</x:v>
      </x:c>
      <x:c r="G1688" s="8" t="n">
        <x:f>C1688*E1688</x:f>
        <x:v>4123.56</x:v>
      </x:c>
      <x:c r="H1688" s="8" t="n">
        <x:f>F1688-G1688</x:f>
        <x:v>8322.439999999999</x:v>
      </x:c>
      <x:c r="I1688" s="10" t="n">
        <x:f>H1688/F1688</x:f>
        <x:v>0.6686839145106861</x:v>
      </x:c>
    </x:row>
    <x:row r="1689" ht="22" customHeight="1">
      <x:c r="A1689" s="11" t="str">
        <x:v>269</x:v>
      </x:c>
      <x:c r="B1689" s="8" t="str">
        <x:v>Contoso Home Theater System 4.1 Channel M1400 White</x:v>
      </x:c>
      <x:c r="C1689" s="8" t="n">
        <x:v>2</x:v>
      </x:c>
      <x:c r="D1689" s="9" t="n">
        <x:v>409</x:v>
      </x:c>
      <x:c r="E1689" s="9" t="n">
        <x:v>208.52</x:v>
      </x:c>
      <x:c r="F1689" s="8" t="n">
        <x:f>C1689*D1689</x:f>
        <x:v>818</x:v>
      </x:c>
      <x:c r="G1689" s="8" t="n">
        <x:f>C1689*E1689</x:f>
        <x:v>417.04</x:v>
      </x:c>
      <x:c r="H1689" s="8" t="n">
        <x:f>F1689-G1689</x:f>
        <x:v>400.96</x:v>
      </x:c>
      <x:c r="I1689" s="10" t="n">
        <x:f>H1689/F1689</x:f>
        <x:v>0.49017114914425425</x:v>
      </x:c>
    </x:row>
    <x:row r="1690" ht="22" customHeight="1">
      <x:c r="A1690" s="11" t="str">
        <x:v>27</x:v>
      </x:c>
      <x:c r="B1690" s="8" t="str">
        <x:v>Contoso 16GB Mp5 Player M1600 White</x:v>
      </x:c>
      <x:c r="C1690" s="8" t="n">
        <x:v>66</x:v>
      </x:c>
      <x:c r="D1690" s="9" t="n">
        <x:v>199.9</x:v>
      </x:c>
      <x:c r="E1690" s="9" t="n">
        <x:v>91.93</x:v>
      </x:c>
      <x:c r="F1690" s="8" t="n">
        <x:f>C1690*D1690</x:f>
        <x:v>13193.4</x:v>
      </x:c>
      <x:c r="G1690" s="8" t="n">
        <x:f>C1690*E1690</x:f>
        <x:v>6067.38</x:v>
      </x:c>
      <x:c r="H1690" s="8" t="n">
        <x:f>F1690-G1690</x:f>
        <x:v>7126.0199999999995</x:v>
      </x:c>
      <x:c r="I1690" s="10" t="n">
        <x:f>H1690/F1690</x:f>
        <x:v>0.540120060030015</x:v>
      </x:c>
    </x:row>
    <x:row r="1691" ht="22" customHeight="1">
      <x:c r="A1691" s="11" t="str">
        <x:v>270</x:v>
      </x:c>
      <x:c r="B1691" s="8" t="str">
        <x:v>Contoso Home Theater System 5.1 Channel M1500 White</x:v>
      </x:c>
      <x:c r="C1691" s="8" t="n">
        <x:v>11</x:v>
      </x:c>
      <x:c r="D1691" s="9" t="n">
        <x:v>429</x:v>
      </x:c>
      <x:c r="E1691" s="9" t="n">
        <x:v>197.28</x:v>
      </x:c>
      <x:c r="F1691" s="8" t="n">
        <x:f>C1691*D1691</x:f>
        <x:v>4719</x:v>
      </x:c>
      <x:c r="G1691" s="8" t="n">
        <x:f>C1691*E1691</x:f>
        <x:v>2170.08</x:v>
      </x:c>
      <x:c r="H1691" s="8" t="n">
        <x:f>F1691-G1691</x:f>
        <x:v>2548.92</x:v>
      </x:c>
      <x:c r="I1691" s="10" t="n">
        <x:f>H1691/F1691</x:f>
        <x:v>0.5401398601398602</x:v>
      </x:c>
    </x:row>
    <x:row r="1692" ht="22" customHeight="1">
      <x:c r="A1692" s="11" t="str">
        <x:v>271</x:v>
      </x:c>
      <x:c r="B1692" s="8" t="str">
        <x:v>Contoso Home Theater System 5.1 Channel M1510 White</x:v>
      </x:c>
      <x:c r="C1692" s="8" t="n">
        <x:v>19</x:v>
      </x:c>
      <x:c r="D1692" s="9" t="n">
        <x:v>489</x:v>
      </x:c>
      <x:c r="E1692" s="9" t="n">
        <x:v>224.87</x:v>
      </x:c>
      <x:c r="F1692" s="8" t="n">
        <x:f>C1692*D1692</x:f>
        <x:v>9291</x:v>
      </x:c>
      <x:c r="G1692" s="8" t="n">
        <x:f>C1692*E1692</x:f>
        <x:v>4272.53</x:v>
      </x:c>
      <x:c r="H1692" s="8" t="n">
        <x:f>F1692-G1692</x:f>
        <x:v>5018.47</x:v>
      </x:c>
      <x:c r="I1692" s="10" t="n">
        <x:f>H1692/F1692</x:f>
        <x:v>0.5401431492842536</x:v>
      </x:c>
    </x:row>
    <x:row r="1693" ht="22" customHeight="1">
      <x:c r="A1693" s="11" t="str">
        <x:v>272</x:v>
      </x:c>
      <x:c r="B1693" s="8" t="str">
        <x:v>Contoso Home Theater System 4.1 Channel M1410 White</x:v>
      </x:c>
      <x:c r="C1693" s="8" t="n">
        <x:v>20</x:v>
      </x:c>
      <x:c r="D1693" s="9" t="n">
        <x:v>329</x:v>
      </x:c>
      <x:c r="E1693" s="9" t="n">
        <x:v>167.73</x:v>
      </x:c>
      <x:c r="F1693" s="8" t="n">
        <x:f>C1693*D1693</x:f>
        <x:v>6580</x:v>
      </x:c>
      <x:c r="G1693" s="8" t="n">
        <x:f>C1693*E1693</x:f>
        <x:v>3354.6</x:v>
      </x:c>
      <x:c r="H1693" s="8" t="n">
        <x:f>F1693-G1693</x:f>
        <x:v>3225.4</x:v>
      </x:c>
      <x:c r="I1693" s="10" t="n">
        <x:f>H1693/F1693</x:f>
        <x:v>0.49018237082066873</x:v>
      </x:c>
    </x:row>
    <x:row r="1694" ht="22" customHeight="1">
      <x:c r="A1694" s="11" t="str">
        <x:v>273</x:v>
      </x:c>
      <x:c r="B1694" s="8" t="str">
        <x:v>Contoso Home Theater System 5.1 Channel M1520 White</x:v>
      </x:c>
      <x:c r="C1694" s="8" t="n">
        <x:v>26</x:v>
      </x:c>
      <x:c r="D1694" s="9" t="n">
        <x:v>339</x:v>
      </x:c>
      <x:c r="E1694" s="9" t="n">
        <x:v>155.89</x:v>
      </x:c>
      <x:c r="F1694" s="8" t="n">
        <x:f>C1694*D1694</x:f>
        <x:v>8814</x:v>
      </x:c>
      <x:c r="G1694" s="8" t="n">
        <x:f>C1694*E1694</x:f>
        <x:v>4053.1399999999994</x:v>
      </x:c>
      <x:c r="H1694" s="8" t="n">
        <x:f>F1694-G1694</x:f>
        <x:v>4760.860000000001</x:v>
      </x:c>
      <x:c r="I1694" s="10" t="n">
        <x:f>H1694/F1694</x:f>
        <x:v>0.5401474926253688</x:v>
      </x:c>
    </x:row>
    <x:row r="1695" ht="22" customHeight="1">
      <x:c r="A1695" s="11" t="str">
        <x:v>275</x:v>
      </x:c>
      <x:c r="B1695" s="8" t="str">
        <x:v>Contoso Home Theater System 2.1 Channel E1220 White</x:v>
      </x:c>
      <x:c r="C1695" s="8" t="n">
        <x:v>3</x:v>
      </x:c>
      <x:c r="D1695" s="9" t="n">
        <x:v>199</x:v>
      </x:c>
      <x:c r="E1695" s="9" t="n">
        <x:v>101.46</x:v>
      </x:c>
      <x:c r="F1695" s="8" t="n">
        <x:f>C1695*D1695</x:f>
        <x:v>597</x:v>
      </x:c>
      <x:c r="G1695" s="8" t="n">
        <x:f>C1695*E1695</x:f>
        <x:v>304.38</x:v>
      </x:c>
      <x:c r="H1695" s="8" t="n">
        <x:f>F1695-G1695</x:f>
        <x:v>292.62</x:v>
      </x:c>
      <x:c r="I1695" s="10" t="n">
        <x:f>H1695/F1695</x:f>
        <x:v>0.4901507537688442</x:v>
      </x:c>
    </x:row>
    <x:row r="1696" ht="22" customHeight="1">
      <x:c r="A1696" s="11" t="str">
        <x:v>276</x:v>
      </x:c>
      <x:c r="B1696" s="8" t="str">
        <x:v>Contoso Home Theater System 5.1 Channel M1540 White</x:v>
      </x:c>
      <x:c r="C1696" s="8" t="n">
        <x:v>16</x:v>
      </x:c>
      <x:c r="D1696" s="9" t="n">
        <x:v>529</x:v>
      </x:c>
      <x:c r="E1696" s="9" t="n">
        <x:v>243.27</x:v>
      </x:c>
      <x:c r="F1696" s="8" t="n">
        <x:f>C1696*D1696</x:f>
        <x:v>8464</x:v>
      </x:c>
      <x:c r="G1696" s="8" t="n">
        <x:f>C1696*E1696</x:f>
        <x:v>3892.32</x:v>
      </x:c>
      <x:c r="H1696" s="8" t="n">
        <x:f>F1696-G1696</x:f>
        <x:v>4571.68</x:v>
      </x:c>
      <x:c r="I1696" s="10" t="n">
        <x:f>H1696/F1696</x:f>
        <x:v>0.540132325141777</x:v>
      </x:c>
    </x:row>
    <x:row r="1697" ht="22" customHeight="1">
      <x:c r="A1697" s="11" t="str">
        <x:v>277</x:v>
      </x:c>
      <x:c r="B1697" s="8" t="str">
        <x:v>Contoso Home Theater System 4.1 Channel M1420 White</x:v>
      </x:c>
      <x:c r="C1697" s="8" t="n">
        <x:v>19</x:v>
      </x:c>
      <x:c r="D1697" s="9" t="n">
        <x:v>480</x:v>
      </x:c>
      <x:c r="E1697" s="9" t="n">
        <x:v>244.72</x:v>
      </x:c>
      <x:c r="F1697" s="8" t="n">
        <x:f>C1697*D1697</x:f>
        <x:v>9120</x:v>
      </x:c>
      <x:c r="G1697" s="8" t="n">
        <x:f>C1697*E1697</x:f>
        <x:v>4649.68</x:v>
      </x:c>
      <x:c r="H1697" s="8" t="n">
        <x:f>F1697-G1697</x:f>
        <x:v>4470.32</x:v>
      </x:c>
      <x:c r="I1697" s="10" t="n">
        <x:f>H1697/F1697</x:f>
        <x:v>0.49016666666666664</x:v>
      </x:c>
    </x:row>
    <x:row r="1698" ht="22" customHeight="1">
      <x:c r="A1698" s="11" t="str">
        <x:v>278</x:v>
      </x:c>
      <x:c r="B1698" s="8" t="str">
        <x:v>Contoso Home Theater System 2.1 Channel M1230 White</x:v>
      </x:c>
      <x:c r="C1698" s="8" t="n">
        <x:v>30</x:v>
      </x:c>
      <x:c r="D1698" s="9" t="n">
        <x:v>360</x:v>
      </x:c>
      <x:c r="E1698" s="9" t="n">
        <x:v>183.54</x:v>
      </x:c>
      <x:c r="F1698" s="8" t="n">
        <x:f>C1698*D1698</x:f>
        <x:v>10800</x:v>
      </x:c>
      <x:c r="G1698" s="8" t="n">
        <x:f>C1698*E1698</x:f>
        <x:v>5506.2</x:v>
      </x:c>
      <x:c r="H1698" s="8" t="n">
        <x:f>F1698-G1698</x:f>
        <x:v>5293.8</x:v>
      </x:c>
      <x:c r="I1698" s="10" t="n">
        <x:f>H1698/F1698</x:f>
        <x:v>0.4901666666666667</x:v>
      </x:c>
    </x:row>
    <x:row r="1699" ht="22" customHeight="1">
      <x:c r="A1699" s="11" t="str">
        <x:v>279</x:v>
      </x:c>
      <x:c r="B1699" s="8" t="str">
        <x:v>Contoso Home Theater System 2.1 Channel E1200 Brown</x:v>
      </x:c>
      <x:c r="C1699" s="8" t="n">
        <x:v>6</x:v>
      </x:c>
      <x:c r="D1699" s="9" t="n">
        <x:v>299</x:v>
      </x:c>
      <x:c r="E1699" s="9" t="n">
        <x:v>152.44</x:v>
      </x:c>
      <x:c r="F1699" s="8" t="n">
        <x:f>C1699*D1699</x:f>
        <x:v>1794</x:v>
      </x:c>
      <x:c r="G1699" s="8" t="n">
        <x:f>C1699*E1699</x:f>
        <x:v>914.64</x:v>
      </x:c>
      <x:c r="H1699" s="8" t="n">
        <x:f>F1699-G1699</x:f>
        <x:v>879.36</x:v>
      </x:c>
      <x:c r="I1699" s="10" t="n">
        <x:f>H1699/F1699</x:f>
        <x:v>0.4901672240802676</x:v>
      </x:c>
    </x:row>
    <x:row r="1700" ht="22" customHeight="1">
      <x:c r="A1700" s="11" t="str">
        <x:v>28</x:v>
      </x:c>
      <x:c r="B1700" s="8" t="str">
        <x:v>Contoso 16GB Mp5 Player M1600 Red</x:v>
      </x:c>
      <x:c r="C1700" s="8" t="n">
        <x:v>86</x:v>
      </x:c>
      <x:c r="D1700" s="9" t="n">
        <x:v>199.9</x:v>
      </x:c>
      <x:c r="E1700" s="9" t="n">
        <x:v>91.93</x:v>
      </x:c>
      <x:c r="F1700" s="8" t="n">
        <x:f>C1700*D1700</x:f>
        <x:v>17191.4</x:v>
      </x:c>
      <x:c r="G1700" s="8" t="n">
        <x:f>C1700*E1700</x:f>
        <x:v>7905.9800000000005</x:v>
      </x:c>
      <x:c r="H1700" s="8" t="n">
        <x:f>F1700-G1700</x:f>
        <x:v>9285.420000000002</x:v>
      </x:c>
      <x:c r="I1700" s="10" t="n">
        <x:f>H1700/F1700</x:f>
        <x:v>0.5401200600300151</x:v>
      </x:c>
    </x:row>
    <x:row r="1701" ht="22" customHeight="1">
      <x:c r="A1701" s="11" t="str">
        <x:v>280</x:v>
      </x:c>
      <x:c r="B1701" s="8" t="str">
        <x:v>Contoso Home Theater System 2.1 Channel M1210 Brown</x:v>
      </x:c>
      <x:c r="C1701" s="8" t="n">
        <x:v>17</x:v>
      </x:c>
      <x:c r="D1701" s="9" t="n">
        <x:v>329</x:v>
      </x:c>
      <x:c r="E1701" s="9" t="n">
        <x:v>167.73</x:v>
      </x:c>
      <x:c r="F1701" s="8" t="n">
        <x:f>C1701*D1701</x:f>
        <x:v>5593</x:v>
      </x:c>
      <x:c r="G1701" s="8" t="n">
        <x:f>C1701*E1701</x:f>
        <x:v>2851.41</x:v>
      </x:c>
      <x:c r="H1701" s="8" t="n">
        <x:f>F1701-G1701</x:f>
        <x:v>2741.59</x:v>
      </x:c>
      <x:c r="I1701" s="10" t="n">
        <x:f>H1701/F1701</x:f>
        <x:v>0.49018237082066873</x:v>
      </x:c>
    </x:row>
    <x:row r="1702" ht="22" customHeight="1">
      <x:c r="A1702" s="11" t="str">
        <x:v>281</x:v>
      </x:c>
      <x:c r="B1702" s="8" t="str">
        <x:v>Contoso Home Theater System 7.1 Channel M1700 Brown</x:v>
      </x:c>
      <x:c r="C1702" s="8" t="n">
        <x:v>5</x:v>
      </x:c>
      <x:c r="D1702" s="9" t="n">
        <x:v>889</x:v>
      </x:c>
      <x:c r="E1702" s="9" t="n">
        <x:v>294.54</x:v>
      </x:c>
      <x:c r="F1702" s="8" t="n">
        <x:f>C1702*D1702</x:f>
        <x:v>4445</x:v>
      </x:c>
      <x:c r="G1702" s="8" t="n">
        <x:f>C1702*E1702</x:f>
        <x:v>1472.7</x:v>
      </x:c>
      <x:c r="H1702" s="8" t="n">
        <x:f>F1702-G1702</x:f>
        <x:v>2972.3</x:v>
      </x:c>
      <x:c r="I1702" s="10" t="n">
        <x:f>H1702/F1702</x:f>
        <x:v>0.6686839145106862</x:v>
      </x:c>
    </x:row>
    <x:row r="1703" ht="22" customHeight="1">
      <x:c r="A1703" s="11" t="str">
        <x:v>282</x:v>
      </x:c>
      <x:c r="B1703" s="8" t="str">
        <x:v>Contoso Home Theater System 4.1 Channel M1400 Brown</x:v>
      </x:c>
      <x:c r="C1703" s="8" t="n">
        <x:v>7</x:v>
      </x:c>
      <x:c r="D1703" s="9" t="n">
        <x:v>409</x:v>
      </x:c>
      <x:c r="E1703" s="9" t="n">
        <x:v>208.52</x:v>
      </x:c>
      <x:c r="F1703" s="8" t="n">
        <x:f>C1703*D1703</x:f>
        <x:v>2863</x:v>
      </x:c>
      <x:c r="G1703" s="8" t="n">
        <x:f>C1703*E1703</x:f>
        <x:v>1459.64</x:v>
      </x:c>
      <x:c r="H1703" s="8" t="n">
        <x:f>F1703-G1703</x:f>
        <x:v>1403.36</x:v>
      </x:c>
      <x:c r="I1703" s="10" t="n">
        <x:f>H1703/F1703</x:f>
        <x:v>0.49017114914425425</x:v>
      </x:c>
    </x:row>
    <x:row r="1704" ht="22" customHeight="1">
      <x:c r="A1704" s="11" t="str">
        <x:v>283</x:v>
      </x:c>
      <x:c r="B1704" s="8" t="str">
        <x:v>Contoso Home Theater System 5.1 Channel M1500 Brown</x:v>
      </x:c>
      <x:c r="C1704" s="8" t="n">
        <x:v>17</x:v>
      </x:c>
      <x:c r="D1704" s="9" t="n">
        <x:v>429</x:v>
      </x:c>
      <x:c r="E1704" s="9" t="n">
        <x:v>197.28</x:v>
      </x:c>
      <x:c r="F1704" s="8" t="n">
        <x:f>C1704*D1704</x:f>
        <x:v>7293</x:v>
      </x:c>
      <x:c r="G1704" s="8" t="n">
        <x:f>C1704*E1704</x:f>
        <x:v>3353.76</x:v>
      </x:c>
      <x:c r="H1704" s="8" t="n">
        <x:f>F1704-G1704</x:f>
        <x:v>3939.24</x:v>
      </x:c>
      <x:c r="I1704" s="10" t="n">
        <x:f>H1704/F1704</x:f>
        <x:v>0.5401398601398602</x:v>
      </x:c>
    </x:row>
    <x:row r="1705" ht="22" customHeight="1">
      <x:c r="A1705" s="11" t="str">
        <x:v>284</x:v>
      </x:c>
      <x:c r="B1705" s="8" t="str">
        <x:v>Contoso Home Theater System 5.1 Channel M1510 Brown</x:v>
      </x:c>
      <x:c r="C1705" s="8" t="n">
        <x:v>14</x:v>
      </x:c>
      <x:c r="D1705" s="9" t="n">
        <x:v>489</x:v>
      </x:c>
      <x:c r="E1705" s="9" t="n">
        <x:v>224.87</x:v>
      </x:c>
      <x:c r="F1705" s="8" t="n">
        <x:f>C1705*D1705</x:f>
        <x:v>6846</x:v>
      </x:c>
      <x:c r="G1705" s="8" t="n">
        <x:f>C1705*E1705</x:f>
        <x:v>3148.1800000000003</x:v>
      </x:c>
      <x:c r="H1705" s="8" t="n">
        <x:f>F1705-G1705</x:f>
        <x:v>3697.8199999999997</x:v>
      </x:c>
      <x:c r="I1705" s="10" t="n">
        <x:f>H1705/F1705</x:f>
        <x:v>0.5401431492842536</x:v>
      </x:c>
    </x:row>
    <x:row r="1706" ht="22" customHeight="1">
      <x:c r="A1706" s="11" t="str">
        <x:v>285</x:v>
      </x:c>
      <x:c r="B1706" s="8" t="str">
        <x:v>Contoso Home Theater System 4.1 Channel M1410 Brown</x:v>
      </x:c>
      <x:c r="C1706" s="8" t="n">
        <x:v>23</x:v>
      </x:c>
      <x:c r="D1706" s="9" t="n">
        <x:v>329</x:v>
      </x:c>
      <x:c r="E1706" s="9" t="n">
        <x:v>167.73</x:v>
      </x:c>
      <x:c r="F1706" s="8" t="n">
        <x:f>C1706*D1706</x:f>
        <x:v>7567</x:v>
      </x:c>
      <x:c r="G1706" s="8" t="n">
        <x:f>C1706*E1706</x:f>
        <x:v>3857.79</x:v>
      </x:c>
      <x:c r="H1706" s="8" t="n">
        <x:f>F1706-G1706</x:f>
        <x:v>3709.21</x:v>
      </x:c>
      <x:c r="I1706" s="10" t="n">
        <x:f>H1706/F1706</x:f>
        <x:v>0.4901823708206687</x:v>
      </x:c>
    </x:row>
    <x:row r="1707" ht="22" customHeight="1">
      <x:c r="A1707" s="11" t="str">
        <x:v>286</x:v>
      </x:c>
      <x:c r="B1707" s="8" t="str">
        <x:v>Contoso Home Theater System 5.1 Channel M1520 Brown</x:v>
      </x:c>
      <x:c r="C1707" s="8" t="n">
        <x:v>11</x:v>
      </x:c>
      <x:c r="D1707" s="9" t="n">
        <x:v>339</x:v>
      </x:c>
      <x:c r="E1707" s="9" t="n">
        <x:v>155.89</x:v>
      </x:c>
      <x:c r="F1707" s="8" t="n">
        <x:f>C1707*D1707</x:f>
        <x:v>3729</x:v>
      </x:c>
      <x:c r="G1707" s="8" t="n">
        <x:f>C1707*E1707</x:f>
        <x:v>1714.79</x:v>
      </x:c>
      <x:c r="H1707" s="8" t="n">
        <x:f>F1707-G1707</x:f>
        <x:v>2014.21</x:v>
      </x:c>
      <x:c r="I1707" s="10" t="n">
        <x:f>H1707/F1707</x:f>
        <x:v>0.5401474926253688</x:v>
      </x:c>
    </x:row>
    <x:row r="1708" ht="22" customHeight="1">
      <x:c r="A1708" s="11" t="str">
        <x:v>287</x:v>
      </x:c>
      <x:c r="B1708" s="8" t="str">
        <x:v>Contoso Home Theater System 5.1 Channel M1530 Brown</x:v>
      </x:c>
      <x:c r="C1708" s="8" t="n">
        <x:v>24</x:v>
      </x:c>
      <x:c r="D1708" s="9" t="n">
        <x:v>399</x:v>
      </x:c>
      <x:c r="E1708" s="9" t="n">
        <x:v>183.49</x:v>
      </x:c>
      <x:c r="F1708" s="8" t="n">
        <x:f>C1708*D1708</x:f>
        <x:v>9576</x:v>
      </x:c>
      <x:c r="G1708" s="8" t="n">
        <x:f>C1708*E1708</x:f>
        <x:v>4403.76</x:v>
      </x:c>
      <x:c r="H1708" s="8" t="n">
        <x:f>F1708-G1708</x:f>
        <x:v>5172.24</x:v>
      </x:c>
      <x:c r="I1708" s="10" t="n">
        <x:f>H1708/F1708</x:f>
        <x:v>0.540125313283208</x:v>
      </x:c>
    </x:row>
    <x:row r="1709" ht="22" customHeight="1">
      <x:c r="A1709" s="11" t="str">
        <x:v>288</x:v>
      </x:c>
      <x:c r="B1709" s="8" t="str">
        <x:v>Contoso Home Theater System 2.1 Channel E1220 Brown</x:v>
      </x:c>
      <x:c r="C1709" s="8" t="n">
        <x:v>7</x:v>
      </x:c>
      <x:c r="D1709" s="9" t="n">
        <x:v>199</x:v>
      </x:c>
      <x:c r="E1709" s="9" t="n">
        <x:v>101.46</x:v>
      </x:c>
      <x:c r="F1709" s="8" t="n">
        <x:f>C1709*D1709</x:f>
        <x:v>1393</x:v>
      </x:c>
      <x:c r="G1709" s="8" t="n">
        <x:f>C1709*E1709</x:f>
        <x:v>710.2199999999999</x:v>
      </x:c>
      <x:c r="H1709" s="8" t="n">
        <x:f>F1709-G1709</x:f>
        <x:v>682.7800000000001</x:v>
      </x:c>
      <x:c r="I1709" s="10" t="n">
        <x:f>H1709/F1709</x:f>
        <x:v>0.49015075376884426</x:v>
      </x:c>
    </x:row>
    <x:row r="1710" ht="22" customHeight="1">
      <x:c r="A1710" s="11" t="str">
        <x:v>289</x:v>
      </x:c>
      <x:c r="B1710" s="8" t="str">
        <x:v>Contoso Home Theater System 5.1 Channel M1540 Brown</x:v>
      </x:c>
      <x:c r="C1710" s="8" t="n">
        <x:v>8</x:v>
      </x:c>
      <x:c r="D1710" s="9" t="n">
        <x:v>529</x:v>
      </x:c>
      <x:c r="E1710" s="9" t="n">
        <x:v>243.27</x:v>
      </x:c>
      <x:c r="F1710" s="8" t="n">
        <x:f>C1710*D1710</x:f>
        <x:v>4232</x:v>
      </x:c>
      <x:c r="G1710" s="8" t="n">
        <x:f>C1710*E1710</x:f>
        <x:v>1946.16</x:v>
      </x:c>
      <x:c r="H1710" s="8" t="n">
        <x:f>F1710-G1710</x:f>
        <x:v>2285.84</x:v>
      </x:c>
      <x:c r="I1710" s="10" t="n">
        <x:f>H1710/F1710</x:f>
        <x:v>0.540132325141777</x:v>
      </x:c>
    </x:row>
    <x:row r="1711" ht="22" customHeight="1">
      <x:c r="A1711" s="11" t="str">
        <x:v>29</x:v>
      </x:c>
      <x:c r="B1711" s="8" t="str">
        <x:v>Contoso 32GB Video MP3 Player M3200 White</x:v>
      </x:c>
      <x:c r="C1711" s="8" t="n">
        <x:v>90</x:v>
      </x:c>
      <x:c r="D1711" s="9" t="n">
        <x:v>255</x:v>
      </x:c>
      <x:c r="E1711" s="9" t="n">
        <x:v>84.49</x:v>
      </x:c>
      <x:c r="F1711" s="8" t="n">
        <x:f>C1711*D1711</x:f>
        <x:v>22950</x:v>
      </x:c>
      <x:c r="G1711" s="8" t="n">
        <x:f>C1711*E1711</x:f>
        <x:v>7604.099999999999</x:v>
      </x:c>
      <x:c r="H1711" s="8" t="n">
        <x:f>F1711-G1711</x:f>
        <x:v>15345.900000000001</x:v>
      </x:c>
      <x:c r="I1711" s="10" t="n">
        <x:f>H1711/F1711</x:f>
        <x:v>0.6686666666666667</x:v>
      </x:c>
    </x:row>
    <x:row r="1712" ht="22" customHeight="1">
      <x:c r="A1712" s="11" t="str">
        <x:v>290</x:v>
      </x:c>
      <x:c r="B1712" s="8" t="str">
        <x:v>Contoso Home Theater System 4.1 Channel M1420 Brown</x:v>
      </x:c>
      <x:c r="C1712" s="8" t="n">
        <x:v>19</x:v>
      </x:c>
      <x:c r="D1712" s="9" t="n">
        <x:v>480</x:v>
      </x:c>
      <x:c r="E1712" s="9" t="n">
        <x:v>244.72</x:v>
      </x:c>
      <x:c r="F1712" s="8" t="n">
        <x:f>C1712*D1712</x:f>
        <x:v>9120</x:v>
      </x:c>
      <x:c r="G1712" s="8" t="n">
        <x:f>C1712*E1712</x:f>
        <x:v>4649.68</x:v>
      </x:c>
      <x:c r="H1712" s="8" t="n">
        <x:f>F1712-G1712</x:f>
        <x:v>4470.32</x:v>
      </x:c>
      <x:c r="I1712" s="10" t="n">
        <x:f>H1712/F1712</x:f>
        <x:v>0.49016666666666664</x:v>
      </x:c>
    </x:row>
    <x:row r="1713" ht="22" customHeight="1">
      <x:c r="A1713" s="11" t="str">
        <x:v>291</x:v>
      </x:c>
      <x:c r="B1713" s="8" t="str">
        <x:v>Contoso Home Theater System 2.1 Channel M1230 Brown</x:v>
      </x:c>
      <x:c r="C1713" s="8" t="n">
        <x:v>40</x:v>
      </x:c>
      <x:c r="D1713" s="9" t="n">
        <x:v>360</x:v>
      </x:c>
      <x:c r="E1713" s="9" t="n">
        <x:v>183.54</x:v>
      </x:c>
      <x:c r="F1713" s="8" t="n">
        <x:f>C1713*D1713</x:f>
        <x:v>14400</x:v>
      </x:c>
      <x:c r="G1713" s="8" t="n">
        <x:f>C1713*E1713</x:f>
        <x:v>7341.599999999999</x:v>
      </x:c>
      <x:c r="H1713" s="8" t="n">
        <x:f>F1713-G1713</x:f>
        <x:v>7058.400000000001</x:v>
      </x:c>
      <x:c r="I1713" s="10" t="n">
        <x:f>H1713/F1713</x:f>
        <x:v>0.4901666666666667</x:v>
      </x:c>
    </x:row>
    <x:row r="1714" ht="22" customHeight="1">
      <x:c r="A1714" s="11" t="str">
        <x:v>292</x:v>
      </x:c>
      <x:c r="B1714" s="8" t="str">
        <x:v>SV Car Video LCD7W M7080 Black</x:v>
      </x:c>
      <x:c r="C1714" s="8" t="n">
        <x:v>27</x:v>
      </x:c>
      <x:c r="D1714" s="9" t="n">
        <x:v>500</x:v>
      </x:c>
      <x:c r="E1714" s="9" t="n">
        <x:v>229.93</x:v>
      </x:c>
      <x:c r="F1714" s="8" t="n">
        <x:f>C1714*D1714</x:f>
        <x:v>13500</x:v>
      </x:c>
      <x:c r="G1714" s="8" t="n">
        <x:f>C1714*E1714</x:f>
        <x:v>6208.110000000001</x:v>
      </x:c>
      <x:c r="H1714" s="8" t="n">
        <x:f>F1714-G1714</x:f>
        <x:v>7291.889999999999</x:v>
      </x:c>
      <x:c r="I1714" s="10" t="n">
        <x:f>H1714/F1714</x:f>
        <x:v>0.54014</x:v>
      </x:c>
    </x:row>
    <x:row r="1715" ht="22" customHeight="1">
      <x:c r="A1715" s="11" t="str">
        <x:v>293</x:v>
      </x:c>
      <x:c r="B1715" s="8" t="str">
        <x:v>SV Car Video LCD7W M7081 Black</x:v>
      </x:c>
      <x:c r="C1715" s="8" t="n">
        <x:v>40</x:v>
      </x:c>
      <x:c r="D1715" s="9" t="n">
        <x:v>499</x:v>
      </x:c>
      <x:c r="E1715" s="9" t="n">
        <x:v>229.47</x:v>
      </x:c>
      <x:c r="F1715" s="8" t="n">
        <x:f>C1715*D1715</x:f>
        <x:v>19960</x:v>
      </x:c>
      <x:c r="G1715" s="8" t="n">
        <x:f>C1715*E1715</x:f>
        <x:v>9178.8</x:v>
      </x:c>
      <x:c r="H1715" s="8" t="n">
        <x:f>F1715-G1715</x:f>
        <x:v>10781.2</x:v>
      </x:c>
      <x:c r="I1715" s="10" t="n">
        <x:f>H1715/F1715</x:f>
        <x:v>0.5401402805611223</x:v>
      </x:c>
    </x:row>
    <x:row r="1716" ht="22" customHeight="1">
      <x:c r="A1716" s="11" t="str">
        <x:v>294</x:v>
      </x:c>
      <x:c r="B1716" s="8" t="str">
        <x:v>SV Car Video TFT7 M7000 Black</x:v>
      </x:c>
      <x:c r="C1716" s="8" t="n">
        <x:v>30</x:v>
      </x:c>
      <x:c r="D1716" s="9" t="n">
        <x:v>299</x:v>
      </x:c>
      <x:c r="E1716" s="9" t="n">
        <x:v>152.44</x:v>
      </x:c>
      <x:c r="F1716" s="8" t="n">
        <x:f>C1716*D1716</x:f>
        <x:v>8970</x:v>
      </x:c>
      <x:c r="G1716" s="8" t="n">
        <x:f>C1716*E1716</x:f>
        <x:v>4573.2</x:v>
      </x:c>
      <x:c r="H1716" s="8" t="n">
        <x:f>F1716-G1716</x:f>
        <x:v>4396.8</x:v>
      </x:c>
      <x:c r="I1716" s="10" t="n">
        <x:f>H1716/F1716</x:f>
        <x:v>0.4901672240802676</x:v>
      </x:c>
    </x:row>
    <x:row r="1717" ht="22" customHeight="1">
      <x:c r="A1717" s="11" t="str">
        <x:v>295</x:v>
      </x:c>
      <x:c r="B1717" s="8" t="str">
        <x:v>SV Car Video TFT6.2W E6280 Black</x:v>
      </x:c>
      <x:c r="C1717" s="8" t="n">
        <x:v>15</x:v>
      </x:c>
      <x:c r="D1717" s="9" t="n">
        <x:v>279</x:v>
      </x:c>
      <x:c r="E1717" s="9" t="n">
        <x:v>142.24</x:v>
      </x:c>
      <x:c r="F1717" s="8" t="n">
        <x:f>C1717*D1717</x:f>
        <x:v>4185</x:v>
      </x:c>
      <x:c r="G1717" s="8" t="n">
        <x:f>C1717*E1717</x:f>
        <x:v>2133.6000000000004</x:v>
      </x:c>
      <x:c r="H1717" s="8" t="n">
        <x:f>F1717-G1717</x:f>
        <x:v>2051.3999999999996</x:v>
      </x:c>
      <x:c r="I1717" s="10" t="n">
        <x:f>H1717/F1717</x:f>
        <x:v>0.49017921146953397</x:v>
      </x:c>
    </x:row>
    <x:row r="1718" ht="22" customHeight="1">
      <x:c r="A1718" s="11" t="str">
        <x:v>296</x:v>
      </x:c>
      <x:c r="B1718" s="8" t="str">
        <x:v>SV Car Video TFT6.2W E6281 Black</x:v>
      </x:c>
      <x:c r="C1718" s="8" t="n">
        <x:v>32</x:v>
      </x:c>
      <x:c r="D1718" s="9" t="n">
        <x:v>259</x:v>
      </x:c>
      <x:c r="E1718" s="9" t="n">
        <x:v>132.05</x:v>
      </x:c>
      <x:c r="F1718" s="8" t="n">
        <x:f>C1718*D1718</x:f>
        <x:v>8288</x:v>
      </x:c>
      <x:c r="G1718" s="8" t="n">
        <x:f>C1718*E1718</x:f>
        <x:v>4225.6</x:v>
      </x:c>
      <x:c r="H1718" s="8" t="n">
        <x:f>F1718-G1718</x:f>
        <x:v>4062.3999999999996</x:v>
      </x:c>
      <x:c r="I1718" s="10" t="n">
        <x:f>H1718/F1718</x:f>
        <x:v>0.4901544401544401</x:v>
      </x:c>
    </x:row>
    <x:row r="1719" ht="22" customHeight="1">
      <x:c r="A1719" s="11" t="str">
        <x:v>297</x:v>
      </x:c>
      <x:c r="B1719" s="8" t="str">
        <x:v>SV Car Video TFT6.2W E6282 Black</x:v>
      </x:c>
      <x:c r="C1719" s="8" t="n">
        <x:v>22</x:v>
      </x:c>
      <x:c r="D1719" s="9" t="n">
        <x:v>269</x:v>
      </x:c>
      <x:c r="E1719" s="9" t="n">
        <x:v>137.14</x:v>
      </x:c>
      <x:c r="F1719" s="8" t="n">
        <x:f>C1719*D1719</x:f>
        <x:v>5918</x:v>
      </x:c>
      <x:c r="G1719" s="8" t="n">
        <x:f>C1719*E1719</x:f>
        <x:v>3017.08</x:v>
      </x:c>
      <x:c r="H1719" s="8" t="n">
        <x:f>F1719-G1719</x:f>
        <x:v>2900.92</x:v>
      </x:c>
      <x:c r="I1719" s="10" t="n">
        <x:f>H1719/F1719</x:f>
        <x:v>0.49018587360594795</x:v>
      </x:c>
    </x:row>
    <x:row r="1720" ht="22" customHeight="1">
      <x:c r="A1720" s="11" t="str">
        <x:v>298</x:v>
      </x:c>
      <x:c r="B1720" s="8" t="str">
        <x:v>SV Car Video TFT7 M7001 Black</x:v>
      </x:c>
      <x:c r="C1720" s="8" t="n">
        <x:v>15</x:v>
      </x:c>
      <x:c r="D1720" s="9" t="n">
        <x:v>309</x:v>
      </x:c>
      <x:c r="E1720" s="9" t="n">
        <x:v>157.54</x:v>
      </x:c>
      <x:c r="F1720" s="8" t="n">
        <x:f>C1720*D1720</x:f>
        <x:v>4635</x:v>
      </x:c>
      <x:c r="G1720" s="8" t="n">
        <x:f>C1720*E1720</x:f>
        <x:v>2363.1</x:v>
      </x:c>
      <x:c r="H1720" s="8" t="n">
        <x:f>F1720-G1720</x:f>
        <x:v>2271.9</x:v>
      </x:c>
      <x:c r="I1720" s="10" t="n">
        <x:f>H1720/F1720</x:f>
        <x:v>0.49016181229773464</x:v>
      </x:c>
    </x:row>
    <x:row r="1721" ht="22" customHeight="1">
      <x:c r="A1721" s="11" t="str">
        <x:v>299</x:v>
      </x:c>
      <x:c r="B1721" s="8" t="str">
        <x:v>SV Car Video AM/FM E1000 Black</x:v>
      </x:c>
      <x:c r="C1721" s="8" t="n">
        <x:v>42</x:v>
      </x:c>
      <x:c r="D1721" s="9" t="n">
        <x:v>199</x:v>
      </x:c>
      <x:c r="E1721" s="9" t="n">
        <x:v>101.46</x:v>
      </x:c>
      <x:c r="F1721" s="8" t="n">
        <x:f>C1721*D1721</x:f>
        <x:v>8358</x:v>
      </x:c>
      <x:c r="G1721" s="8" t="n">
        <x:f>C1721*E1721</x:f>
        <x:v>4261.32</x:v>
      </x:c>
      <x:c r="H1721" s="8" t="n">
        <x:f>F1721-G1721</x:f>
        <x:v>4096.68</x:v>
      </x:c>
      <x:c r="I1721" s="10" t="n">
        <x:f>H1721/F1721</x:f>
        <x:v>0.49015075376884426</x:v>
      </x:c>
    </x:row>
    <x:row r="1722" ht="22" customHeight="1">
      <x:c r="A1722" s="11" t="str">
        <x:v>3</x:v>
      </x:c>
      <x:c r="B1722" s="8" t="str">
        <x:v>Contoso 1G MP3 Player E100 White</x:v>
      </x:c>
      <x:c r="C1722" s="8" t="n">
        <x:v>80</x:v>
      </x:c>
      <x:c r="D1722" s="9" t="n">
        <x:v>14.52</x:v>
      </x:c>
      <x:c r="E1722" s="9" t="n">
        <x:v>7.4</x:v>
      </x:c>
      <x:c r="F1722" s="8" t="n">
        <x:f>C1722*D1722</x:f>
        <x:v>1161.6</x:v>
      </x:c>
      <x:c r="G1722" s="8" t="n">
        <x:f>C1722*E1722</x:f>
        <x:v>592</x:v>
      </x:c>
      <x:c r="H1722" s="8" t="n">
        <x:f>F1722-G1722</x:f>
        <x:v>569.5999999999999</x:v>
      </x:c>
      <x:c r="I1722" s="10" t="n">
        <x:f>H1722/F1722</x:f>
        <x:v>0.49035812672176304</x:v>
      </x:c>
    </x:row>
    <x:row r="1723" ht="22" customHeight="1">
      <x:c r="A1723" s="11" t="str">
        <x:v>30</x:v>
      </x:c>
      <x:c r="B1723" s="8" t="str">
        <x:v>Contoso 32GB Video MP3 Player M3200 Red</x:v>
      </x:c>
      <x:c r="C1723" s="8" t="n">
        <x:v>69</x:v>
      </x:c>
      <x:c r="D1723" s="9" t="n">
        <x:v>255</x:v>
      </x:c>
      <x:c r="E1723" s="9" t="n">
        <x:v>84.49</x:v>
      </x:c>
      <x:c r="F1723" s="8" t="n">
        <x:f>C1723*D1723</x:f>
        <x:v>17595</x:v>
      </x:c>
      <x:c r="G1723" s="8" t="n">
        <x:f>C1723*E1723</x:f>
        <x:v>5829.8099999999995</x:v>
      </x:c>
      <x:c r="H1723" s="8" t="n">
        <x:f>F1723-G1723</x:f>
        <x:v>11765.19</x:v>
      </x:c>
      <x:c r="I1723" s="10" t="n">
        <x:f>H1723/F1723</x:f>
        <x:v>0.6686666666666667</x:v>
      </x:c>
    </x:row>
    <x:row r="1724" ht="22" customHeight="1">
      <x:c r="A1724" s="11" t="str">
        <x:v>300</x:v>
      </x:c>
      <x:c r="B1724" s="8" t="str">
        <x:v>SV Car Video AM/FM E1001 Black</x:v>
      </x:c>
      <x:c r="C1724" s="8" t="n">
        <x:v>37</x:v>
      </x:c>
      <x:c r="D1724" s="9" t="n">
        <x:v>219</x:v>
      </x:c>
      <x:c r="E1724" s="9" t="n">
        <x:v>111.65</x:v>
      </x:c>
      <x:c r="F1724" s="8" t="n">
        <x:f>C1724*D1724</x:f>
        <x:v>8103</x:v>
      </x:c>
      <x:c r="G1724" s="8" t="n">
        <x:f>C1724*E1724</x:f>
        <x:v>4131.05</x:v>
      </x:c>
      <x:c r="H1724" s="8" t="n">
        <x:f>F1724-G1724</x:f>
        <x:v>3971.95</x:v>
      </x:c>
      <x:c r="I1724" s="10" t="n">
        <x:f>H1724/F1724</x:f>
        <x:v>0.49018264840182646</x:v>
      </x:c>
    </x:row>
    <x:row r="1725" ht="22" customHeight="1">
      <x:c r="A1725" s="11" t="str">
        <x:v>301</x:v>
      </x:c>
      <x:c r="B1725" s="8" t="str">
        <x:v>SV Car Video TFT7 M7002 Black</x:v>
      </x:c>
      <x:c r="C1725" s="8" t="n">
        <x:v>26</x:v>
      </x:c>
      <x:c r="D1725" s="9" t="n">
        <x:v>319</x:v>
      </x:c>
      <x:c r="E1725" s="9" t="n">
        <x:v>162.64</x:v>
      </x:c>
      <x:c r="F1725" s="8" t="n">
        <x:f>C1725*D1725</x:f>
        <x:v>8294</x:v>
      </x:c>
      <x:c r="G1725" s="8" t="n">
        <x:f>C1725*E1725</x:f>
        <x:v>4228.639999999999</x:v>
      </x:c>
      <x:c r="H1725" s="8" t="n">
        <x:f>F1725-G1725</x:f>
        <x:v>4065.3600000000006</x:v>
      </x:c>
      <x:c r="I1725" s="10" t="n">
        <x:f>H1725/F1725</x:f>
        <x:v>0.4901567398119123</x:v>
      </x:c>
    </x:row>
    <x:row r="1726" ht="22" customHeight="1">
      <x:c r="A1726" s="11" t="str">
        <x:v>302</x:v>
      </x:c>
      <x:c r="B1726" s="8" t="str">
        <x:v>SV Car Video LCD9.2W X9280 Black</x:v>
      </x:c>
      <x:c r="C1726" s="8" t="n">
        <x:v>44</x:v>
      </x:c>
      <x:c r="D1726" s="9" t="n">
        <x:v>999</x:v>
      </x:c>
      <x:c r="E1726" s="9" t="n">
        <x:v>330.99</x:v>
      </x:c>
      <x:c r="F1726" s="8" t="n">
        <x:f>C1726*D1726</x:f>
        <x:v>43956</x:v>
      </x:c>
      <x:c r="G1726" s="8" t="n">
        <x:f>C1726*E1726</x:f>
        <x:v>14563.560000000001</x:v>
      </x:c>
      <x:c r="H1726" s="8" t="n">
        <x:f>F1726-G1726</x:f>
        <x:v>29392.44</x:v>
      </x:c>
      <x:c r="I1726" s="10" t="n">
        <x:f>H1726/F1726</x:f>
        <x:v>0.6686786786786787</x:v>
      </x:c>
    </x:row>
    <x:row r="1727" ht="22" customHeight="1">
      <x:c r="A1727" s="11" t="str">
        <x:v>303</x:v>
      </x:c>
      <x:c r="B1727" s="8" t="str">
        <x:v>SV Car Video LCD9.2W X9281 Black</x:v>
      </x:c>
      <x:c r="C1727" s="8" t="n">
        <x:v>20</x:v>
      </x:c>
      <x:c r="D1727" s="9" t="n">
        <x:v>869</x:v>
      </x:c>
      <x:c r="E1727" s="9" t="n">
        <x:v>287.92</x:v>
      </x:c>
      <x:c r="F1727" s="8" t="n">
        <x:f>C1727*D1727</x:f>
        <x:v>17380</x:v>
      </x:c>
      <x:c r="G1727" s="8" t="n">
        <x:f>C1727*E1727</x:f>
        <x:v>5758.400000000001</x:v>
      </x:c>
      <x:c r="H1727" s="8" t="n">
        <x:f>F1727-G1727</x:f>
        <x:v>11621.599999999999</x:v>
      </x:c>
      <x:c r="I1727" s="10" t="n">
        <x:f>H1727/F1727</x:f>
        <x:v>0.6686766398158802</x:v>
      </x:c>
    </x:row>
    <x:row r="1728" ht="22" customHeight="1">
      <x:c r="A1728" s="11" t="str">
        <x:v>304</x:v>
      </x:c>
      <x:c r="B1728" s="8" t="str">
        <x:v>SV Car Video LCD7W M7082 Black</x:v>
      </x:c>
      <x:c r="C1728" s="8" t="n">
        <x:v>21</x:v>
      </x:c>
      <x:c r="D1728" s="9" t="n">
        <x:v>699</x:v>
      </x:c>
      <x:c r="E1728" s="9" t="n">
        <x:v>321.44</x:v>
      </x:c>
      <x:c r="F1728" s="8" t="n">
        <x:f>C1728*D1728</x:f>
        <x:v>14679</x:v>
      </x:c>
      <x:c r="G1728" s="8" t="n">
        <x:f>C1728*E1728</x:f>
        <x:v>6750.24</x:v>
      </x:c>
      <x:c r="H1728" s="8" t="n">
        <x:f>F1728-G1728</x:f>
        <x:v>7928.76</x:v>
      </x:c>
      <x:c r="I1728" s="10" t="n">
        <x:f>H1728/F1728</x:f>
        <x:v>0.5401430615164521</x:v>
      </x:c>
    </x:row>
    <x:row r="1729" ht="22" customHeight="1">
      <x:c r="A1729" s="11" t="str">
        <x:v>305</x:v>
      </x:c>
      <x:c r="B1729" s="8" t="str">
        <x:v>SV Car Video LCD7 M7001 Black</x:v>
      </x:c>
      <x:c r="C1729" s="8" t="n">
        <x:v>38</x:v>
      </x:c>
      <x:c r="D1729" s="9" t="n">
        <x:v>329</x:v>
      </x:c>
      <x:c r="E1729" s="9" t="n">
        <x:v>151.3</x:v>
      </x:c>
      <x:c r="F1729" s="8" t="n">
        <x:f>C1729*D1729</x:f>
        <x:v>12502</x:v>
      </x:c>
      <x:c r="G1729" s="8" t="n">
        <x:f>C1729*E1729</x:f>
        <x:v>5749.400000000001</x:v>
      </x:c>
      <x:c r="H1729" s="8" t="n">
        <x:f>F1729-G1729</x:f>
        <x:v>6752.599999999999</x:v>
      </x:c>
      <x:c r="I1729" s="10" t="n">
        <x:f>H1729/F1729</x:f>
        <x:v>0.5401215805471125</x:v>
      </x:c>
    </x:row>
    <x:row r="1730" ht="22" customHeight="1">
      <x:c r="A1730" s="11" t="str">
        <x:v>306</x:v>
      </x:c>
      <x:c r="B1730" s="8" t="str">
        <x:v>SV Car Video LCD7 M7002 Black</x:v>
      </x:c>
      <x:c r="C1730" s="8" t="n">
        <x:v>10</x:v>
      </x:c>
      <x:c r="D1730" s="9" t="n">
        <x:v>369</x:v>
      </x:c>
      <x:c r="E1730" s="9" t="n">
        <x:v>169.69</x:v>
      </x:c>
      <x:c r="F1730" s="8" t="n">
        <x:f>C1730*D1730</x:f>
        <x:v>3690</x:v>
      </x:c>
      <x:c r="G1730" s="8" t="n">
        <x:f>C1730*E1730</x:f>
        <x:v>1696.9</x:v>
      </x:c>
      <x:c r="H1730" s="8" t="n">
        <x:f>F1730-G1730</x:f>
        <x:v>1993.1</x:v>
      </x:c>
      <x:c r="I1730" s="10" t="n">
        <x:f>H1730/F1730</x:f>
        <x:v>0.5401355013550135</x:v>
      </x:c>
    </x:row>
    <x:row r="1731" ht="22" customHeight="1">
      <x:c r="A1731" s="11" t="str">
        <x:v>307</x:v>
      </x:c>
      <x:c r="B1731" s="8" t="str">
        <x:v>SV Car Video LCD7 M7003 Black</x:v>
      </x:c>
      <x:c r="C1731" s="8" t="n">
        <x:v>35</x:v>
      </x:c>
      <x:c r="D1731" s="9" t="n">
        <x:v>369</x:v>
      </x:c>
      <x:c r="E1731" s="9" t="n">
        <x:v>169.69</x:v>
      </x:c>
      <x:c r="F1731" s="8" t="n">
        <x:f>C1731*D1731</x:f>
        <x:v>12915</x:v>
      </x:c>
      <x:c r="G1731" s="8" t="n">
        <x:f>C1731*E1731</x:f>
        <x:v>5939.15</x:v>
      </x:c>
      <x:c r="H1731" s="8" t="n">
        <x:f>F1731-G1731</x:f>
        <x:v>6975.85</x:v>
      </x:c>
      <x:c r="I1731" s="10" t="n">
        <x:f>H1731/F1731</x:f>
        <x:v>0.5401355013550135</x:v>
      </x:c>
    </x:row>
    <x:row r="1732" ht="22" customHeight="1">
      <x:c r="A1732" s="11" t="str">
        <x:v>308</x:v>
      </x:c>
      <x:c r="B1732" s="8" t="str">
        <x:v>SV Car Video LCD7W M7080 Silver</x:v>
      </x:c>
      <x:c r="C1732" s="8" t="n">
        <x:v>16</x:v>
      </x:c>
      <x:c r="D1732" s="9" t="n">
        <x:v>500</x:v>
      </x:c>
      <x:c r="E1732" s="9" t="n">
        <x:v>229.93</x:v>
      </x:c>
      <x:c r="F1732" s="8" t="n">
        <x:f>C1732*D1732</x:f>
        <x:v>8000</x:v>
      </x:c>
      <x:c r="G1732" s="8" t="n">
        <x:f>C1732*E1732</x:f>
        <x:v>3678.88</x:v>
      </x:c>
      <x:c r="H1732" s="8" t="n">
        <x:f>F1732-G1732</x:f>
        <x:v>4321.12</x:v>
      </x:c>
      <x:c r="I1732" s="10" t="n">
        <x:f>H1732/F1732</x:f>
        <x:v>0.54014</x:v>
      </x:c>
    </x:row>
    <x:row r="1733" ht="22" customHeight="1">
      <x:c r="A1733" s="11" t="str">
        <x:v>309</x:v>
      </x:c>
      <x:c r="B1733" s="8" t="str">
        <x:v>SV Car Video LCD7W M7081 Silver</x:v>
      </x:c>
      <x:c r="C1733" s="8" t="n">
        <x:v>45</x:v>
      </x:c>
      <x:c r="D1733" s="9" t="n">
        <x:v>499</x:v>
      </x:c>
      <x:c r="E1733" s="9" t="n">
        <x:v>229.47</x:v>
      </x:c>
      <x:c r="F1733" s="8" t="n">
        <x:f>C1733*D1733</x:f>
        <x:v>22455</x:v>
      </x:c>
      <x:c r="G1733" s="8" t="n">
        <x:f>C1733*E1733</x:f>
        <x:v>10326.15</x:v>
      </x:c>
      <x:c r="H1733" s="8" t="n">
        <x:f>F1733-G1733</x:f>
        <x:v>12128.85</x:v>
      </x:c>
      <x:c r="I1733" s="10" t="n">
        <x:f>H1733/F1733</x:f>
        <x:v>0.5401402805611223</x:v>
      </x:c>
    </x:row>
    <x:row r="1734" ht="22" customHeight="1">
      <x:c r="A1734" s="11" t="str">
        <x:v>31</x:v>
      </x:c>
      <x:c r="B1734" s="8" t="str">
        <x:v>Contoso 32GB Video MP3 Player M3200 Orange</x:v>
      </x:c>
      <x:c r="C1734" s="8" t="n">
        <x:v>41</x:v>
      </x:c>
      <x:c r="D1734" s="9" t="n">
        <x:v>255</x:v>
      </x:c>
      <x:c r="E1734" s="9" t="n">
        <x:v>84.49</x:v>
      </x:c>
      <x:c r="F1734" s="8" t="n">
        <x:f>C1734*D1734</x:f>
        <x:v>10455</x:v>
      </x:c>
      <x:c r="G1734" s="8" t="n">
        <x:f>C1734*E1734</x:f>
        <x:v>3464.0899999999997</x:v>
      </x:c>
      <x:c r="H1734" s="8" t="n">
        <x:f>F1734-G1734</x:f>
        <x:v>6990.91</x:v>
      </x:c>
      <x:c r="I1734" s="10" t="n">
        <x:f>H1734/F1734</x:f>
        <x:v>0.6686666666666666</x:v>
      </x:c>
    </x:row>
    <x:row r="1735" ht="22" customHeight="1">
      <x:c r="A1735" s="11" t="str">
        <x:v>310</x:v>
      </x:c>
      <x:c r="B1735" s="8" t="str">
        <x:v>SV Car Video TFT7 M7000 Silver</x:v>
      </x:c>
      <x:c r="C1735" s="8" t="n">
        <x:v>14</x:v>
      </x:c>
      <x:c r="D1735" s="9" t="n">
        <x:v>299</x:v>
      </x:c>
      <x:c r="E1735" s="9" t="n">
        <x:v>152.44</x:v>
      </x:c>
      <x:c r="F1735" s="8" t="n">
        <x:f>C1735*D1735</x:f>
        <x:v>4186</x:v>
      </x:c>
      <x:c r="G1735" s="8" t="n">
        <x:f>C1735*E1735</x:f>
        <x:v>2134.16</x:v>
      </x:c>
      <x:c r="H1735" s="8" t="n">
        <x:f>F1735-G1735</x:f>
        <x:v>2051.84</x:v>
      </x:c>
      <x:c r="I1735" s="10" t="n">
        <x:f>H1735/F1735</x:f>
        <x:v>0.4901672240802676</x:v>
      </x:c>
    </x:row>
    <x:row r="1736" ht="22" customHeight="1">
      <x:c r="A1736" s="11" t="str">
        <x:v>311</x:v>
      </x:c>
      <x:c r="B1736" s="8" t="str">
        <x:v>SV Car Video TFT6.2W E6280 Silver</x:v>
      </x:c>
      <x:c r="C1736" s="8" t="n">
        <x:v>16</x:v>
      </x:c>
      <x:c r="D1736" s="9" t="n">
        <x:v>279</x:v>
      </x:c>
      <x:c r="E1736" s="9" t="n">
        <x:v>142.24</x:v>
      </x:c>
      <x:c r="F1736" s="8" t="n">
        <x:f>C1736*D1736</x:f>
        <x:v>4464</x:v>
      </x:c>
      <x:c r="G1736" s="8" t="n">
        <x:f>C1736*E1736</x:f>
        <x:v>2275.84</x:v>
      </x:c>
      <x:c r="H1736" s="8" t="n">
        <x:f>F1736-G1736</x:f>
        <x:v>2188.16</x:v>
      </x:c>
      <x:c r="I1736" s="10" t="n">
        <x:f>H1736/F1736</x:f>
        <x:v>0.490179211469534</x:v>
      </x:c>
    </x:row>
    <x:row r="1737" ht="22" customHeight="1">
      <x:c r="A1737" s="11" t="str">
        <x:v>312</x:v>
      </x:c>
      <x:c r="B1737" s="8" t="str">
        <x:v>SV Car Video TFT6.2W E6281 Silver</x:v>
      </x:c>
      <x:c r="C1737" s="8" t="n">
        <x:v>14</x:v>
      </x:c>
      <x:c r="D1737" s="9" t="n">
        <x:v>259</x:v>
      </x:c>
      <x:c r="E1737" s="9" t="n">
        <x:v>132.05</x:v>
      </x:c>
      <x:c r="F1737" s="8" t="n">
        <x:f>C1737*D1737</x:f>
        <x:v>3626</x:v>
      </x:c>
      <x:c r="G1737" s="8" t="n">
        <x:f>C1737*E1737</x:f>
        <x:v>1848.7000000000003</x:v>
      </x:c>
      <x:c r="H1737" s="8" t="n">
        <x:f>F1737-G1737</x:f>
        <x:v>1777.2999999999997</x:v>
      </x:c>
      <x:c r="I1737" s="10" t="n">
        <x:f>H1737/F1737</x:f>
        <x:v>0.4901544401544401</x:v>
      </x:c>
    </x:row>
    <x:row r="1738" ht="22" customHeight="1">
      <x:c r="A1738" s="11" t="str">
        <x:v>313</x:v>
      </x:c>
      <x:c r="B1738" s="8" t="str">
        <x:v>SV Car Video TFT6.2W E6282 Silver</x:v>
      </x:c>
      <x:c r="C1738" s="8" t="n">
        <x:v>48</x:v>
      </x:c>
      <x:c r="D1738" s="9" t="n">
        <x:v>269</x:v>
      </x:c>
      <x:c r="E1738" s="9" t="n">
        <x:v>137.14</x:v>
      </x:c>
      <x:c r="F1738" s="8" t="n">
        <x:f>C1738*D1738</x:f>
        <x:v>12912</x:v>
      </x:c>
      <x:c r="G1738" s="8" t="n">
        <x:f>C1738*E1738</x:f>
        <x:v>6582.719999999999</x:v>
      </x:c>
      <x:c r="H1738" s="8" t="n">
        <x:f>F1738-G1738</x:f>
        <x:v>6329.280000000001</x:v>
      </x:c>
      <x:c r="I1738" s="10" t="n">
        <x:f>H1738/F1738</x:f>
        <x:v>0.490185873605948</x:v>
      </x:c>
    </x:row>
    <x:row r="1739" ht="22" customHeight="1">
      <x:c r="A1739" s="11" t="str">
        <x:v>314</x:v>
      </x:c>
      <x:c r="B1739" s="8" t="str">
        <x:v>SV Car Video TFT7 M7001 Silver</x:v>
      </x:c>
      <x:c r="C1739" s="8" t="n">
        <x:v>20</x:v>
      </x:c>
      <x:c r="D1739" s="9" t="n">
        <x:v>309</x:v>
      </x:c>
      <x:c r="E1739" s="9" t="n">
        <x:v>157.54</x:v>
      </x:c>
      <x:c r="F1739" s="8" t="n">
        <x:f>C1739*D1739</x:f>
        <x:v>6180</x:v>
      </x:c>
      <x:c r="G1739" s="8" t="n">
        <x:f>C1739*E1739</x:f>
        <x:v>3150.7999999999997</x:v>
      </x:c>
      <x:c r="H1739" s="8" t="n">
        <x:f>F1739-G1739</x:f>
        <x:v>3029.2000000000003</x:v>
      </x:c>
      <x:c r="I1739" s="10" t="n">
        <x:f>H1739/F1739</x:f>
        <x:v>0.49016181229773464</x:v>
      </x:c>
    </x:row>
    <x:row r="1740" ht="22" customHeight="1">
      <x:c r="A1740" s="11" t="str">
        <x:v>315</x:v>
      </x:c>
      <x:c r="B1740" s="8" t="str">
        <x:v>SV Car Video AM/FM E1000 Silver</x:v>
      </x:c>
      <x:c r="C1740" s="8" t="n">
        <x:v>17</x:v>
      </x:c>
      <x:c r="D1740" s="9" t="n">
        <x:v>199</x:v>
      </x:c>
      <x:c r="E1740" s="9" t="n">
        <x:v>101.46</x:v>
      </x:c>
      <x:c r="F1740" s="8" t="n">
        <x:f>C1740*D1740</x:f>
        <x:v>3383</x:v>
      </x:c>
      <x:c r="G1740" s="8" t="n">
        <x:f>C1740*E1740</x:f>
        <x:v>1724.82</x:v>
      </x:c>
      <x:c r="H1740" s="8" t="n">
        <x:f>F1740-G1740</x:f>
        <x:v>1658.18</x:v>
      </x:c>
      <x:c r="I1740" s="10" t="n">
        <x:f>H1740/F1740</x:f>
        <x:v>0.49015075376884426</x:v>
      </x:c>
    </x:row>
    <x:row r="1741" ht="22" customHeight="1">
      <x:c r="A1741" s="11" t="str">
        <x:v>316</x:v>
      </x:c>
      <x:c r="B1741" s="8" t="str">
        <x:v>SV Car Video AM/FM E1001 Silver</x:v>
      </x:c>
      <x:c r="C1741" s="8" t="n">
        <x:v>17</x:v>
      </x:c>
      <x:c r="D1741" s="9" t="n">
        <x:v>219</x:v>
      </x:c>
      <x:c r="E1741" s="9" t="n">
        <x:v>111.65</x:v>
      </x:c>
      <x:c r="F1741" s="8" t="n">
        <x:f>C1741*D1741</x:f>
        <x:v>3723</x:v>
      </x:c>
      <x:c r="G1741" s="8" t="n">
        <x:f>C1741*E1741</x:f>
        <x:v>1898.0500000000002</x:v>
      </x:c>
      <x:c r="H1741" s="8" t="n">
        <x:f>F1741-G1741</x:f>
        <x:v>1824.9499999999998</x:v>
      </x:c>
      <x:c r="I1741" s="10" t="n">
        <x:f>H1741/F1741</x:f>
        <x:v>0.49018264840182646</x:v>
      </x:c>
    </x:row>
    <x:row r="1742" ht="22" customHeight="1">
      <x:c r="A1742" s="11" t="str">
        <x:v>317</x:v>
      </x:c>
      <x:c r="B1742" s="8" t="str">
        <x:v>SV Car Video TFT7 M7002 Silver</x:v>
      </x:c>
      <x:c r="C1742" s="8" t="n">
        <x:v>37</x:v>
      </x:c>
      <x:c r="D1742" s="9" t="n">
        <x:v>319</x:v>
      </x:c>
      <x:c r="E1742" s="9" t="n">
        <x:v>162.64</x:v>
      </x:c>
      <x:c r="F1742" s="8" t="n">
        <x:f>C1742*D1742</x:f>
        <x:v>11803</x:v>
      </x:c>
      <x:c r="G1742" s="8" t="n">
        <x:f>C1742*E1742</x:f>
        <x:v>6017.679999999999</x:v>
      </x:c>
      <x:c r="H1742" s="8" t="n">
        <x:f>F1742-G1742</x:f>
        <x:v>5785.320000000001</x:v>
      </x:c>
      <x:c r="I1742" s="10" t="n">
        <x:f>H1742/F1742</x:f>
        <x:v>0.49015673981191227</x:v>
      </x:c>
    </x:row>
    <x:row r="1743" ht="22" customHeight="1">
      <x:c r="A1743" s="11" t="str">
        <x:v>318</x:v>
      </x:c>
      <x:c r="B1743" s="8" t="str">
        <x:v>SV Car Video LCD9.2W X9280 Silver</x:v>
      </x:c>
      <x:c r="C1743" s="8" t="n">
        <x:v>31</x:v>
      </x:c>
      <x:c r="D1743" s="9" t="n">
        <x:v>999</x:v>
      </x:c>
      <x:c r="E1743" s="9" t="n">
        <x:v>330.99</x:v>
      </x:c>
      <x:c r="F1743" s="8" t="n">
        <x:f>C1743*D1743</x:f>
        <x:v>30969</x:v>
      </x:c>
      <x:c r="G1743" s="8" t="n">
        <x:f>C1743*E1743</x:f>
        <x:v>10260.69</x:v>
      </x:c>
      <x:c r="H1743" s="8" t="n">
        <x:f>F1743-G1743</x:f>
        <x:v>20708.309999999998</x:v>
      </x:c>
      <x:c r="I1743" s="10" t="n">
        <x:f>H1743/F1743</x:f>
        <x:v>0.6686786786786786</x:v>
      </x:c>
    </x:row>
    <x:row r="1744" ht="22" customHeight="1">
      <x:c r="A1744" s="11" t="str">
        <x:v>319</x:v>
      </x:c>
      <x:c r="B1744" s="8" t="str">
        <x:v>SV Car Video LCD9.2W X9281 Silver</x:v>
      </x:c>
      <x:c r="C1744" s="8" t="n">
        <x:v>26</x:v>
      </x:c>
      <x:c r="D1744" s="9" t="n">
        <x:v>869</x:v>
      </x:c>
      <x:c r="E1744" s="9" t="n">
        <x:v>287.92</x:v>
      </x:c>
      <x:c r="F1744" s="8" t="n">
        <x:f>C1744*D1744</x:f>
        <x:v>22594</x:v>
      </x:c>
      <x:c r="G1744" s="8" t="n">
        <x:f>C1744*E1744</x:f>
        <x:v>7485.92</x:v>
      </x:c>
      <x:c r="H1744" s="8" t="n">
        <x:f>F1744-G1744</x:f>
        <x:v>15108.08</x:v>
      </x:c>
      <x:c r="I1744" s="10" t="n">
        <x:f>H1744/F1744</x:f>
        <x:v>0.6686766398158803</x:v>
      </x:c>
    </x:row>
    <x:row r="1745" ht="22" customHeight="1">
      <x:c r="A1745" s="11" t="str">
        <x:v>32</x:v>
      </x:c>
      <x:c r="B1745" s="8" t="str">
        <x:v>Contoso 32GB Video MP3 Player M3200 Pink</x:v>
      </x:c>
      <x:c r="C1745" s="8" t="n">
        <x:v>94</x:v>
      </x:c>
      <x:c r="D1745" s="9" t="n">
        <x:v>255</x:v>
      </x:c>
      <x:c r="E1745" s="9" t="n">
        <x:v>84.49</x:v>
      </x:c>
      <x:c r="F1745" s="8" t="n">
        <x:f>C1745*D1745</x:f>
        <x:v>23970</x:v>
      </x:c>
      <x:c r="G1745" s="8" t="n">
        <x:f>C1745*E1745</x:f>
        <x:v>7942.0599999999995</x:v>
      </x:c>
      <x:c r="H1745" s="8" t="n">
        <x:f>F1745-G1745</x:f>
        <x:v>16027.94</x:v>
      </x:c>
      <x:c r="I1745" s="10" t="n">
        <x:f>H1745/F1745</x:f>
        <x:v>0.6686666666666667</x:v>
      </x:c>
    </x:row>
    <x:row r="1746" ht="22" customHeight="1">
      <x:c r="A1746" s="11" t="str">
        <x:v>320</x:v>
      </x:c>
      <x:c r="B1746" s="8" t="str">
        <x:v>SV Car Video LCD7W M7082 Silver</x:v>
      </x:c>
      <x:c r="C1746" s="8" t="n">
        <x:v>20</x:v>
      </x:c>
      <x:c r="D1746" s="9" t="n">
        <x:v>699</x:v>
      </x:c>
      <x:c r="E1746" s="9" t="n">
        <x:v>321.44</x:v>
      </x:c>
      <x:c r="F1746" s="8" t="n">
        <x:f>C1746*D1746</x:f>
        <x:v>13980</x:v>
      </x:c>
      <x:c r="G1746" s="8" t="n">
        <x:f>C1746*E1746</x:f>
        <x:v>6428.8</x:v>
      </x:c>
      <x:c r="H1746" s="8" t="n">
        <x:f>F1746-G1746</x:f>
        <x:v>7551.2</x:v>
      </x:c>
      <x:c r="I1746" s="10" t="n">
        <x:f>H1746/F1746</x:f>
        <x:v>0.5401430615164521</x:v>
      </x:c>
    </x:row>
    <x:row r="1747" ht="22" customHeight="1">
      <x:c r="A1747" s="11" t="str">
        <x:v>321</x:v>
      </x:c>
      <x:c r="B1747" s="8" t="str">
        <x:v>SV Car Video LCD7 M7001 Silver</x:v>
      </x:c>
      <x:c r="C1747" s="8" t="n">
        <x:v>8</x:v>
      </x:c>
      <x:c r="D1747" s="9" t="n">
        <x:v>329</x:v>
      </x:c>
      <x:c r="E1747" s="9" t="n">
        <x:v>151.3</x:v>
      </x:c>
      <x:c r="F1747" s="8" t="n">
        <x:f>C1747*D1747</x:f>
        <x:v>2632</x:v>
      </x:c>
      <x:c r="G1747" s="8" t="n">
        <x:f>C1747*E1747</x:f>
        <x:v>1210.4</x:v>
      </x:c>
      <x:c r="H1747" s="8" t="n">
        <x:f>F1747-G1747</x:f>
        <x:v>1421.6</x:v>
      </x:c>
      <x:c r="I1747" s="10" t="n">
        <x:f>H1747/F1747</x:f>
        <x:v>0.5401215805471125</x:v>
      </x:c>
    </x:row>
    <x:row r="1748" ht="22" customHeight="1">
      <x:c r="A1748" s="11" t="str">
        <x:v>322</x:v>
      </x:c>
      <x:c r="B1748" s="8" t="str">
        <x:v>SV Car Video LCD7 M7002 Silver</x:v>
      </x:c>
      <x:c r="C1748" s="8" t="n">
        <x:v>39</x:v>
      </x:c>
      <x:c r="D1748" s="9" t="n">
        <x:v>369</x:v>
      </x:c>
      <x:c r="E1748" s="9" t="n">
        <x:v>169.69</x:v>
      </x:c>
      <x:c r="F1748" s="8" t="n">
        <x:f>C1748*D1748</x:f>
        <x:v>14391</x:v>
      </x:c>
      <x:c r="G1748" s="8" t="n">
        <x:f>C1748*E1748</x:f>
        <x:v>6617.91</x:v>
      </x:c>
      <x:c r="H1748" s="8" t="n">
        <x:f>F1748-G1748</x:f>
        <x:v>7773.09</x:v>
      </x:c>
      <x:c r="I1748" s="10" t="n">
        <x:f>H1748/F1748</x:f>
        <x:v>0.5401355013550135</x:v>
      </x:c>
    </x:row>
    <x:row r="1749" ht="22" customHeight="1">
      <x:c r="A1749" s="11" t="str">
        <x:v>323</x:v>
      </x:c>
      <x:c r="B1749" s="8" t="str">
        <x:v>SV Car Video LCD7 M7003 Silver</x:v>
      </x:c>
      <x:c r="C1749" s="8" t="n">
        <x:v>22</x:v>
      </x:c>
      <x:c r="D1749" s="9" t="n">
        <x:v>369</x:v>
      </x:c>
      <x:c r="E1749" s="9" t="n">
        <x:v>169.69</x:v>
      </x:c>
      <x:c r="F1749" s="8" t="n">
        <x:f>C1749*D1749</x:f>
        <x:v>8118</x:v>
      </x:c>
      <x:c r="G1749" s="8" t="n">
        <x:f>C1749*E1749</x:f>
        <x:v>3733.18</x:v>
      </x:c>
      <x:c r="H1749" s="8" t="n">
        <x:f>F1749-G1749</x:f>
        <x:v>4384.82</x:v>
      </x:c>
      <x:c r="I1749" s="10" t="n">
        <x:f>H1749/F1749</x:f>
        <x:v>0.5401355013550135</x:v>
      </x:c>
    </x:row>
    <x:row r="1750" ht="22" customHeight="1">
      <x:c r="A1750" s="11" t="str">
        <x:v>324</x:v>
      </x:c>
      <x:c r="B1750" s="8" t="str">
        <x:v>SV Car Video LCD7W M7080 Brown</x:v>
      </x:c>
      <x:c r="C1750" s="8" t="n">
        <x:v>18</x:v>
      </x:c>
      <x:c r="D1750" s="9" t="n">
        <x:v>500</x:v>
      </x:c>
      <x:c r="E1750" s="9" t="n">
        <x:v>229.93</x:v>
      </x:c>
      <x:c r="F1750" s="8" t="n">
        <x:f>C1750*D1750</x:f>
        <x:v>9000</x:v>
      </x:c>
      <x:c r="G1750" s="8" t="n">
        <x:f>C1750*E1750</x:f>
        <x:v>4138.74</x:v>
      </x:c>
      <x:c r="H1750" s="8" t="n">
        <x:f>F1750-G1750</x:f>
        <x:v>4861.26</x:v>
      </x:c>
      <x:c r="I1750" s="10" t="n">
        <x:f>H1750/F1750</x:f>
        <x:v>0.5401400000000001</x:v>
      </x:c>
    </x:row>
    <x:row r="1751" ht="22" customHeight="1">
      <x:c r="A1751" s="11" t="str">
        <x:v>325</x:v>
      </x:c>
      <x:c r="B1751" s="8" t="str">
        <x:v>SV Car Video LCD7W M7081 Brown</x:v>
      </x:c>
      <x:c r="C1751" s="8" t="n">
        <x:v>31</x:v>
      </x:c>
      <x:c r="D1751" s="9" t="n">
        <x:v>499</x:v>
      </x:c>
      <x:c r="E1751" s="9" t="n">
        <x:v>229.47</x:v>
      </x:c>
      <x:c r="F1751" s="8" t="n">
        <x:f>C1751*D1751</x:f>
        <x:v>15469</x:v>
      </x:c>
      <x:c r="G1751" s="8" t="n">
        <x:f>C1751*E1751</x:f>
        <x:v>7113.57</x:v>
      </x:c>
      <x:c r="H1751" s="8" t="n">
        <x:f>F1751-G1751</x:f>
        <x:v>8355.43</x:v>
      </x:c>
      <x:c r="I1751" s="10" t="n">
        <x:f>H1751/F1751</x:f>
        <x:v>0.5401402805611223</x:v>
      </x:c>
    </x:row>
    <x:row r="1752" ht="22" customHeight="1">
      <x:c r="A1752" s="11" t="str">
        <x:v>326</x:v>
      </x:c>
      <x:c r="B1752" s="8" t="str">
        <x:v>SV Car Video TFT7 M7000 Brown</x:v>
      </x:c>
      <x:c r="C1752" s="8" t="n">
        <x:v>43</x:v>
      </x:c>
      <x:c r="D1752" s="9" t="n">
        <x:v>299</x:v>
      </x:c>
      <x:c r="E1752" s="9" t="n">
        <x:v>152.44</x:v>
      </x:c>
      <x:c r="F1752" s="8" t="n">
        <x:f>C1752*D1752</x:f>
        <x:v>12857</x:v>
      </x:c>
      <x:c r="G1752" s="8" t="n">
        <x:f>C1752*E1752</x:f>
        <x:v>6554.92</x:v>
      </x:c>
      <x:c r="H1752" s="8" t="n">
        <x:f>F1752-G1752</x:f>
        <x:v>6302.08</x:v>
      </x:c>
      <x:c r="I1752" s="10" t="n">
        <x:f>H1752/F1752</x:f>
        <x:v>0.4901672240802675</x:v>
      </x:c>
    </x:row>
    <x:row r="1753" ht="22" customHeight="1">
      <x:c r="A1753" s="11" t="str">
        <x:v>327</x:v>
      </x:c>
      <x:c r="B1753" s="8" t="str">
        <x:v>SV Car Video TFT6.2W E6280 Brown</x:v>
      </x:c>
      <x:c r="C1753" s="8" t="n">
        <x:v>42</x:v>
      </x:c>
      <x:c r="D1753" s="9" t="n">
        <x:v>279</x:v>
      </x:c>
      <x:c r="E1753" s="9" t="n">
        <x:v>142.24</x:v>
      </x:c>
      <x:c r="F1753" s="8" t="n">
        <x:f>C1753*D1753</x:f>
        <x:v>11718</x:v>
      </x:c>
      <x:c r="G1753" s="8" t="n">
        <x:f>C1753*E1753</x:f>
        <x:v>5974.08</x:v>
      </x:c>
      <x:c r="H1753" s="8" t="n">
        <x:f>F1753-G1753</x:f>
        <x:v>5743.92</x:v>
      </x:c>
      <x:c r="I1753" s="10" t="n">
        <x:f>H1753/F1753</x:f>
        <x:v>0.4901792114695341</x:v>
      </x:c>
    </x:row>
    <x:row r="1754" ht="22" customHeight="1">
      <x:c r="A1754" s="11" t="str">
        <x:v>328</x:v>
      </x:c>
      <x:c r="B1754" s="8" t="str">
        <x:v>SV Car Video TFT6.2W E6281 Brown</x:v>
      </x:c>
      <x:c r="C1754" s="8" t="n">
        <x:v>17</x:v>
      </x:c>
      <x:c r="D1754" s="9" t="n">
        <x:v>259</x:v>
      </x:c>
      <x:c r="E1754" s="9" t="n">
        <x:v>132.05</x:v>
      </x:c>
      <x:c r="F1754" s="8" t="n">
        <x:f>C1754*D1754</x:f>
        <x:v>4403</x:v>
      </x:c>
      <x:c r="G1754" s="8" t="n">
        <x:f>C1754*E1754</x:f>
        <x:v>2244.8500000000004</x:v>
      </x:c>
      <x:c r="H1754" s="8" t="n">
        <x:f>F1754-G1754</x:f>
        <x:v>2158.1499999999996</x:v>
      </x:c>
      <x:c r="I1754" s="10" t="n">
        <x:f>H1754/F1754</x:f>
        <x:v>0.4901544401544401</x:v>
      </x:c>
    </x:row>
    <x:row r="1755" ht="22" customHeight="1">
      <x:c r="A1755" s="11" t="str">
        <x:v>329</x:v>
      </x:c>
      <x:c r="B1755" s="8" t="str">
        <x:v>SV Car Video TFT6.2W E6282 Brown</x:v>
      </x:c>
      <x:c r="C1755" s="8" t="n">
        <x:v>50</x:v>
      </x:c>
      <x:c r="D1755" s="9" t="n">
        <x:v>269</x:v>
      </x:c>
      <x:c r="E1755" s="9" t="n">
        <x:v>137.14</x:v>
      </x:c>
      <x:c r="F1755" s="8" t="n">
        <x:f>C1755*D1755</x:f>
        <x:v>13450</x:v>
      </x:c>
      <x:c r="G1755" s="8" t="n">
        <x:f>C1755*E1755</x:f>
        <x:v>6856.999999999999</x:v>
      </x:c>
      <x:c r="H1755" s="8" t="n">
        <x:f>F1755-G1755</x:f>
        <x:v>6593.000000000001</x:v>
      </x:c>
      <x:c r="I1755" s="10" t="n">
        <x:f>H1755/F1755</x:f>
        <x:v>0.490185873605948</x:v>
      </x:c>
    </x:row>
    <x:row r="1756" ht="22" customHeight="1">
      <x:c r="A1756" s="11" t="str">
        <x:v>33</x:v>
      </x:c>
      <x:c r="B1756" s="8" t="str">
        <x:v>Contoso 32GB Video MP3 Player M3200 Black</x:v>
      </x:c>
      <x:c r="C1756" s="8" t="n">
        <x:v>87</x:v>
      </x:c>
      <x:c r="D1756" s="9" t="n">
        <x:v>255</x:v>
      </x:c>
      <x:c r="E1756" s="9" t="n">
        <x:v>84.49</x:v>
      </x:c>
      <x:c r="F1756" s="8" t="n">
        <x:f>C1756*D1756</x:f>
        <x:v>22185</x:v>
      </x:c>
      <x:c r="G1756" s="8" t="n">
        <x:f>C1756*E1756</x:f>
        <x:v>7350.629999999999</x:v>
      </x:c>
      <x:c r="H1756" s="8" t="n">
        <x:f>F1756-G1756</x:f>
        <x:v>14834.37</x:v>
      </x:c>
      <x:c r="I1756" s="10" t="n">
        <x:f>H1756/F1756</x:f>
        <x:v>0.6686666666666667</x:v>
      </x:c>
    </x:row>
    <x:row r="1757" ht="22" customHeight="1">
      <x:c r="A1757" s="11" t="str">
        <x:v>330</x:v>
      </x:c>
      <x:c r="B1757" s="8" t="str">
        <x:v>SV Car Video TFT7 M7001 Brown</x:v>
      </x:c>
      <x:c r="C1757" s="8" t="n">
        <x:v>51</x:v>
      </x:c>
      <x:c r="D1757" s="9" t="n">
        <x:v>309</x:v>
      </x:c>
      <x:c r="E1757" s="9" t="n">
        <x:v>157.54</x:v>
      </x:c>
      <x:c r="F1757" s="8" t="n">
        <x:f>C1757*D1757</x:f>
        <x:v>15759</x:v>
      </x:c>
      <x:c r="G1757" s="8" t="n">
        <x:f>C1757*E1757</x:f>
        <x:v>8034.54</x:v>
      </x:c>
      <x:c r="H1757" s="8" t="n">
        <x:f>F1757-G1757</x:f>
        <x:v>7724.46</x:v>
      </x:c>
      <x:c r="I1757" s="10" t="n">
        <x:f>H1757/F1757</x:f>
        <x:v>0.49016181229773464</x:v>
      </x:c>
    </x:row>
    <x:row r="1758" ht="22" customHeight="1">
      <x:c r="A1758" s="11" t="str">
        <x:v>331</x:v>
      </x:c>
      <x:c r="B1758" s="8" t="str">
        <x:v>SV Car Video AM/FM E1000 Brown</x:v>
      </x:c>
      <x:c r="C1758" s="8" t="n">
        <x:v>52</x:v>
      </x:c>
      <x:c r="D1758" s="9" t="n">
        <x:v>199</x:v>
      </x:c>
      <x:c r="E1758" s="9" t="n">
        <x:v>101.46</x:v>
      </x:c>
      <x:c r="F1758" s="8" t="n">
        <x:f>C1758*D1758</x:f>
        <x:v>10348</x:v>
      </x:c>
      <x:c r="G1758" s="8" t="n">
        <x:f>C1758*E1758</x:f>
        <x:v>5275.92</x:v>
      </x:c>
      <x:c r="H1758" s="8" t="n">
        <x:f>F1758-G1758</x:f>
        <x:v>5072.08</x:v>
      </x:c>
      <x:c r="I1758" s="10" t="n">
        <x:f>H1758/F1758</x:f>
        <x:v>0.4901507537688442</x:v>
      </x:c>
    </x:row>
    <x:row r="1759" ht="22" customHeight="1">
      <x:c r="A1759" s="11" t="str">
        <x:v>332</x:v>
      </x:c>
      <x:c r="B1759" s="8" t="str">
        <x:v>SV Car Video AM/FM E1001 Brown</x:v>
      </x:c>
      <x:c r="C1759" s="8" t="n">
        <x:v>35</x:v>
      </x:c>
      <x:c r="D1759" s="9" t="n">
        <x:v>219</x:v>
      </x:c>
      <x:c r="E1759" s="9" t="n">
        <x:v>111.65</x:v>
      </x:c>
      <x:c r="F1759" s="8" t="n">
        <x:f>C1759*D1759</x:f>
        <x:v>7665</x:v>
      </x:c>
      <x:c r="G1759" s="8" t="n">
        <x:f>C1759*E1759</x:f>
        <x:v>3907.75</x:v>
      </x:c>
      <x:c r="H1759" s="8" t="n">
        <x:f>F1759-G1759</x:f>
        <x:v>3757.25</x:v>
      </x:c>
      <x:c r="I1759" s="10" t="n">
        <x:f>H1759/F1759</x:f>
        <x:v>0.49018264840182646</x:v>
      </x:c>
    </x:row>
    <x:row r="1760" ht="22" customHeight="1">
      <x:c r="A1760" s="11" t="str">
        <x:v>333</x:v>
      </x:c>
      <x:c r="B1760" s="8" t="str">
        <x:v>SV Car Video TFT7 M7002 Brown</x:v>
      </x:c>
      <x:c r="C1760" s="8" t="n">
        <x:v>25</x:v>
      </x:c>
      <x:c r="D1760" s="9" t="n">
        <x:v>319</x:v>
      </x:c>
      <x:c r="E1760" s="9" t="n">
        <x:v>162.64</x:v>
      </x:c>
      <x:c r="F1760" s="8" t="n">
        <x:f>C1760*D1760</x:f>
        <x:v>7975</x:v>
      </x:c>
      <x:c r="G1760" s="8" t="n">
        <x:f>C1760*E1760</x:f>
        <x:v>4065.9999999999995</x:v>
      </x:c>
      <x:c r="H1760" s="8" t="n">
        <x:f>F1760-G1760</x:f>
        <x:v>3909.0000000000005</x:v>
      </x:c>
      <x:c r="I1760" s="10" t="n">
        <x:f>H1760/F1760</x:f>
        <x:v>0.49015673981191227</x:v>
      </x:c>
    </x:row>
    <x:row r="1761" ht="22" customHeight="1">
      <x:c r="A1761" s="11" t="str">
        <x:v>334</x:v>
      </x:c>
      <x:c r="B1761" s="8" t="str">
        <x:v>SV Car Video LCD9.2W X9280 Brown</x:v>
      </x:c>
      <x:c r="C1761" s="8" t="n">
        <x:v>45</x:v>
      </x:c>
      <x:c r="D1761" s="9" t="n">
        <x:v>999</x:v>
      </x:c>
      <x:c r="E1761" s="9" t="n">
        <x:v>330.99</x:v>
      </x:c>
      <x:c r="F1761" s="8" t="n">
        <x:f>C1761*D1761</x:f>
        <x:v>44955</x:v>
      </x:c>
      <x:c r="G1761" s="8" t="n">
        <x:f>C1761*E1761</x:f>
        <x:v>14894.550000000001</x:v>
      </x:c>
      <x:c r="H1761" s="8" t="n">
        <x:f>F1761-G1761</x:f>
        <x:v>30060.449999999997</x:v>
      </x:c>
      <x:c r="I1761" s="10" t="n">
        <x:f>H1761/F1761</x:f>
        <x:v>0.6686786786786786</x:v>
      </x:c>
    </x:row>
    <x:row r="1762" ht="22" customHeight="1">
      <x:c r="A1762" s="11" t="str">
        <x:v>335</x:v>
      </x:c>
      <x:c r="B1762" s="8" t="str">
        <x:v>SV Car Video LCD9.2W X9281 Brown</x:v>
      </x:c>
      <x:c r="C1762" s="8" t="n">
        <x:v>29</x:v>
      </x:c>
      <x:c r="D1762" s="9" t="n">
        <x:v>869</x:v>
      </x:c>
      <x:c r="E1762" s="9" t="n">
        <x:v>287.92</x:v>
      </x:c>
      <x:c r="F1762" s="8" t="n">
        <x:f>C1762*D1762</x:f>
        <x:v>25201</x:v>
      </x:c>
      <x:c r="G1762" s="8" t="n">
        <x:f>C1762*E1762</x:f>
        <x:v>8349.68</x:v>
      </x:c>
      <x:c r="H1762" s="8" t="n">
        <x:f>F1762-G1762</x:f>
        <x:v>16851.32</x:v>
      </x:c>
      <x:c r="I1762" s="10" t="n">
        <x:f>H1762/F1762</x:f>
        <x:v>0.6686766398158803</x:v>
      </x:c>
    </x:row>
    <x:row r="1763" ht="22" customHeight="1">
      <x:c r="A1763" s="11" t="str">
        <x:v>336</x:v>
      </x:c>
      <x:c r="B1763" s="8" t="str">
        <x:v>SV Car Video LCD7W M7082 Brown</x:v>
      </x:c>
      <x:c r="C1763" s="8" t="n">
        <x:v>37</x:v>
      </x:c>
      <x:c r="D1763" s="9" t="n">
        <x:v>699</x:v>
      </x:c>
      <x:c r="E1763" s="9" t="n">
        <x:v>321.44</x:v>
      </x:c>
      <x:c r="F1763" s="8" t="n">
        <x:f>C1763*D1763</x:f>
        <x:v>25863</x:v>
      </x:c>
      <x:c r="G1763" s="8" t="n">
        <x:f>C1763*E1763</x:f>
        <x:v>11893.28</x:v>
      </x:c>
      <x:c r="H1763" s="8" t="n">
        <x:f>F1763-G1763</x:f>
        <x:v>13969.72</x:v>
      </x:c>
      <x:c r="I1763" s="10" t="n">
        <x:f>H1763/F1763</x:f>
        <x:v>0.5401430615164521</x:v>
      </x:c>
    </x:row>
    <x:row r="1764" ht="22" customHeight="1">
      <x:c r="A1764" s="11" t="str">
        <x:v>337</x:v>
      </x:c>
      <x:c r="B1764" s="8" t="str">
        <x:v>SV Car Video LCD7 M7001 Brown</x:v>
      </x:c>
      <x:c r="C1764" s="8" t="n">
        <x:v>44</x:v>
      </x:c>
      <x:c r="D1764" s="9" t="n">
        <x:v>329</x:v>
      </x:c>
      <x:c r="E1764" s="9" t="n">
        <x:v>151.3</x:v>
      </x:c>
      <x:c r="F1764" s="8" t="n">
        <x:f>C1764*D1764</x:f>
        <x:v>14476</x:v>
      </x:c>
      <x:c r="G1764" s="8" t="n">
        <x:f>C1764*E1764</x:f>
        <x:v>6657.200000000001</x:v>
      </x:c>
      <x:c r="H1764" s="8" t="n">
        <x:f>F1764-G1764</x:f>
        <x:v>7818.799999999999</x:v>
      </x:c>
      <x:c r="I1764" s="10" t="n">
        <x:f>H1764/F1764</x:f>
        <x:v>0.5401215805471125</x:v>
      </x:c>
    </x:row>
    <x:row r="1765" ht="22" customHeight="1">
      <x:c r="A1765" s="11" t="str">
        <x:v>338</x:v>
      </x:c>
      <x:c r="B1765" s="8" t="str">
        <x:v>Fabrikam Laptop19W M9800 Black</x:v>
      </x:c>
      <x:c r="C1765" s="8" t="n">
        <x:v>59</x:v>
      </x:c>
      <x:c r="D1765" s="9" t="n">
        <x:v>1199</x:v>
      </x:c>
      <x:c r="E1765" s="9" t="n">
        <x:v>397.25</x:v>
      </x:c>
      <x:c r="F1765" s="8" t="n">
        <x:f>C1765*D1765</x:f>
        <x:v>70741</x:v>
      </x:c>
      <x:c r="G1765" s="8" t="n">
        <x:f>C1765*E1765</x:f>
        <x:v>23437.75</x:v>
      </x:c>
      <x:c r="H1765" s="8" t="n">
        <x:f>F1765-G1765</x:f>
        <x:v>47303.25</x:v>
      </x:c>
      <x:c r="I1765" s="10" t="n">
        <x:f>H1765/F1765</x:f>
        <x:v>0.6686822351959967</x:v>
      </x:c>
    </x:row>
    <x:row r="1766" ht="22" customHeight="1">
      <x:c r="A1766" s="11" t="str">
        <x:v>339</x:v>
      </x:c>
      <x:c r="B1766" s="8" t="str">
        <x:v>Fabrikam Laptop17W M7080 Black</x:v>
      </x:c>
      <x:c r="C1766" s="8" t="n">
        <x:v>33</x:v>
      </x:c>
      <x:c r="D1766" s="9" t="n">
        <x:v>879.9</x:v>
      </x:c>
      <x:c r="E1766" s="9" t="n">
        <x:v>404.63</x:v>
      </x:c>
      <x:c r="F1766" s="8" t="n">
        <x:f>C1766*D1766</x:f>
        <x:v>29036.7</x:v>
      </x:c>
      <x:c r="G1766" s="8" t="n">
        <x:f>C1766*E1766</x:f>
        <x:v>13352.789999999999</x:v>
      </x:c>
      <x:c r="H1766" s="8" t="n">
        <x:f>F1766-G1766</x:f>
        <x:v>15683.910000000002</x:v>
      </x:c>
      <x:c r="I1766" s="10" t="n">
        <x:f>H1766/F1766</x:f>
        <x:v>0.5401409251051257</x:v>
      </x:c>
    </x:row>
    <x:row r="1767" ht="22" customHeight="1">
      <x:c r="A1767" s="11" t="str">
        <x:v>34</x:v>
      </x:c>
      <x:c r="B1767" s="8" t="str">
        <x:v>Contoso 4GB Portable MP3 Player M450 Black</x:v>
      </x:c>
      <x:c r="C1767" s="8" t="n">
        <x:v>100</x:v>
      </x:c>
      <x:c r="D1767" s="9" t="n">
        <x:v>95.95</x:v>
      </x:c>
      <x:c r="E1767" s="9" t="n">
        <x:v>48.92</x:v>
      </x:c>
      <x:c r="F1767" s="8" t="n">
        <x:f>C1767*D1767</x:f>
        <x:v>9595</x:v>
      </x:c>
      <x:c r="G1767" s="8" t="n">
        <x:f>C1767*E1767</x:f>
        <x:v>4892</x:v>
      </x:c>
      <x:c r="H1767" s="8" t="n">
        <x:f>F1767-G1767</x:f>
        <x:v>4703</x:v>
      </x:c>
      <x:c r="I1767" s="10" t="n">
        <x:f>H1767/F1767</x:f>
        <x:v>0.4901511203751954</x:v>
      </x:c>
    </x:row>
    <x:row r="1768" ht="22" customHeight="1">
      <x:c r="A1768" s="11" t="str">
        <x:v>340</x:v>
      </x:c>
      <x:c r="B1768" s="8" t="str">
        <x:v>Fabrikam Laptop17 M7000 Black</x:v>
      </x:c>
      <x:c r="C1768" s="8" t="n">
        <x:v>71</x:v>
      </x:c>
      <x:c r="D1768" s="9" t="n">
        <x:v>819</x:v>
      </x:c>
      <x:c r="E1768" s="9" t="n">
        <x:v>376.63</x:v>
      </x:c>
      <x:c r="F1768" s="8" t="n">
        <x:f>C1768*D1768</x:f>
        <x:v>58149</x:v>
      </x:c>
      <x:c r="G1768" s="8" t="n">
        <x:f>C1768*E1768</x:f>
        <x:v>26740.73</x:v>
      </x:c>
      <x:c r="H1768" s="8" t="n">
        <x:f>F1768-G1768</x:f>
        <x:v>31408.27</x:v>
      </x:c>
      <x:c r="I1768" s="10" t="n">
        <x:f>H1768/F1768</x:f>
        <x:v>0.5401343101343101</x:v>
      </x:c>
    </x:row>
    <x:row r="1769" ht="22" customHeight="1">
      <x:c r="A1769" s="11" t="str">
        <x:v>341</x:v>
      </x:c>
      <x:c r="B1769" s="8" t="str">
        <x:v>Fabrikam Laptop16W M6080 Black</x:v>
      </x:c>
      <x:c r="C1769" s="8" t="n">
        <x:v>45</x:v>
      </x:c>
      <x:c r="D1769" s="9" t="n">
        <x:v>967</x:v>
      </x:c>
      <x:c r="E1769" s="9" t="n">
        <x:v>444.69</x:v>
      </x:c>
      <x:c r="F1769" s="8" t="n">
        <x:f>C1769*D1769</x:f>
        <x:v>43515</x:v>
      </x:c>
      <x:c r="G1769" s="8" t="n">
        <x:f>C1769*E1769</x:f>
        <x:v>20011.05</x:v>
      </x:c>
      <x:c r="H1769" s="8" t="n">
        <x:f>F1769-G1769</x:f>
        <x:v>23503.95</x:v>
      </x:c>
      <x:c r="I1769" s="10" t="n">
        <x:f>H1769/F1769</x:f>
        <x:v>0.5401344364012409</x:v>
      </x:c>
    </x:row>
    <x:row r="1770" ht="22" customHeight="1">
      <x:c r="A1770" s="11" t="str">
        <x:v>342</x:v>
      </x:c>
      <x:c r="B1770" s="8" t="str">
        <x:v>Fabrikam Laptop16 M6000 Black</x:v>
      </x:c>
      <x:c r="C1770" s="8" t="n">
        <x:v>84</x:v>
      </x:c>
      <x:c r="D1770" s="9" t="n">
        <x:v>599</x:v>
      </x:c>
      <x:c r="E1770" s="9" t="n">
        <x:v>275.46</x:v>
      </x:c>
      <x:c r="F1770" s="8" t="n">
        <x:f>C1770*D1770</x:f>
        <x:v>50316</x:v>
      </x:c>
      <x:c r="G1770" s="8" t="n">
        <x:f>C1770*E1770</x:f>
        <x:v>23138.64</x:v>
      </x:c>
      <x:c r="H1770" s="8" t="n">
        <x:f>F1770-G1770</x:f>
        <x:v>27177.36</x:v>
      </x:c>
      <x:c r="I1770" s="10" t="n">
        <x:f>H1770/F1770</x:f>
        <x:v>0.5401335559265442</x:v>
      </x:c>
    </x:row>
    <x:row r="1771" ht="22" customHeight="1">
      <x:c r="A1771" s="11" t="str">
        <x:v>343</x:v>
      </x:c>
      <x:c r="B1771" s="8" t="str">
        <x:v>Fabrikam Laptop19 M9000 Black</x:v>
      </x:c>
      <x:c r="C1771" s="8" t="n">
        <x:v>50</x:v>
      </x:c>
      <x:c r="D1771" s="9" t="n">
        <x:v>1099</x:v>
      </x:c>
      <x:c r="E1771" s="9" t="n">
        <x:v>364.12</x:v>
      </x:c>
      <x:c r="F1771" s="8" t="n">
        <x:f>C1771*D1771</x:f>
        <x:v>54950</x:v>
      </x:c>
      <x:c r="G1771" s="8" t="n">
        <x:f>C1771*E1771</x:f>
        <x:v>18206</x:v>
      </x:c>
      <x:c r="H1771" s="8" t="n">
        <x:f>F1771-G1771</x:f>
        <x:v>36744</x:v>
      </x:c>
      <x:c r="I1771" s="10" t="n">
        <x:f>H1771/F1771</x:f>
        <x:v>0.6686806187443131</x:v>
      </x:c>
    </x:row>
    <x:row r="1772" ht="22" customHeight="1">
      <x:c r="A1772" s="11" t="str">
        <x:v>344</x:v>
      </x:c>
      <x:c r="B1772" s="8" t="str">
        <x:v>Fabrikam Laptop12 M2000 White</x:v>
      </x:c>
      <x:c r="C1772" s="8" t="n">
        <x:v>41</x:v>
      </x:c>
      <x:c r="D1772" s="9" t="n">
        <x:v>366</x:v>
      </x:c>
      <x:c r="E1772" s="9" t="n">
        <x:v>186.6</x:v>
      </x:c>
      <x:c r="F1772" s="8" t="n">
        <x:f>C1772*D1772</x:f>
        <x:v>15006</x:v>
      </x:c>
      <x:c r="G1772" s="8" t="n">
        <x:f>C1772*E1772</x:f>
        <x:v>7650.599999999999</x:v>
      </x:c>
      <x:c r="H1772" s="8" t="n">
        <x:f>F1772-G1772</x:f>
        <x:v>7355.400000000001</x:v>
      </x:c>
      <x:c r="I1772" s="10" t="n">
        <x:f>H1772/F1772</x:f>
        <x:v>0.4901639344262295</x:v>
      </x:c>
    </x:row>
    <x:row r="1773" ht="22" customHeight="1">
      <x:c r="A1773" s="11" t="str">
        <x:v>345</x:v>
      </x:c>
      <x:c r="B1773" s="8" t="str">
        <x:v>Fabrikam Laptop15 M5000 White</x:v>
      </x:c>
      <x:c r="C1773" s="8" t="n">
        <x:v>62</x:v>
      </x:c>
      <x:c r="D1773" s="9" t="n">
        <x:v>699</x:v>
      </x:c>
      <x:c r="E1773" s="9" t="n">
        <x:v>321.44</x:v>
      </x:c>
      <x:c r="F1773" s="8" t="n">
        <x:f>C1773*D1773</x:f>
        <x:v>43338</x:v>
      </x:c>
      <x:c r="G1773" s="8" t="n">
        <x:f>C1773*E1773</x:f>
        <x:v>19929.28</x:v>
      </x:c>
      <x:c r="H1773" s="8" t="n">
        <x:f>F1773-G1773</x:f>
        <x:v>23408.72</x:v>
      </x:c>
      <x:c r="I1773" s="10" t="n">
        <x:f>H1773/F1773</x:f>
        <x:v>0.5401430615164521</x:v>
      </x:c>
    </x:row>
    <x:row r="1774" ht="22" customHeight="1">
      <x:c r="A1774" s="11" t="str">
        <x:v>346</x:v>
      </x:c>
      <x:c r="B1774" s="8" t="str">
        <x:v>Fabrikam Laptop15.4 M5400 White</x:v>
      </x:c>
      <x:c r="C1774" s="8" t="n">
        <x:v>74</x:v>
      </x:c>
      <x:c r="D1774" s="9" t="n">
        <x:v>659</x:v>
      </x:c>
      <x:c r="E1774" s="9" t="n">
        <x:v>303.05</x:v>
      </x:c>
      <x:c r="F1774" s="8" t="n">
        <x:f>C1774*D1774</x:f>
        <x:v>48766</x:v>
      </x:c>
      <x:c r="G1774" s="8" t="n">
        <x:f>C1774*E1774</x:f>
        <x:v>22425.7</x:v>
      </x:c>
      <x:c r="H1774" s="8" t="n">
        <x:f>F1774-G1774</x:f>
        <x:v>26340.3</x:v>
      </x:c>
      <x:c r="I1774" s="10" t="n">
        <x:f>H1774/F1774</x:f>
        <x:v>0.5401365705614567</x:v>
      </x:c>
    </x:row>
    <x:row r="1775" ht="22" customHeight="1">
      <x:c r="A1775" s="11" t="str">
        <x:v>347</x:v>
      </x:c>
      <x:c r="B1775" s="8" t="str">
        <x:v>Fabrikam Laptop14.1 M4100 White</x:v>
      </x:c>
      <x:c r="C1775" s="8" t="n">
        <x:v>95</x:v>
      </x:c>
      <x:c r="D1775" s="9" t="n">
        <x:v>586</x:v>
      </x:c>
      <x:c r="E1775" s="9" t="n">
        <x:v>269.48</x:v>
      </x:c>
      <x:c r="F1775" s="8" t="n">
        <x:f>C1775*D1775</x:f>
        <x:v>55670</x:v>
      </x:c>
      <x:c r="G1775" s="8" t="n">
        <x:f>C1775*E1775</x:f>
        <x:v>25600.600000000002</x:v>
      </x:c>
      <x:c r="H1775" s="8" t="n">
        <x:f>F1775-G1775</x:f>
        <x:v>30069.399999999998</x:v>
      </x:c>
      <x:c r="I1775" s="10" t="n">
        <x:f>H1775/F1775</x:f>
        <x:v>0.5401365187713311</x:v>
      </x:c>
    </x:row>
    <x:row r="1776" ht="22" customHeight="1">
      <x:c r="A1776" s="11" t="str">
        <x:v>348</x:v>
      </x:c>
      <x:c r="B1776" s="8" t="str">
        <x:v>Fabrikam Laptop15.4W M5480 White</x:v>
      </x:c>
      <x:c r="C1776" s="8" t="n">
        <x:v>58</x:v>
      </x:c>
      <x:c r="D1776" s="9" t="n">
        <x:v>758</x:v>
      </x:c>
      <x:c r="E1776" s="9" t="n">
        <x:v>348.58</x:v>
      </x:c>
      <x:c r="F1776" s="8" t="n">
        <x:f>C1776*D1776</x:f>
        <x:v>43964</x:v>
      </x:c>
      <x:c r="G1776" s="8" t="n">
        <x:f>C1776*E1776</x:f>
        <x:v>20217.64</x:v>
      </x:c>
      <x:c r="H1776" s="8" t="n">
        <x:f>F1776-G1776</x:f>
        <x:v>23746.36</x:v>
      </x:c>
      <x:c r="I1776" s="10" t="n">
        <x:f>H1776/F1776</x:f>
        <x:v>0.5401319261213721</x:v>
      </x:c>
    </x:row>
    <x:row r="1777" ht="22" customHeight="1">
      <x:c r="A1777" s="11" t="str">
        <x:v>349</x:v>
      </x:c>
      <x:c r="B1777" s="8" t="str">
        <x:v>Fabrikam Laptop10.1 M0100 White</x:v>
      </x:c>
      <x:c r="C1777" s="8" t="n">
        <x:v>60</x:v>
      </x:c>
      <x:c r="D1777" s="9" t="n">
        <x:v>383</x:v>
      </x:c>
      <x:c r="E1777" s="9" t="n">
        <x:v>195.26</x:v>
      </x:c>
      <x:c r="F1777" s="8" t="n">
        <x:f>C1777*D1777</x:f>
        <x:v>22980</x:v>
      </x:c>
      <x:c r="G1777" s="8" t="n">
        <x:f>C1777*E1777</x:f>
        <x:v>11715.599999999999</x:v>
      </x:c>
      <x:c r="H1777" s="8" t="n">
        <x:f>F1777-G1777</x:f>
        <x:v>11264.400000000001</x:v>
      </x:c>
      <x:c r="I1777" s="10" t="n">
        <x:f>H1777/F1777</x:f>
        <x:v>0.49018276762402097</x:v>
      </x:c>
    </x:row>
    <x:row r="1778" ht="22" customHeight="1">
      <x:c r="A1778" s="11" t="str">
        <x:v>35</x:v>
      </x:c>
      <x:c r="B1778" s="8" t="str">
        <x:v>Contoso 4GB Portable MP3 Player M450 White</x:v>
      </x:c>
      <x:c r="C1778" s="8" t="n">
        <x:v>63</x:v>
      </x:c>
      <x:c r="D1778" s="9" t="n">
        <x:v>95.95</x:v>
      </x:c>
      <x:c r="E1778" s="9" t="n">
        <x:v>48.92</x:v>
      </x:c>
      <x:c r="F1778" s="8" t="n">
        <x:f>C1778*D1778</x:f>
        <x:v>6044.85</x:v>
      </x:c>
      <x:c r="G1778" s="8" t="n">
        <x:f>C1778*E1778</x:f>
        <x:v>3081.96</x:v>
      </x:c>
      <x:c r="H1778" s="8" t="n">
        <x:f>F1778-G1778</x:f>
        <x:v>2962.8900000000003</x:v>
      </x:c>
      <x:c r="I1778" s="10" t="n">
        <x:f>H1778/F1778</x:f>
        <x:v>0.4901511203751954</x:v>
      </x:c>
    </x:row>
    <x:row r="1779" ht="22" customHeight="1">
      <x:c r="A1779" s="11" t="str">
        <x:v>350</x:v>
      </x:c>
      <x:c r="B1779" s="8" t="str">
        <x:v>Fabrikam Laptop12W M2080 Silver</x:v>
      </x:c>
      <x:c r="C1779" s="8" t="n">
        <x:v>56</x:v>
      </x:c>
      <x:c r="D1779" s="9" t="n">
        <x:v>399</x:v>
      </x:c>
      <x:c r="E1779" s="9" t="n">
        <x:v>203.42</x:v>
      </x:c>
      <x:c r="F1779" s="8" t="n">
        <x:f>C1779*D1779</x:f>
        <x:v>22344</x:v>
      </x:c>
      <x:c r="G1779" s="8" t="n">
        <x:f>C1779*E1779</x:f>
        <x:v>11391.519999999999</x:v>
      </x:c>
      <x:c r="H1779" s="8" t="n">
        <x:f>F1779-G1779</x:f>
        <x:v>10952.480000000001</x:v>
      </x:c>
      <x:c r="I1779" s="10" t="n">
        <x:f>H1779/F1779</x:f>
        <x:v>0.49017543859649126</x:v>
      </x:c>
    </x:row>
    <x:row r="1780" ht="22" customHeight="1">
      <x:c r="A1780" s="11" t="str">
        <x:v>351</x:v>
      </x:c>
      <x:c r="B1780" s="8" t="str">
        <x:v>Fabrikam Laptop8.9W E0880 Silver</x:v>
      </x:c>
      <x:c r="C1780" s="8" t="n">
        <x:v>45</x:v>
      </x:c>
      <x:c r="D1780" s="9" t="n">
        <x:v>336</x:v>
      </x:c>
      <x:c r="E1780" s="9" t="n">
        <x:v>171.3</x:v>
      </x:c>
      <x:c r="F1780" s="8" t="n">
        <x:f>C1780*D1780</x:f>
        <x:v>15120</x:v>
      </x:c>
      <x:c r="G1780" s="8" t="n">
        <x:f>C1780*E1780</x:f>
        <x:v>7708.500000000001</x:v>
      </x:c>
      <x:c r="H1780" s="8" t="n">
        <x:f>F1780-G1780</x:f>
        <x:v>7411.499999999999</x:v>
      </x:c>
      <x:c r="I1780" s="10" t="n">
        <x:f>H1780/F1780</x:f>
        <x:v>0.49017857142857135</x:v>
      </x:c>
    </x:row>
    <x:row r="1781" ht="22" customHeight="1">
      <x:c r="A1781" s="11" t="str">
        <x:v>352</x:v>
      </x:c>
      <x:c r="B1781" s="8" t="str">
        <x:v>Fabrikam Laptop8.9 E0800 Silver</x:v>
      </x:c>
      <x:c r="C1781" s="8" t="n">
        <x:v>67</x:v>
      </x:c>
      <x:c r="D1781" s="9" t="n">
        <x:v>320</x:v>
      </x:c>
      <x:c r="E1781" s="9" t="n">
        <x:v>163.15</x:v>
      </x:c>
      <x:c r="F1781" s="8" t="n">
        <x:f>C1781*D1781</x:f>
        <x:v>21440</x:v>
      </x:c>
      <x:c r="G1781" s="8" t="n">
        <x:f>C1781*E1781</x:f>
        <x:v>10931.050000000001</x:v>
      </x:c>
      <x:c r="H1781" s="8" t="n">
        <x:f>F1781-G1781</x:f>
        <x:v>10508.949999999999</x:v>
      </x:c>
      <x:c r="I1781" s="10" t="n">
        <x:f>H1781/F1781</x:f>
        <x:v>0.49015624999999996</x:v>
      </x:c>
    </x:row>
    <x:row r="1782" ht="22" customHeight="1">
      <x:c r="A1782" s="11" t="str">
        <x:v>353</x:v>
      </x:c>
      <x:c r="B1782" s="8" t="str">
        <x:v>Fabrikam Laptop10.1 M0101 Silver</x:v>
      </x:c>
      <x:c r="C1782" s="8" t="n">
        <x:v>101</x:v>
      </x:c>
      <x:c r="D1782" s="9" t="n">
        <x:v>384.9</x:v>
      </x:c>
      <x:c r="E1782" s="9" t="n">
        <x:v>196.23</x:v>
      </x:c>
      <x:c r="F1782" s="8" t="n">
        <x:f>C1782*D1782</x:f>
        <x:v>38874.899999999994</x:v>
      </x:c>
      <x:c r="G1782" s="8" t="n">
        <x:f>C1782*E1782</x:f>
        <x:v>19819.23</x:v>
      </x:c>
      <x:c r="H1782" s="8" t="n">
        <x:f>F1782-G1782</x:f>
        <x:v>19055.669999999995</x:v>
      </x:c>
      <x:c r="I1782" s="10" t="n">
        <x:f>H1782/F1782</x:f>
        <x:v>0.4901792673421667</x:v>
      </x:c>
    </x:row>
    <x:row r="1783" ht="22" customHeight="1">
      <x:c r="A1783" s="11" t="str">
        <x:v>354</x:v>
      </x:c>
      <x:c r="B1783" s="8" t="str">
        <x:v>Fabrikam Laptop12 M2001 Silver</x:v>
      </x:c>
      <x:c r="C1783" s="8" t="n">
        <x:v>57</x:v>
      </x:c>
      <x:c r="D1783" s="9" t="n">
        <x:v>382.95</x:v>
      </x:c>
      <x:c r="E1783" s="9" t="n">
        <x:v>195.24</x:v>
      </x:c>
      <x:c r="F1783" s="8" t="n">
        <x:f>C1783*D1783</x:f>
        <x:v>21828.149999999998</x:v>
      </x:c>
      <x:c r="G1783" s="8" t="n">
        <x:f>C1783*E1783</x:f>
        <x:v>11128.68</x:v>
      </x:c>
      <x:c r="H1783" s="8" t="n">
        <x:f>F1783-G1783</x:f>
        <x:v>10699.469999999998</x:v>
      </x:c>
      <x:c r="I1783" s="10" t="n">
        <x:f>H1783/F1783</x:f>
        <x:v>0.490168429298864</x:v>
      </x:c>
    </x:row>
    <x:row r="1784" ht="22" customHeight="1">
      <x:c r="A1784" s="11" t="str">
        <x:v>355</x:v>
      </x:c>
      <x:c r="B1784" s="8" t="str">
        <x:v>Fabrikam Laptop8.9 M0801 Silver</x:v>
      </x:c>
      <x:c r="C1784" s="8" t="n">
        <x:v>62</x:v>
      </x:c>
      <x:c r="D1784" s="9" t="n">
        <x:v>363.5</x:v>
      </x:c>
      <x:c r="E1784" s="9" t="n">
        <x:v>185.32</x:v>
      </x:c>
      <x:c r="F1784" s="8" t="n">
        <x:f>C1784*D1784</x:f>
        <x:v>22537</x:v>
      </x:c>
      <x:c r="G1784" s="8" t="n">
        <x:f>C1784*E1784</x:f>
        <x:v>11489.84</x:v>
      </x:c>
      <x:c r="H1784" s="8" t="n">
        <x:f>F1784-G1784</x:f>
        <x:v>11047.16</x:v>
      </x:c>
      <x:c r="I1784" s="10" t="n">
        <x:f>H1784/F1784</x:f>
        <x:v>0.49017881705639615</x:v>
      </x:c>
    </x:row>
    <x:row r="1785" ht="22" customHeight="1">
      <x:c r="A1785" s="11" t="str">
        <x:v>356</x:v>
      </x:c>
      <x:c r="B1785" s="8" t="str">
        <x:v>Fabrikam Laptop14.1W M4180 Red</x:v>
      </x:c>
      <x:c r="C1785" s="8" t="n">
        <x:v>59</x:v>
      </x:c>
      <x:c r="D1785" s="9" t="n">
        <x:v>456.9</x:v>
      </x:c>
      <x:c r="E1785" s="9" t="n">
        <x:v>210.11</x:v>
      </x:c>
      <x:c r="F1785" s="8" t="n">
        <x:f>C1785*D1785</x:f>
        <x:v>26957.1</x:v>
      </x:c>
      <x:c r="G1785" s="8" t="n">
        <x:f>C1785*E1785</x:f>
        <x:v>12396.490000000002</x:v>
      </x:c>
      <x:c r="H1785" s="8" t="n">
        <x:f>F1785-G1785</x:f>
        <x:v>14560.609999999997</x:v>
      </x:c>
      <x:c r="I1785" s="10" t="n">
        <x:f>H1785/F1785</x:f>
        <x:v>0.5401400744145326</x:v>
      </x:c>
    </x:row>
    <x:row r="1786" ht="22" customHeight="1">
      <x:c r="A1786" s="11" t="str">
        <x:v>357</x:v>
      </x:c>
      <x:c r="B1786" s="8" t="str">
        <x:v>Fabrikam Laptop14.1 E4101 Red</x:v>
      </x:c>
      <x:c r="C1786" s="8" t="n">
        <x:v>51</x:v>
      </x:c>
      <x:c r="D1786" s="9" t="n">
        <x:v>330</x:v>
      </x:c>
      <x:c r="E1786" s="9" t="n">
        <x:v>168.24</x:v>
      </x:c>
      <x:c r="F1786" s="8" t="n">
        <x:f>C1786*D1786</x:f>
        <x:v>16830</x:v>
      </x:c>
      <x:c r="G1786" s="8" t="n">
        <x:f>C1786*E1786</x:f>
        <x:v>8580.24</x:v>
      </x:c>
      <x:c r="H1786" s="8" t="n">
        <x:f>F1786-G1786</x:f>
        <x:v>8249.76</x:v>
      </x:c>
      <x:c r="I1786" s="10" t="n">
        <x:f>H1786/F1786</x:f>
        <x:v>0.4901818181818182</x:v>
      </x:c>
    </x:row>
    <x:row r="1787" ht="22" customHeight="1">
      <x:c r="A1787" s="11" t="str">
        <x:v>358</x:v>
      </x:c>
      <x:c r="B1787" s="8" t="str">
        <x:v>Fabrikam Laptop8.9 E8002 Red</x:v>
      </x:c>
      <x:c r="C1787" s="8" t="n">
        <x:v>89</x:v>
      </x:c>
      <x:c r="D1787" s="9" t="n">
        <x:v>326</x:v>
      </x:c>
      <x:c r="E1787" s="9" t="n">
        <x:v>166.2</x:v>
      </x:c>
      <x:c r="F1787" s="8" t="n">
        <x:f>C1787*D1787</x:f>
        <x:v>29014</x:v>
      </x:c>
      <x:c r="G1787" s="8" t="n">
        <x:f>C1787*E1787</x:f>
        <x:v>14791.8</x:v>
      </x:c>
      <x:c r="H1787" s="8" t="n">
        <x:f>F1787-G1787</x:f>
        <x:v>14222.2</x:v>
      </x:c>
      <x:c r="I1787" s="10" t="n">
        <x:f>H1787/F1787</x:f>
        <x:v>0.4901840490797546</x:v>
      </x:c>
    </x:row>
    <x:row r="1788" ht="22" customHeight="1">
      <x:c r="A1788" s="11" t="str">
        <x:v>359</x:v>
      </x:c>
      <x:c r="B1788" s="8" t="str">
        <x:v>Fabrikam Laptop12 M2002 Red</x:v>
      </x:c>
      <x:c r="C1788" s="8" t="n">
        <x:v>110</x:v>
      </x:c>
      <x:c r="D1788" s="9" t="n">
        <x:v>368</x:v>
      </x:c>
      <x:c r="E1788" s="9" t="n">
        <x:v>187.62</x:v>
      </x:c>
      <x:c r="F1788" s="8" t="n">
        <x:f>C1788*D1788</x:f>
        <x:v>40480</x:v>
      </x:c>
      <x:c r="G1788" s="8" t="n">
        <x:f>C1788*E1788</x:f>
        <x:v>20638.2</x:v>
      </x:c>
      <x:c r="H1788" s="8" t="n">
        <x:f>F1788-G1788</x:f>
        <x:v>19841.8</x:v>
      </x:c>
      <x:c r="I1788" s="10" t="n">
        <x:f>H1788/F1788</x:f>
        <x:v>0.49016304347826084</x:v>
      </x:c>
    </x:row>
    <x:row r="1789" ht="22" customHeight="1">
      <x:c r="A1789" s="11" t="str">
        <x:v>36</x:v>
      </x:c>
      <x:c r="B1789" s="8" t="str">
        <x:v>Contoso 4GB Portable MP3 Player M450 Yellow</x:v>
      </x:c>
      <x:c r="C1789" s="8" t="n">
        <x:v>22</x:v>
      </x:c>
      <x:c r="D1789" s="9" t="n">
        <x:v>95.95</x:v>
      </x:c>
      <x:c r="E1789" s="9" t="n">
        <x:v>48.92</x:v>
      </x:c>
      <x:c r="F1789" s="8" t="n">
        <x:f>C1789*D1789</x:f>
        <x:v>2110.9</x:v>
      </x:c>
      <x:c r="G1789" s="8" t="n">
        <x:f>C1789*E1789</x:f>
        <x:v>1076.24</x:v>
      </x:c>
      <x:c r="H1789" s="8" t="n">
        <x:f>F1789-G1789</x:f>
        <x:v>1034.66</x:v>
      </x:c>
      <x:c r="I1789" s="10" t="n">
        <x:f>H1789/F1789</x:f>
        <x:v>0.4901511203751954</x:v>
      </x:c>
    </x:row>
    <x:row r="1790" ht="22" customHeight="1">
      <x:c r="A1790" s="11" t="str">
        <x:v>360</x:v>
      </x:c>
      <x:c r="B1790" s="8" t="str">
        <x:v>Fabrikam Laptop13.3 M3000 Red</x:v>
      </x:c>
      <x:c r="C1790" s="8" t="n">
        <x:v>75</x:v>
      </x:c>
      <x:c r="D1790" s="9" t="n">
        <x:v>380</x:v>
      </x:c>
      <x:c r="E1790" s="9" t="n">
        <x:v>193.74</x:v>
      </x:c>
      <x:c r="F1790" s="8" t="n">
        <x:f>C1790*D1790</x:f>
        <x:v>28500</x:v>
      </x:c>
      <x:c r="G1790" s="8" t="n">
        <x:f>C1790*E1790</x:f>
        <x:v>14530.5</x:v>
      </x:c>
      <x:c r="H1790" s="8" t="n">
        <x:f>F1790-G1790</x:f>
        <x:v>13969.5</x:v>
      </x:c>
      <x:c r="I1790" s="10" t="n">
        <x:f>H1790/F1790</x:f>
        <x:v>0.4901578947368421</x:v>
      </x:c>
    </x:row>
    <x:row r="1791" ht="22" customHeight="1">
      <x:c r="A1791" s="11" t="str">
        <x:v>361</x:v>
      </x:c>
      <x:c r="B1791" s="8" t="str">
        <x:v>Fabrikam Laptop13.3W M3080 Red</x:v>
      </x:c>
      <x:c r="C1791" s="8" t="n">
        <x:v>70</x:v>
      </x:c>
      <x:c r="D1791" s="9" t="n">
        <x:v>389</x:v>
      </x:c>
      <x:c r="E1791" s="9" t="n">
        <x:v>198.32</x:v>
      </x:c>
      <x:c r="F1791" s="8" t="n">
        <x:f>C1791*D1791</x:f>
        <x:v>27230</x:v>
      </x:c>
      <x:c r="G1791" s="8" t="n">
        <x:f>C1791*E1791</x:f>
        <x:v>13882.4</x:v>
      </x:c>
      <x:c r="H1791" s="8" t="n">
        <x:f>F1791-G1791</x:f>
        <x:v>13347.6</x:v>
      </x:c>
      <x:c r="I1791" s="10" t="n">
        <x:f>H1791/F1791</x:f>
        <x:v>0.49017994858611824</x:v>
      </x:c>
    </x:row>
    <x:row r="1792" ht="22" customHeight="1">
      <x:c r="A1792" s="11" t="str">
        <x:v>362</x:v>
      </x:c>
      <x:c r="B1792" s="8" t="str">
        <x:v>Adventure Works Laptop19 X1900 Black</x:v>
      </x:c>
      <x:c r="C1792" s="8" t="n">
        <x:v>64</x:v>
      </x:c>
      <x:c r="D1792" s="9" t="n">
        <x:v>1299</x:v>
      </x:c>
      <x:c r="E1792" s="9" t="n">
        <x:v>430.38</x:v>
      </x:c>
      <x:c r="F1792" s="8" t="n">
        <x:f>C1792*D1792</x:f>
        <x:v>83136</x:v>
      </x:c>
      <x:c r="G1792" s="8" t="n">
        <x:f>C1792*E1792</x:f>
        <x:v>27544.32</x:v>
      </x:c>
      <x:c r="H1792" s="8" t="n">
        <x:f>F1792-G1792</x:f>
        <x:v>55591.68</x:v>
      </x:c>
      <x:c r="I1792" s="10" t="n">
        <x:f>H1792/F1792</x:f>
        <x:v>0.6686836027713626</x:v>
      </x:c>
    </x:row>
    <x:row r="1793" ht="22" customHeight="1">
      <x:c r="A1793" s="11" t="str">
        <x:v>363</x:v>
      </x:c>
      <x:c r="B1793" s="8" t="str">
        <x:v>Adventure Works Laptop15 M1500 Black</x:v>
      </x:c>
      <x:c r="C1793" s="8" t="n">
        <x:v>55</x:v>
      </x:c>
      <x:c r="D1793" s="9" t="n">
        <x:v>699</x:v>
      </x:c>
      <x:c r="E1793" s="9" t="n">
        <x:v>321.44</x:v>
      </x:c>
      <x:c r="F1793" s="8" t="n">
        <x:f>C1793*D1793</x:f>
        <x:v>38445</x:v>
      </x:c>
      <x:c r="G1793" s="8" t="n">
        <x:f>C1793*E1793</x:f>
        <x:v>17679.2</x:v>
      </x:c>
      <x:c r="H1793" s="8" t="n">
        <x:f>F1793-G1793</x:f>
        <x:v>20765.8</x:v>
      </x:c>
      <x:c r="I1793" s="10" t="n">
        <x:f>H1793/F1793</x:f>
        <x:v>0.5401430615164521</x:v>
      </x:c>
    </x:row>
    <x:row r="1794" ht="22" customHeight="1">
      <x:c r="A1794" s="11" t="str">
        <x:v>364</x:v>
      </x:c>
      <x:c r="B1794" s="8" t="str">
        <x:v>Adventure Works Laptop12 M1200 Black</x:v>
      </x:c>
      <x:c r="C1794" s="8" t="n">
        <x:v>52</x:v>
      </x:c>
      <x:c r="D1794" s="9" t="n">
        <x:v>382.95</x:v>
      </x:c>
      <x:c r="E1794" s="9" t="n">
        <x:v>195.24</x:v>
      </x:c>
      <x:c r="F1794" s="8" t="n">
        <x:f>C1794*D1794</x:f>
        <x:v>19913.399999999998</x:v>
      </x:c>
      <x:c r="G1794" s="8" t="n">
        <x:f>C1794*E1794</x:f>
        <x:v>10152.48</x:v>
      </x:c>
      <x:c r="H1794" s="8" t="n">
        <x:f>F1794-G1794</x:f>
        <x:v>9760.919999999998</x:v>
      </x:c>
      <x:c r="I1794" s="10" t="n">
        <x:f>H1794/F1794</x:f>
        <x:v>0.49016842929886406</x:v>
      </x:c>
    </x:row>
    <x:row r="1795" ht="22" customHeight="1">
      <x:c r="A1795" s="11" t="str">
        <x:v>365</x:v>
      </x:c>
      <x:c r="B1795" s="8" t="str">
        <x:v>Adventure Works Laptop16 M1600 Black</x:v>
      </x:c>
      <x:c r="C1795" s="8" t="n">
        <x:v>72</x:v>
      </x:c>
      <x:c r="D1795" s="9" t="n">
        <x:v>599</x:v>
      </x:c>
      <x:c r="E1795" s="9" t="n">
        <x:v>275.46</x:v>
      </x:c>
      <x:c r="F1795" s="8" t="n">
        <x:f>C1795*D1795</x:f>
        <x:v>43128</x:v>
      </x:c>
      <x:c r="G1795" s="8" t="n">
        <x:f>C1795*E1795</x:f>
        <x:v>19833.12</x:v>
      </x:c>
      <x:c r="H1795" s="8" t="n">
        <x:f>F1795-G1795</x:f>
        <x:v>23294.88</x:v>
      </x:c>
      <x:c r="I1795" s="10" t="n">
        <x:f>H1795/F1795</x:f>
        <x:v>0.5401335559265442</x:v>
      </x:c>
    </x:row>
    <x:row r="1796" ht="22" customHeight="1">
      <x:c r="A1796" s="11" t="str">
        <x:v>366</x:v>
      </x:c>
      <x:c r="B1796" s="8" t="str">
        <x:v>Adventure Works Laptop15.4W M1548 Black</x:v>
      </x:c>
      <x:c r="C1796" s="8" t="n">
        <x:v>83</x:v>
      </x:c>
      <x:c r="D1796" s="9" t="n">
        <x:v>758</x:v>
      </x:c>
      <x:c r="E1796" s="9" t="n">
        <x:v>348.58</x:v>
      </x:c>
      <x:c r="F1796" s="8" t="n">
        <x:f>C1796*D1796</x:f>
        <x:v>62914</x:v>
      </x:c>
      <x:c r="G1796" s="8" t="n">
        <x:f>C1796*E1796</x:f>
        <x:v>28932.14</x:v>
      </x:c>
      <x:c r="H1796" s="8" t="n">
        <x:f>F1796-G1796</x:f>
        <x:v>33981.86</x:v>
      </x:c>
      <x:c r="I1796" s="10" t="n">
        <x:f>H1796/F1796</x:f>
        <x:v>0.5401319261213721</x:v>
      </x:c>
    </x:row>
    <x:row r="1797" ht="22" customHeight="1">
      <x:c r="A1797" s="11" t="str">
        <x:v>367</x:v>
      </x:c>
      <x:c r="B1797" s="8" t="str">
        <x:v>Adventure Works Laptop8.9 E0890 Black</x:v>
      </x:c>
      <x:c r="C1797" s="8" t="n">
        <x:v>85</x:v>
      </x:c>
      <x:c r="D1797" s="9" t="n">
        <x:v>326</x:v>
      </x:c>
      <x:c r="E1797" s="9" t="n">
        <x:v>166.2</x:v>
      </x:c>
      <x:c r="F1797" s="8" t="n">
        <x:f>C1797*D1797</x:f>
        <x:v>27710</x:v>
      </x:c>
      <x:c r="G1797" s="8" t="n">
        <x:f>C1797*E1797</x:f>
        <x:v>14126.999999999998</x:v>
      </x:c>
      <x:c r="H1797" s="8" t="n">
        <x:f>F1797-G1797</x:f>
        <x:v>13583.000000000002</x:v>
      </x:c>
      <x:c r="I1797" s="10" t="n">
        <x:f>H1797/F1797</x:f>
        <x:v>0.49018404907975466</x:v>
      </x:c>
    </x:row>
    <x:row r="1798" ht="22" customHeight="1">
      <x:c r="A1798" s="11" t="str">
        <x:v>368</x:v>
      </x:c>
      <x:c r="B1798" s="8" t="str">
        <x:v>Adventure Works Laptop19W X1980 White</x:v>
      </x:c>
      <x:c r="C1798" s="8" t="n">
        <x:v>77</x:v>
      </x:c>
      <x:c r="D1798" s="9" t="n">
        <x:v>1299</x:v>
      </x:c>
      <x:c r="E1798" s="9" t="n">
        <x:v>430.38</x:v>
      </x:c>
      <x:c r="F1798" s="8" t="n">
        <x:f>C1798*D1798</x:f>
        <x:v>100023</x:v>
      </x:c>
      <x:c r="G1798" s="8" t="n">
        <x:f>C1798*E1798</x:f>
        <x:v>33139.26</x:v>
      </x:c>
      <x:c r="H1798" s="8" t="n">
        <x:f>F1798-G1798</x:f>
        <x:v>66883.73999999999</x:v>
      </x:c>
      <x:c r="I1798" s="10" t="n">
        <x:f>H1798/F1798</x:f>
        <x:v>0.6686836027713625</x:v>
      </x:c>
    </x:row>
    <x:row r="1799" ht="22" customHeight="1">
      <x:c r="A1799" s="11" t="str">
        <x:v>369</x:v>
      </x:c>
      <x:c r="B1799" s="8" t="str">
        <x:v>Adventure Works Laptop15 M1501 White</x:v>
      </x:c>
      <x:c r="C1799" s="8" t="n">
        <x:v>65</x:v>
      </x:c>
      <x:c r="D1799" s="9" t="n">
        <x:v>699</x:v>
      </x:c>
      <x:c r="E1799" s="9" t="n">
        <x:v>321.44</x:v>
      </x:c>
      <x:c r="F1799" s="8" t="n">
        <x:f>C1799*D1799</x:f>
        <x:v>45435</x:v>
      </x:c>
      <x:c r="G1799" s="8" t="n">
        <x:f>C1799*E1799</x:f>
        <x:v>20893.6</x:v>
      </x:c>
      <x:c r="H1799" s="8" t="n">
        <x:f>F1799-G1799</x:f>
        <x:v>24541.4</x:v>
      </x:c>
      <x:c r="I1799" s="10" t="n">
        <x:f>H1799/F1799</x:f>
        <x:v>0.5401430615164521</x:v>
      </x:c>
    </x:row>
    <x:row r="1800" ht="22" customHeight="1">
      <x:c r="A1800" s="11" t="str">
        <x:v>37</x:v>
      </x:c>
      <x:c r="B1800" s="8" t="str">
        <x:v>Contoso 8GB Clock &amp; Radio MP3 Player X850 Silver</x:v>
      </x:c>
      <x:c r="C1800" s="8" t="n">
        <x:v>55</x:v>
      </x:c>
      <x:c r="D1800" s="9" t="n">
        <x:v>299.23</x:v>
      </x:c>
      <x:c r="E1800" s="9" t="n">
        <x:v>99.14</x:v>
      </x:c>
      <x:c r="F1800" s="8" t="n">
        <x:f>C1800*D1800</x:f>
        <x:v>16457.65</x:v>
      </x:c>
      <x:c r="G1800" s="8" t="n">
        <x:f>C1800*E1800</x:f>
        <x:v>5452.7</x:v>
      </x:c>
      <x:c r="H1800" s="8" t="n">
        <x:f>F1800-G1800</x:f>
        <x:v>11004.95</x:v>
      </x:c>
      <x:c r="I1800" s="10" t="n">
        <x:f>H1800/F1800</x:f>
        <x:v>0.6686829529124754</x:v>
      </x:c>
    </x:row>
    <x:row r="1801" ht="22" customHeight="1">
      <x:c r="A1801" s="11" t="str">
        <x:v>370</x:v>
      </x:c>
      <x:c r="B1801" s="8" t="str">
        <x:v>Adventure Works Laptop12 M1201 White</x:v>
      </x:c>
      <x:c r="C1801" s="8" t="n">
        <x:v>64</x:v>
      </x:c>
      <x:c r="D1801" s="9" t="n">
        <x:v>382.95</x:v>
      </x:c>
      <x:c r="E1801" s="9" t="n">
        <x:v>195.24</x:v>
      </x:c>
      <x:c r="F1801" s="8" t="n">
        <x:f>C1801*D1801</x:f>
        <x:v>24508.8</x:v>
      </x:c>
      <x:c r="G1801" s="8" t="n">
        <x:f>C1801*E1801</x:f>
        <x:v>12495.36</x:v>
      </x:c>
      <x:c r="H1801" s="8" t="n">
        <x:f>F1801-G1801</x:f>
        <x:v>12013.439999999999</x:v>
      </x:c>
      <x:c r="I1801" s="10" t="n">
        <x:f>H1801/F1801</x:f>
        <x:v>0.49016842929886406</x:v>
      </x:c>
    </x:row>
    <x:row r="1802" ht="22" customHeight="1">
      <x:c r="A1802" s="11" t="str">
        <x:v>371</x:v>
      </x:c>
      <x:c r="B1802" s="8" t="str">
        <x:v>Adventure Works Laptop16 M1601 White</x:v>
      </x:c>
      <x:c r="C1802" s="8" t="n">
        <x:v>92</x:v>
      </x:c>
      <x:c r="D1802" s="9" t="n">
        <x:v>599</x:v>
      </x:c>
      <x:c r="E1802" s="9" t="n">
        <x:v>275.46</x:v>
      </x:c>
      <x:c r="F1802" s="8" t="n">
        <x:f>C1802*D1802</x:f>
        <x:v>55108</x:v>
      </x:c>
      <x:c r="G1802" s="8" t="n">
        <x:f>C1802*E1802</x:f>
        <x:v>25342.32</x:v>
      </x:c>
      <x:c r="H1802" s="8" t="n">
        <x:f>F1802-G1802</x:f>
        <x:v>29765.68</x:v>
      </x:c>
      <x:c r="I1802" s="10" t="n">
        <x:f>H1802/F1802</x:f>
        <x:v>0.5401335559265442</x:v>
      </x:c>
    </x:row>
    <x:row r="1803" ht="22" customHeight="1">
      <x:c r="A1803" s="11" t="str">
        <x:v>372</x:v>
      </x:c>
      <x:c r="B1803" s="8" t="str">
        <x:v>Adventure Works Laptop15.4W M1548 White</x:v>
      </x:c>
      <x:c r="C1803" s="8" t="n">
        <x:v>29</x:v>
      </x:c>
      <x:c r="D1803" s="9" t="n">
        <x:v>758</x:v>
      </x:c>
      <x:c r="E1803" s="9" t="n">
        <x:v>348.58</x:v>
      </x:c>
      <x:c r="F1803" s="8" t="n">
        <x:f>C1803*D1803</x:f>
        <x:v>21982</x:v>
      </x:c>
      <x:c r="G1803" s="8" t="n">
        <x:f>C1803*E1803</x:f>
        <x:v>10108.82</x:v>
      </x:c>
      <x:c r="H1803" s="8" t="n">
        <x:f>F1803-G1803</x:f>
        <x:v>11873.18</x:v>
      </x:c>
      <x:c r="I1803" s="10" t="n">
        <x:f>H1803/F1803</x:f>
        <x:v>0.5401319261213721</x:v>
      </x:c>
    </x:row>
    <x:row r="1804" ht="22" customHeight="1">
      <x:c r="A1804" s="11" t="str">
        <x:v>373</x:v>
      </x:c>
      <x:c r="B1804" s="8" t="str">
        <x:v>Adventure Works Laptop8.9 E0890 White</x:v>
      </x:c>
      <x:c r="C1804" s="8" t="n">
        <x:v>82</x:v>
      </x:c>
      <x:c r="D1804" s="9" t="n">
        <x:v>326</x:v>
      </x:c>
      <x:c r="E1804" s="9" t="n">
        <x:v>166.2</x:v>
      </x:c>
      <x:c r="F1804" s="8" t="n">
        <x:f>C1804*D1804</x:f>
        <x:v>26732</x:v>
      </x:c>
      <x:c r="G1804" s="8" t="n">
        <x:f>C1804*E1804</x:f>
        <x:v>13628.4</x:v>
      </x:c>
      <x:c r="H1804" s="8" t="n">
        <x:f>F1804-G1804</x:f>
        <x:v>13103.6</x:v>
      </x:c>
      <x:c r="I1804" s="10" t="n">
        <x:f>H1804/F1804</x:f>
        <x:v>0.4901840490797546</x:v>
      </x:c>
    </x:row>
    <x:row r="1805" ht="22" customHeight="1">
      <x:c r="A1805" s="11" t="str">
        <x:v>374</x:v>
      </x:c>
      <x:c r="B1805" s="8" t="str">
        <x:v>Adventure Works Laptop19W X1980 Silver</x:v>
      </x:c>
      <x:c r="C1805" s="8" t="n">
        <x:v>64</x:v>
      </x:c>
      <x:c r="D1805" s="9" t="n">
        <x:v>1299</x:v>
      </x:c>
      <x:c r="E1805" s="9" t="n">
        <x:v>430.38</x:v>
      </x:c>
      <x:c r="F1805" s="8" t="n">
        <x:f>C1805*D1805</x:f>
        <x:v>83136</x:v>
      </x:c>
      <x:c r="G1805" s="8" t="n">
        <x:f>C1805*E1805</x:f>
        <x:v>27544.32</x:v>
      </x:c>
      <x:c r="H1805" s="8" t="n">
        <x:f>F1805-G1805</x:f>
        <x:v>55591.68</x:v>
      </x:c>
      <x:c r="I1805" s="10" t="n">
        <x:f>H1805/F1805</x:f>
        <x:v>0.6686836027713626</x:v>
      </x:c>
    </x:row>
    <x:row r="1806" ht="22" customHeight="1">
      <x:c r="A1806" s="11" t="str">
        <x:v>375</x:v>
      </x:c>
      <x:c r="B1806" s="8" t="str">
        <x:v>Adventure Works Laptop15 M1501 Silver</x:v>
      </x:c>
      <x:c r="C1806" s="8" t="n">
        <x:v>70</x:v>
      </x:c>
      <x:c r="D1806" s="9" t="n">
        <x:v>699</x:v>
      </x:c>
      <x:c r="E1806" s="9" t="n">
        <x:v>321.44</x:v>
      </x:c>
      <x:c r="F1806" s="8" t="n">
        <x:f>C1806*D1806</x:f>
        <x:v>48930</x:v>
      </x:c>
      <x:c r="G1806" s="8" t="n">
        <x:f>C1806*E1806</x:f>
        <x:v>22500.8</x:v>
      </x:c>
      <x:c r="H1806" s="8" t="n">
        <x:f>F1806-G1806</x:f>
        <x:v>26429.2</x:v>
      </x:c>
      <x:c r="I1806" s="10" t="n">
        <x:f>H1806/F1806</x:f>
        <x:v>0.5401430615164521</x:v>
      </x:c>
    </x:row>
    <x:row r="1807" ht="22" customHeight="1">
      <x:c r="A1807" s="11" t="str">
        <x:v>376</x:v>
      </x:c>
      <x:c r="B1807" s="8" t="str">
        <x:v>Adventure Works Laptop12 M1201 Silver</x:v>
      </x:c>
      <x:c r="C1807" s="8" t="n">
        <x:v>59</x:v>
      </x:c>
      <x:c r="D1807" s="9" t="n">
        <x:v>382.95</x:v>
      </x:c>
      <x:c r="E1807" s="9" t="n">
        <x:v>195.24</x:v>
      </x:c>
      <x:c r="F1807" s="8" t="n">
        <x:f>C1807*D1807</x:f>
        <x:v>22594.05</x:v>
      </x:c>
      <x:c r="G1807" s="8" t="n">
        <x:f>C1807*E1807</x:f>
        <x:v>11519.16</x:v>
      </x:c>
      <x:c r="H1807" s="8" t="n">
        <x:f>F1807-G1807</x:f>
        <x:v>11074.89</x:v>
      </x:c>
      <x:c r="I1807" s="10" t="n">
        <x:f>H1807/F1807</x:f>
        <x:v>0.49016842929886406</x:v>
      </x:c>
    </x:row>
    <x:row r="1808" ht="22" customHeight="1">
      <x:c r="A1808" s="11" t="str">
        <x:v>377</x:v>
      </x:c>
      <x:c r="B1808" s="8" t="str">
        <x:v>Adventure Works Laptop16 M1601 Silver</x:v>
      </x:c>
      <x:c r="C1808" s="8" t="n">
        <x:v>65</x:v>
      </x:c>
      <x:c r="D1808" s="9" t="n">
        <x:v>599</x:v>
      </x:c>
      <x:c r="E1808" s="9" t="n">
        <x:v>275.46</x:v>
      </x:c>
      <x:c r="F1808" s="8" t="n">
        <x:f>C1808*D1808</x:f>
        <x:v>38935</x:v>
      </x:c>
      <x:c r="G1808" s="8" t="n">
        <x:f>C1808*E1808</x:f>
        <x:v>17904.899999999998</x:v>
      </x:c>
      <x:c r="H1808" s="8" t="n">
        <x:f>F1808-G1808</x:f>
        <x:v>21030.100000000002</x:v>
      </x:c>
      <x:c r="I1808" s="10" t="n">
        <x:f>H1808/F1808</x:f>
        <x:v>0.5401335559265443</x:v>
      </x:c>
    </x:row>
    <x:row r="1809" ht="22" customHeight="1">
      <x:c r="A1809" s="11" t="str">
        <x:v>378</x:v>
      </x:c>
      <x:c r="B1809" s="8" t="str">
        <x:v>Adventure Works Laptop15.4W M1548 Silver</x:v>
      </x:c>
      <x:c r="C1809" s="8" t="n">
        <x:v>31</x:v>
      </x:c>
      <x:c r="D1809" s="9" t="n">
        <x:v>758</x:v>
      </x:c>
      <x:c r="E1809" s="9" t="n">
        <x:v>348.58</x:v>
      </x:c>
      <x:c r="F1809" s="8" t="n">
        <x:f>C1809*D1809</x:f>
        <x:v>23498</x:v>
      </x:c>
      <x:c r="G1809" s="8" t="n">
        <x:f>C1809*E1809</x:f>
        <x:v>10805.98</x:v>
      </x:c>
      <x:c r="H1809" s="8" t="n">
        <x:f>F1809-G1809</x:f>
        <x:v>12692.02</x:v>
      </x:c>
      <x:c r="I1809" s="10" t="n">
        <x:f>H1809/F1809</x:f>
        <x:v>0.5401319261213721</x:v>
      </x:c>
    </x:row>
    <x:row r="1810" ht="22" customHeight="1">
      <x:c r="A1810" s="11" t="str">
        <x:v>379</x:v>
      </x:c>
      <x:c r="B1810" s="8" t="str">
        <x:v>Adventure Works Laptop8.9 E0890 Silver</x:v>
      </x:c>
      <x:c r="C1810" s="8" t="n">
        <x:v>71</x:v>
      </x:c>
      <x:c r="D1810" s="9" t="n">
        <x:v>326</x:v>
      </x:c>
      <x:c r="E1810" s="9" t="n">
        <x:v>166.2</x:v>
      </x:c>
      <x:c r="F1810" s="8" t="n">
        <x:f>C1810*D1810</x:f>
        <x:v>23146</x:v>
      </x:c>
      <x:c r="G1810" s="8" t="n">
        <x:f>C1810*E1810</x:f>
        <x:v>11800.199999999999</x:v>
      </x:c>
      <x:c r="H1810" s="8" t="n">
        <x:f>F1810-G1810</x:f>
        <x:v>11345.800000000001</x:v>
      </x:c>
      <x:c r="I1810" s="10" t="n">
        <x:f>H1810/F1810</x:f>
        <x:v>0.49018404907975466</x:v>
      </x:c>
    </x:row>
    <x:row r="1811" ht="22" customHeight="1">
      <x:c r="A1811" s="11" t="str">
        <x:v>38</x:v>
      </x:c>
      <x:c r="B1811" s="8" t="str">
        <x:v>Contoso 8GB Clock &amp; Radio MP3 Player X850 Black</x:v>
      </x:c>
      <x:c r="C1811" s="8" t="n">
        <x:v>50</x:v>
      </x:c>
      <x:c r="D1811" s="9" t="n">
        <x:v>299.23</x:v>
      </x:c>
      <x:c r="E1811" s="9" t="n">
        <x:v>99.14</x:v>
      </x:c>
      <x:c r="F1811" s="8" t="n">
        <x:f>C1811*D1811</x:f>
        <x:v>14961.5</x:v>
      </x:c>
      <x:c r="G1811" s="8" t="n">
        <x:f>C1811*E1811</x:f>
        <x:v>4957</x:v>
      </x:c>
      <x:c r="H1811" s="8" t="n">
        <x:f>F1811-G1811</x:f>
        <x:v>10004.5</x:v>
      </x:c>
      <x:c r="I1811" s="10" t="n">
        <x:f>H1811/F1811</x:f>
        <x:v>0.6686829529124754</x:v>
      </x:c>
    </x:row>
    <x:row r="1812" ht="22" customHeight="1">
      <x:c r="A1812" s="11" t="str">
        <x:v>380</x:v>
      </x:c>
      <x:c r="B1812" s="8" t="str">
        <x:v>Adventure Works Laptop19W X1980 Red</x:v>
      </x:c>
      <x:c r="C1812" s="8" t="n">
        <x:v>63</x:v>
      </x:c>
      <x:c r="D1812" s="9" t="n">
        <x:v>1299</x:v>
      </x:c>
      <x:c r="E1812" s="9" t="n">
        <x:v>430.38</x:v>
      </x:c>
      <x:c r="F1812" s="8" t="n">
        <x:f>C1812*D1812</x:f>
        <x:v>81837</x:v>
      </x:c>
      <x:c r="G1812" s="8" t="n">
        <x:f>C1812*E1812</x:f>
        <x:v>27113.94</x:v>
      </x:c>
      <x:c r="H1812" s="8" t="n">
        <x:f>F1812-G1812</x:f>
        <x:v>54723.06</x:v>
      </x:c>
      <x:c r="I1812" s="10" t="n">
        <x:f>H1812/F1812</x:f>
        <x:v>0.6686836027713625</x:v>
      </x:c>
    </x:row>
    <x:row r="1813" ht="22" customHeight="1">
      <x:c r="A1813" s="11" t="str">
        <x:v>381</x:v>
      </x:c>
      <x:c r="B1813" s="8" t="str">
        <x:v>Adventure Works Laptop15 M1501 Red</x:v>
      </x:c>
      <x:c r="C1813" s="8" t="n">
        <x:v>60</x:v>
      </x:c>
      <x:c r="D1813" s="9" t="n">
        <x:v>699</x:v>
      </x:c>
      <x:c r="E1813" s="9" t="n">
        <x:v>321.44</x:v>
      </x:c>
      <x:c r="F1813" s="8" t="n">
        <x:f>C1813*D1813</x:f>
        <x:v>41940</x:v>
      </x:c>
      <x:c r="G1813" s="8" t="n">
        <x:f>C1813*E1813</x:f>
        <x:v>19286.4</x:v>
      </x:c>
      <x:c r="H1813" s="8" t="n">
        <x:f>F1813-G1813</x:f>
        <x:v>22653.6</x:v>
      </x:c>
      <x:c r="I1813" s="10" t="n">
        <x:f>H1813/F1813</x:f>
        <x:v>0.5401430615164521</x:v>
      </x:c>
    </x:row>
    <x:row r="1814" ht="22" customHeight="1">
      <x:c r="A1814" s="11" t="str">
        <x:v>382</x:v>
      </x:c>
      <x:c r="B1814" s="8" t="str">
        <x:v>Adventure Works Laptop12 M1201 Red</x:v>
      </x:c>
      <x:c r="C1814" s="8" t="n">
        <x:v>46</x:v>
      </x:c>
      <x:c r="D1814" s="9" t="n">
        <x:v>382.95</x:v>
      </x:c>
      <x:c r="E1814" s="9" t="n">
        <x:v>195.24</x:v>
      </x:c>
      <x:c r="F1814" s="8" t="n">
        <x:f>C1814*D1814</x:f>
        <x:v>17615.7</x:v>
      </x:c>
      <x:c r="G1814" s="8" t="n">
        <x:f>C1814*E1814</x:f>
        <x:v>8981.04</x:v>
      </x:c>
      <x:c r="H1814" s="8" t="n">
        <x:f>F1814-G1814</x:f>
        <x:v>8634.66</x:v>
      </x:c>
      <x:c r="I1814" s="10" t="n">
        <x:f>H1814/F1814</x:f>
        <x:v>0.49016842929886406</x:v>
      </x:c>
    </x:row>
    <x:row r="1815" ht="22" customHeight="1">
      <x:c r="A1815" s="11" t="str">
        <x:v>383</x:v>
      </x:c>
      <x:c r="B1815" s="8" t="str">
        <x:v>Adventure Works Laptop16 M1601 Red</x:v>
      </x:c>
      <x:c r="C1815" s="8" t="n">
        <x:v>75</x:v>
      </x:c>
      <x:c r="D1815" s="9" t="n">
        <x:v>599</x:v>
      </x:c>
      <x:c r="E1815" s="9" t="n">
        <x:v>275.46</x:v>
      </x:c>
      <x:c r="F1815" s="8" t="n">
        <x:f>C1815*D1815</x:f>
        <x:v>44925</x:v>
      </x:c>
      <x:c r="G1815" s="8" t="n">
        <x:f>C1815*E1815</x:f>
        <x:v>20659.5</x:v>
      </x:c>
      <x:c r="H1815" s="8" t="n">
        <x:f>F1815-G1815</x:f>
        <x:v>24265.5</x:v>
      </x:c>
      <x:c r="I1815" s="10" t="n">
        <x:f>H1815/F1815</x:f>
        <x:v>0.5401335559265442</x:v>
      </x:c>
    </x:row>
    <x:row r="1816" ht="22" customHeight="1">
      <x:c r="A1816" s="11" t="str">
        <x:v>384</x:v>
      </x:c>
      <x:c r="B1816" s="8" t="str">
        <x:v>Adventure Works Laptop15.4W M1548 Red</x:v>
      </x:c>
      <x:c r="C1816" s="8" t="n">
        <x:v>52</x:v>
      </x:c>
      <x:c r="D1816" s="9" t="n">
        <x:v>758</x:v>
      </x:c>
      <x:c r="E1816" s="9" t="n">
        <x:v>348.58</x:v>
      </x:c>
      <x:c r="F1816" s="8" t="n">
        <x:f>C1816*D1816</x:f>
        <x:v>39416</x:v>
      </x:c>
      <x:c r="G1816" s="8" t="n">
        <x:f>C1816*E1816</x:f>
        <x:v>18126.16</x:v>
      </x:c>
      <x:c r="H1816" s="8" t="n">
        <x:f>F1816-G1816</x:f>
        <x:v>21289.84</x:v>
      </x:c>
      <x:c r="I1816" s="10" t="n">
        <x:f>H1816/F1816</x:f>
        <x:v>0.5401319261213721</x:v>
      </x:c>
    </x:row>
    <x:row r="1817" ht="22" customHeight="1">
      <x:c r="A1817" s="11" t="str">
        <x:v>385</x:v>
      </x:c>
      <x:c r="B1817" s="8" t="str">
        <x:v>Adventure Works Laptop8.9 E0890 Red</x:v>
      </x:c>
      <x:c r="C1817" s="8" t="n">
        <x:v>57</x:v>
      </x:c>
      <x:c r="D1817" s="9" t="n">
        <x:v>326</x:v>
      </x:c>
      <x:c r="E1817" s="9" t="n">
        <x:v>166.2</x:v>
      </x:c>
      <x:c r="F1817" s="8" t="n">
        <x:f>C1817*D1817</x:f>
        <x:v>18582</x:v>
      </x:c>
      <x:c r="G1817" s="8" t="n">
        <x:f>C1817*E1817</x:f>
        <x:v>9473.4</x:v>
      </x:c>
      <x:c r="H1817" s="8" t="n">
        <x:f>F1817-G1817</x:f>
        <x:v>9108.6</x:v>
      </x:c>
      <x:c r="I1817" s="10" t="n">
        <x:f>H1817/F1817</x:f>
        <x:v>0.4901840490797546</x:v>
      </x:c>
    </x:row>
    <x:row r="1818" ht="22" customHeight="1">
      <x:c r="A1818" s="11" t="str">
        <x:v>386</x:v>
      </x:c>
      <x:c r="B1818" s="8" t="str">
        <x:v>Adventure Works Laptop19W X1980 Blue</x:v>
      </x:c>
      <x:c r="C1818" s="8" t="n">
        <x:v>56</x:v>
      </x:c>
      <x:c r="D1818" s="9" t="n">
        <x:v>1299</x:v>
      </x:c>
      <x:c r="E1818" s="9" t="n">
        <x:v>430.38</x:v>
      </x:c>
      <x:c r="F1818" s="8" t="n">
        <x:f>C1818*D1818</x:f>
        <x:v>72744</x:v>
      </x:c>
      <x:c r="G1818" s="8" t="n">
        <x:f>C1818*E1818</x:f>
        <x:v>24101.28</x:v>
      </x:c>
      <x:c r="H1818" s="8" t="n">
        <x:f>F1818-G1818</x:f>
        <x:v>48642.72</x:v>
      </x:c>
      <x:c r="I1818" s="10" t="n">
        <x:f>H1818/F1818</x:f>
        <x:v>0.6686836027713626</x:v>
      </x:c>
    </x:row>
    <x:row r="1819" ht="22" customHeight="1">
      <x:c r="A1819" s="11" t="str">
        <x:v>387</x:v>
      </x:c>
      <x:c r="B1819" s="8" t="str">
        <x:v>Adventure Works Laptop15 M1501 Blue</x:v>
      </x:c>
      <x:c r="C1819" s="8" t="n">
        <x:v>41</x:v>
      </x:c>
      <x:c r="D1819" s="9" t="n">
        <x:v>699</x:v>
      </x:c>
      <x:c r="E1819" s="9" t="n">
        <x:v>321.44</x:v>
      </x:c>
      <x:c r="F1819" s="8" t="n">
        <x:f>C1819*D1819</x:f>
        <x:v>28659</x:v>
      </x:c>
      <x:c r="G1819" s="8" t="n">
        <x:f>C1819*E1819</x:f>
        <x:v>13179.039999999999</x:v>
      </x:c>
      <x:c r="H1819" s="8" t="n">
        <x:f>F1819-G1819</x:f>
        <x:v>15479.960000000001</x:v>
      </x:c>
      <x:c r="I1819" s="10" t="n">
        <x:f>H1819/F1819</x:f>
        <x:v>0.5401430615164521</x:v>
      </x:c>
    </x:row>
    <x:row r="1820" ht="22" customHeight="1">
      <x:c r="A1820" s="11" t="str">
        <x:v>388</x:v>
      </x:c>
      <x:c r="B1820" s="8" t="str">
        <x:v>Adventure Works Laptop12 M1201 Blue</x:v>
      </x:c>
      <x:c r="C1820" s="8" t="n">
        <x:v>63</x:v>
      </x:c>
      <x:c r="D1820" s="9" t="n">
        <x:v>382.95</x:v>
      </x:c>
      <x:c r="E1820" s="9" t="n">
        <x:v>195.24</x:v>
      </x:c>
      <x:c r="F1820" s="8" t="n">
        <x:f>C1820*D1820</x:f>
        <x:v>24125.85</x:v>
      </x:c>
      <x:c r="G1820" s="8" t="n">
        <x:f>C1820*E1820</x:f>
        <x:v>12300.12</x:v>
      </x:c>
      <x:c r="H1820" s="8" t="n">
        <x:f>F1820-G1820</x:f>
        <x:v>11825.729999999998</x:v>
      </x:c>
      <x:c r="I1820" s="10" t="n">
        <x:f>H1820/F1820</x:f>
        <x:v>0.490168429298864</x:v>
      </x:c>
    </x:row>
    <x:row r="1821" ht="22" customHeight="1">
      <x:c r="A1821" s="11" t="str">
        <x:v>389</x:v>
      </x:c>
      <x:c r="B1821" s="8" t="str">
        <x:v>Adventure Works Laptop16 M1601 Blue</x:v>
      </x:c>
      <x:c r="C1821" s="8" t="n">
        <x:v>72</x:v>
      </x:c>
      <x:c r="D1821" s="9" t="n">
        <x:v>599</x:v>
      </x:c>
      <x:c r="E1821" s="9" t="n">
        <x:v>275.46</x:v>
      </x:c>
      <x:c r="F1821" s="8" t="n">
        <x:f>C1821*D1821</x:f>
        <x:v>43128</x:v>
      </x:c>
      <x:c r="G1821" s="8" t="n">
        <x:f>C1821*E1821</x:f>
        <x:v>19833.12</x:v>
      </x:c>
      <x:c r="H1821" s="8" t="n">
        <x:f>F1821-G1821</x:f>
        <x:v>23294.88</x:v>
      </x:c>
      <x:c r="I1821" s="10" t="n">
        <x:f>H1821/F1821</x:f>
        <x:v>0.5401335559265442</x:v>
      </x:c>
    </x:row>
    <x:row r="1822" ht="22" customHeight="1">
      <x:c r="A1822" s="11" t="str">
        <x:v>39</x:v>
      </x:c>
      <x:c r="B1822" s="8" t="str">
        <x:v>Contoso 8GB Clock &amp; Radio MP3 Player X850 Green</x:v>
      </x:c>
      <x:c r="C1822" s="8" t="n">
        <x:v>107</x:v>
      </x:c>
      <x:c r="D1822" s="9" t="n">
        <x:v>299.23</x:v>
      </x:c>
      <x:c r="E1822" s="9" t="n">
        <x:v>99.14</x:v>
      </x:c>
      <x:c r="F1822" s="8" t="n">
        <x:f>C1822*D1822</x:f>
        <x:v>32017.61</x:v>
      </x:c>
      <x:c r="G1822" s="8" t="n">
        <x:f>C1822*E1822</x:f>
        <x:v>10607.98</x:v>
      </x:c>
      <x:c r="H1822" s="8" t="n">
        <x:f>F1822-G1822</x:f>
        <x:v>21409.63</x:v>
      </x:c>
      <x:c r="I1822" s="10" t="n">
        <x:f>H1822/F1822</x:f>
        <x:v>0.6686829529124754</x:v>
      </x:c>
    </x:row>
    <x:row r="1823" ht="22" customHeight="1">
      <x:c r="A1823" s="11" t="str">
        <x:v>390</x:v>
      </x:c>
      <x:c r="B1823" s="8" t="str">
        <x:v>WWI Laptop19W X0196 Black</x:v>
      </x:c>
      <x:c r="C1823" s="8" t="n">
        <x:v>46</x:v>
      </x:c>
      <x:c r="D1823" s="9" t="n">
        <x:v>1299</x:v>
      </x:c>
      <x:c r="E1823" s="9" t="n">
        <x:v>430.38</x:v>
      </x:c>
      <x:c r="F1823" s="8" t="n">
        <x:f>C1823*D1823</x:f>
        <x:v>59754</x:v>
      </x:c>
      <x:c r="G1823" s="8" t="n">
        <x:f>C1823*E1823</x:f>
        <x:v>19797.48</x:v>
      </x:c>
      <x:c r="H1823" s="8" t="n">
        <x:f>F1823-G1823</x:f>
        <x:v>39956.520000000004</x:v>
      </x:c>
      <x:c r="I1823" s="10" t="n">
        <x:f>H1823/F1823</x:f>
        <x:v>0.6686836027713626</x:v>
      </x:c>
    </x:row>
    <x:row r="1824" ht="22" customHeight="1">
      <x:c r="A1824" s="11" t="str">
        <x:v>391</x:v>
      </x:c>
      <x:c r="B1824" s="8" t="str">
        <x:v>WWI Laptop15 M0150 Black</x:v>
      </x:c>
      <x:c r="C1824" s="8" t="n">
        <x:v>42</x:v>
      </x:c>
      <x:c r="D1824" s="9" t="n">
        <x:v>699</x:v>
      </x:c>
      <x:c r="E1824" s="9" t="n">
        <x:v>321.44</x:v>
      </x:c>
      <x:c r="F1824" s="8" t="n">
        <x:f>C1824*D1824</x:f>
        <x:v>29358</x:v>
      </x:c>
      <x:c r="G1824" s="8" t="n">
        <x:f>C1824*E1824</x:f>
        <x:v>13500.48</x:v>
      </x:c>
      <x:c r="H1824" s="8" t="n">
        <x:f>F1824-G1824</x:f>
        <x:v>15857.52</x:v>
      </x:c>
      <x:c r="I1824" s="10" t="n">
        <x:f>H1824/F1824</x:f>
        <x:v>0.5401430615164521</x:v>
      </x:c>
    </x:row>
    <x:row r="1825" ht="22" customHeight="1">
      <x:c r="A1825" s="11" t="str">
        <x:v>392</x:v>
      </x:c>
      <x:c r="B1825" s="8" t="str">
        <x:v>WWI Laptop12 M0120 Black</x:v>
      </x:c>
      <x:c r="C1825" s="8" t="n">
        <x:v>42</x:v>
      </x:c>
      <x:c r="D1825" s="9" t="n">
        <x:v>382.95</x:v>
      </x:c>
      <x:c r="E1825" s="9" t="n">
        <x:v>195.24</x:v>
      </x:c>
      <x:c r="F1825" s="8" t="n">
        <x:f>C1825*D1825</x:f>
        <x:v>16083.9</x:v>
      </x:c>
      <x:c r="G1825" s="8" t="n">
        <x:f>C1825*E1825</x:f>
        <x:v>8200.08</x:v>
      </x:c>
      <x:c r="H1825" s="8" t="n">
        <x:f>F1825-G1825</x:f>
        <x:v>7883.82</x:v>
      </x:c>
      <x:c r="I1825" s="10" t="n">
        <x:f>H1825/F1825</x:f>
        <x:v>0.49016842929886406</x:v>
      </x:c>
    </x:row>
    <x:row r="1826" ht="22" customHeight="1">
      <x:c r="A1826" s="11" t="str">
        <x:v>393</x:v>
      </x:c>
      <x:c r="B1826" s="8" t="str">
        <x:v>WWI Laptop16 M0160 Black</x:v>
      </x:c>
      <x:c r="C1826" s="8" t="n">
        <x:v>93</x:v>
      </x:c>
      <x:c r="D1826" s="9" t="n">
        <x:v>599</x:v>
      </x:c>
      <x:c r="E1826" s="9" t="n">
        <x:v>275.46</x:v>
      </x:c>
      <x:c r="F1826" s="8" t="n">
        <x:f>C1826*D1826</x:f>
        <x:v>55707</x:v>
      </x:c>
      <x:c r="G1826" s="8" t="n">
        <x:f>C1826*E1826</x:f>
        <x:v>25617.78</x:v>
      </x:c>
      <x:c r="H1826" s="8" t="n">
        <x:f>F1826-G1826</x:f>
        <x:v>30089.22</x:v>
      </x:c>
      <x:c r="I1826" s="10" t="n">
        <x:f>H1826/F1826</x:f>
        <x:v>0.5401335559265442</x:v>
      </x:c>
    </x:row>
    <x:row r="1827" ht="22" customHeight="1">
      <x:c r="A1827" s="11" t="str">
        <x:v>394</x:v>
      </x:c>
      <x:c r="B1827" s="8" t="str">
        <x:v>WWI Laptop15.4W M0156 Black</x:v>
      </x:c>
      <x:c r="C1827" s="8" t="n">
        <x:v>88</x:v>
      </x:c>
      <x:c r="D1827" s="9" t="n">
        <x:v>758</x:v>
      </x:c>
      <x:c r="E1827" s="9" t="n">
        <x:v>348.58</x:v>
      </x:c>
      <x:c r="F1827" s="8" t="n">
        <x:f>C1827*D1827</x:f>
        <x:v>66704</x:v>
      </x:c>
      <x:c r="G1827" s="8" t="n">
        <x:f>C1827*E1827</x:f>
        <x:v>30675.039999999997</x:v>
      </x:c>
      <x:c r="H1827" s="8" t="n">
        <x:f>F1827-G1827</x:f>
        <x:v>36028.96000000001</x:v>
      </x:c>
      <x:c r="I1827" s="10" t="n">
        <x:f>H1827/F1827</x:f>
        <x:v>0.5401319261213722</x:v>
      </x:c>
    </x:row>
    <x:row r="1828" ht="22" customHeight="1">
      <x:c r="A1828" s="11" t="str">
        <x:v>395</x:v>
      </x:c>
      <x:c r="B1828" s="8" t="str">
        <x:v>WWI Laptop8.9 E0089 Black</x:v>
      </x:c>
      <x:c r="C1828" s="8" t="n">
        <x:v>85</x:v>
      </x:c>
      <x:c r="D1828" s="9" t="n">
        <x:v>326</x:v>
      </x:c>
      <x:c r="E1828" s="9" t="n">
        <x:v>166.2</x:v>
      </x:c>
      <x:c r="F1828" s="8" t="n">
        <x:f>C1828*D1828</x:f>
        <x:v>27710</x:v>
      </x:c>
      <x:c r="G1828" s="8" t="n">
        <x:f>C1828*E1828</x:f>
        <x:v>14126.999999999998</x:v>
      </x:c>
      <x:c r="H1828" s="8" t="n">
        <x:f>F1828-G1828</x:f>
        <x:v>13583.000000000002</x:v>
      </x:c>
      <x:c r="I1828" s="10" t="n">
        <x:f>H1828/F1828</x:f>
        <x:v>0.49018404907975466</x:v>
      </x:c>
    </x:row>
    <x:row r="1829" ht="22" customHeight="1">
      <x:c r="A1829" s="11" t="str">
        <x:v>396</x:v>
      </x:c>
      <x:c r="B1829" s="8" t="str">
        <x:v>WWI Laptop19W X0196 White</x:v>
      </x:c>
      <x:c r="C1829" s="8" t="n">
        <x:v>40</x:v>
      </x:c>
      <x:c r="D1829" s="9" t="n">
        <x:v>1299</x:v>
      </x:c>
      <x:c r="E1829" s="9" t="n">
        <x:v>430.38</x:v>
      </x:c>
      <x:c r="F1829" s="8" t="n">
        <x:f>C1829*D1829</x:f>
        <x:v>51960</x:v>
      </x:c>
      <x:c r="G1829" s="8" t="n">
        <x:f>C1829*E1829</x:f>
        <x:v>17215.2</x:v>
      </x:c>
      <x:c r="H1829" s="8" t="n">
        <x:f>F1829-G1829</x:f>
        <x:v>34744.8</x:v>
      </x:c>
      <x:c r="I1829" s="10" t="n">
        <x:f>H1829/F1829</x:f>
        <x:v>0.6686836027713626</x:v>
      </x:c>
    </x:row>
    <x:row r="1830" ht="22" customHeight="1">
      <x:c r="A1830" s="11" t="str">
        <x:v>397</x:v>
      </x:c>
      <x:c r="B1830" s="8" t="str">
        <x:v>WWI Laptop15 M0150 White</x:v>
      </x:c>
      <x:c r="C1830" s="8" t="n">
        <x:v>55</x:v>
      </x:c>
      <x:c r="D1830" s="9" t="n">
        <x:v>699</x:v>
      </x:c>
      <x:c r="E1830" s="9" t="n">
        <x:v>321.44</x:v>
      </x:c>
      <x:c r="F1830" s="8" t="n">
        <x:f>C1830*D1830</x:f>
        <x:v>38445</x:v>
      </x:c>
      <x:c r="G1830" s="8" t="n">
        <x:f>C1830*E1830</x:f>
        <x:v>17679.2</x:v>
      </x:c>
      <x:c r="H1830" s="8" t="n">
        <x:f>F1830-G1830</x:f>
        <x:v>20765.8</x:v>
      </x:c>
      <x:c r="I1830" s="10" t="n">
        <x:f>H1830/F1830</x:f>
        <x:v>0.5401430615164521</x:v>
      </x:c>
    </x:row>
    <x:row r="1831" ht="22" customHeight="1">
      <x:c r="A1831" s="11" t="str">
        <x:v>398</x:v>
      </x:c>
      <x:c r="B1831" s="8" t="str">
        <x:v>WWI Laptop12 M0120 White</x:v>
      </x:c>
      <x:c r="C1831" s="8" t="n">
        <x:v>62</x:v>
      </x:c>
      <x:c r="D1831" s="9" t="n">
        <x:v>382.95</x:v>
      </x:c>
      <x:c r="E1831" s="9" t="n">
        <x:v>195.24</x:v>
      </x:c>
      <x:c r="F1831" s="8" t="n">
        <x:f>C1831*D1831</x:f>
        <x:v>23742.899999999998</x:v>
      </x:c>
      <x:c r="G1831" s="8" t="n">
        <x:f>C1831*E1831</x:f>
        <x:v>12104.880000000001</x:v>
      </x:c>
      <x:c r="H1831" s="8" t="n">
        <x:f>F1831-G1831</x:f>
        <x:v>11638.019999999997</x:v>
      </x:c>
      <x:c r="I1831" s="10" t="n">
        <x:f>H1831/F1831</x:f>
        <x:v>0.490168429298864</x:v>
      </x:c>
    </x:row>
    <x:row r="1832" ht="22" customHeight="1">
      <x:c r="A1832" s="11" t="str">
        <x:v>399</x:v>
      </x:c>
      <x:c r="B1832" s="8" t="str">
        <x:v>WWI Laptop16 M0160 White</x:v>
      </x:c>
      <x:c r="C1832" s="8" t="n">
        <x:v>82</x:v>
      </x:c>
      <x:c r="D1832" s="9" t="n">
        <x:v>599</x:v>
      </x:c>
      <x:c r="E1832" s="9" t="n">
        <x:v>275.46</x:v>
      </x:c>
      <x:c r="F1832" s="8" t="n">
        <x:f>C1832*D1832</x:f>
        <x:v>49118</x:v>
      </x:c>
      <x:c r="G1832" s="8" t="n">
        <x:f>C1832*E1832</x:f>
        <x:v>22587.719999999998</x:v>
      </x:c>
      <x:c r="H1832" s="8" t="n">
        <x:f>F1832-G1832</x:f>
        <x:v>26530.280000000002</x:v>
      </x:c>
      <x:c r="I1832" s="10" t="n">
        <x:f>H1832/F1832</x:f>
        <x:v>0.5401335559265443</x:v>
      </x:c>
    </x:row>
    <x:row r="1833" ht="22" customHeight="1">
      <x:c r="A1833" s="11" t="str">
        <x:v>4</x:v>
      </x:c>
      <x:c r="B1833" s="8" t="str">
        <x:v>Contoso 2G MP3 Player E200 Silver</x:v>
      </x:c>
      <x:c r="C1833" s="8" t="n">
        <x:v>74</x:v>
      </x:c>
      <x:c r="D1833" s="9" t="n">
        <x:v>21.57</x:v>
      </x:c>
      <x:c r="E1833" s="9" t="n">
        <x:v>11</x:v>
      </x:c>
      <x:c r="F1833" s="8" t="n">
        <x:f>C1833*D1833</x:f>
        <x:v>1596.18</x:v>
      </x:c>
      <x:c r="G1833" s="8" t="n">
        <x:f>C1833*E1833</x:f>
        <x:v>814</x:v>
      </x:c>
      <x:c r="H1833" s="8" t="n">
        <x:f>F1833-G1833</x:f>
        <x:v>782.1800000000001</x:v>
      </x:c>
      <x:c r="I1833" s="10" t="n">
        <x:f>H1833/F1833</x:f>
        <x:v>0.49003245248029675</x:v>
      </x:c>
    </x:row>
    <x:row r="1834" ht="22" customHeight="1">
      <x:c r="A1834" s="11" t="str">
        <x:v>40</x:v>
      </x:c>
      <x:c r="B1834" s="8" t="str">
        <x:v>Contoso 8GB Clock &amp; Radio MP3 Player X850 Blue</x:v>
      </x:c>
      <x:c r="C1834" s="8" t="n">
        <x:v>74</x:v>
      </x:c>
      <x:c r="D1834" s="9" t="n">
        <x:v>299.23</x:v>
      </x:c>
      <x:c r="E1834" s="9" t="n">
        <x:v>99.14</x:v>
      </x:c>
      <x:c r="F1834" s="8" t="n">
        <x:f>C1834*D1834</x:f>
        <x:v>22143.02</x:v>
      </x:c>
      <x:c r="G1834" s="8" t="n">
        <x:f>C1834*E1834</x:f>
        <x:v>7336.36</x:v>
      </x:c>
      <x:c r="H1834" s="8" t="n">
        <x:f>F1834-G1834</x:f>
        <x:v>14806.66</x:v>
      </x:c>
      <x:c r="I1834" s="10" t="n">
        <x:f>H1834/F1834</x:f>
        <x:v>0.6686829529124754</x:v>
      </x:c>
    </x:row>
    <x:row r="1835" ht="22" customHeight="1">
      <x:c r="A1835" s="11" t="str">
        <x:v>400</x:v>
      </x:c>
      <x:c r="B1835" s="8" t="str">
        <x:v>WWI Laptop15.4W M0156 White</x:v>
      </x:c>
      <x:c r="C1835" s="8" t="n">
        <x:v>46</x:v>
      </x:c>
      <x:c r="D1835" s="9" t="n">
        <x:v>758</x:v>
      </x:c>
      <x:c r="E1835" s="9" t="n">
        <x:v>348.58</x:v>
      </x:c>
      <x:c r="F1835" s="8" t="n">
        <x:f>C1835*D1835</x:f>
        <x:v>34868</x:v>
      </x:c>
      <x:c r="G1835" s="8" t="n">
        <x:f>C1835*E1835</x:f>
        <x:v>16034.679999999998</x:v>
      </x:c>
      <x:c r="H1835" s="8" t="n">
        <x:f>F1835-G1835</x:f>
        <x:v>18833.32</x:v>
      </x:c>
      <x:c r="I1835" s="10" t="n">
        <x:f>H1835/F1835</x:f>
        <x:v>0.5401319261213721</x:v>
      </x:c>
    </x:row>
    <x:row r="1836" ht="22" customHeight="1">
      <x:c r="A1836" s="11" t="str">
        <x:v>401</x:v>
      </x:c>
      <x:c r="B1836" s="8" t="str">
        <x:v>WWI Laptop8.9 E0089 White</x:v>
      </x:c>
      <x:c r="C1836" s="8" t="n">
        <x:v>40</x:v>
      </x:c>
      <x:c r="D1836" s="9" t="n">
        <x:v>326</x:v>
      </x:c>
      <x:c r="E1836" s="9" t="n">
        <x:v>166.2</x:v>
      </x:c>
      <x:c r="F1836" s="8" t="n">
        <x:f>C1836*D1836</x:f>
        <x:v>13040</x:v>
      </x:c>
      <x:c r="G1836" s="8" t="n">
        <x:f>C1836*E1836</x:f>
        <x:v>6648</x:v>
      </x:c>
      <x:c r="H1836" s="8" t="n">
        <x:f>F1836-G1836</x:f>
        <x:v>6392</x:v>
      </x:c>
      <x:c r="I1836" s="10" t="n">
        <x:f>H1836/F1836</x:f>
        <x:v>0.4901840490797546</x:v>
      </x:c>
    </x:row>
    <x:row r="1837" ht="22" customHeight="1">
      <x:c r="A1837" s="11" t="str">
        <x:v>402</x:v>
      </x:c>
      <x:c r="B1837" s="8" t="str">
        <x:v>WWI Laptop19W X0196 Blue</x:v>
      </x:c>
      <x:c r="C1837" s="8" t="n">
        <x:v>79</x:v>
      </x:c>
      <x:c r="D1837" s="9" t="n">
        <x:v>1299</x:v>
      </x:c>
      <x:c r="E1837" s="9" t="n">
        <x:v>430.38</x:v>
      </x:c>
      <x:c r="F1837" s="8" t="n">
        <x:f>C1837*D1837</x:f>
        <x:v>102621</x:v>
      </x:c>
      <x:c r="G1837" s="8" t="n">
        <x:f>C1837*E1837</x:f>
        <x:v>34000.02</x:v>
      </x:c>
      <x:c r="H1837" s="8" t="n">
        <x:f>F1837-G1837</x:f>
        <x:v>68620.98000000001</x:v>
      </x:c>
      <x:c r="I1837" s="10" t="n">
        <x:f>H1837/F1837</x:f>
        <x:v>0.6686836027713627</x:v>
      </x:c>
    </x:row>
    <x:row r="1838" ht="22" customHeight="1">
      <x:c r="A1838" s="11" t="str">
        <x:v>403</x:v>
      </x:c>
      <x:c r="B1838" s="8" t="str">
        <x:v>WWI Laptop15 M0150 Blue</x:v>
      </x:c>
      <x:c r="C1838" s="8" t="n">
        <x:v>45</x:v>
      </x:c>
      <x:c r="D1838" s="9" t="n">
        <x:v>699</x:v>
      </x:c>
      <x:c r="E1838" s="9" t="n">
        <x:v>321.44</x:v>
      </x:c>
      <x:c r="F1838" s="8" t="n">
        <x:f>C1838*D1838</x:f>
        <x:v>31455</x:v>
      </x:c>
      <x:c r="G1838" s="8" t="n">
        <x:f>C1838*E1838</x:f>
        <x:v>14464.8</x:v>
      </x:c>
      <x:c r="H1838" s="8" t="n">
        <x:f>F1838-G1838</x:f>
        <x:v>16990.2</x:v>
      </x:c>
      <x:c r="I1838" s="10" t="n">
        <x:f>H1838/F1838</x:f>
        <x:v>0.5401430615164521</x:v>
      </x:c>
    </x:row>
    <x:row r="1839" ht="22" customHeight="1">
      <x:c r="A1839" s="11" t="str">
        <x:v>404</x:v>
      </x:c>
      <x:c r="B1839" s="8" t="str">
        <x:v>Proseware Laptop19 X910 Black</x:v>
      </x:c>
      <x:c r="C1839" s="8" t="n">
        <x:v>58</x:v>
      </x:c>
      <x:c r="D1839" s="9" t="n">
        <x:v>1299</x:v>
      </x:c>
      <x:c r="E1839" s="9" t="n">
        <x:v>430.38</x:v>
      </x:c>
      <x:c r="F1839" s="8" t="n">
        <x:f>C1839*D1839</x:f>
        <x:v>75342</x:v>
      </x:c>
      <x:c r="G1839" s="8" t="n">
        <x:f>C1839*E1839</x:f>
        <x:v>24962.04</x:v>
      </x:c>
      <x:c r="H1839" s="8" t="n">
        <x:f>F1839-G1839</x:f>
        <x:v>50379.96</x:v>
      </x:c>
      <x:c r="I1839" s="10" t="n">
        <x:f>H1839/F1839</x:f>
        <x:v>0.6686836027713626</x:v>
      </x:c>
    </x:row>
    <x:row r="1840" ht="22" customHeight="1">
      <x:c r="A1840" s="11" t="str">
        <x:v>405</x:v>
      </x:c>
      <x:c r="B1840" s="8" t="str">
        <x:v>Proseware Laptop15 M510 Black</x:v>
      </x:c>
      <x:c r="C1840" s="8" t="n">
        <x:v>63</x:v>
      </x:c>
      <x:c r="D1840" s="9" t="n">
        <x:v>699</x:v>
      </x:c>
      <x:c r="E1840" s="9" t="n">
        <x:v>321.44</x:v>
      </x:c>
      <x:c r="F1840" s="8" t="n">
        <x:f>C1840*D1840</x:f>
        <x:v>44037</x:v>
      </x:c>
      <x:c r="G1840" s="8" t="n">
        <x:f>C1840*E1840</x:f>
        <x:v>20250.72</x:v>
      </x:c>
      <x:c r="H1840" s="8" t="n">
        <x:f>F1840-G1840</x:f>
        <x:v>23786.28</x:v>
      </x:c>
      <x:c r="I1840" s="10" t="n">
        <x:f>H1840/F1840</x:f>
        <x:v>0.5401430615164521</x:v>
      </x:c>
    </x:row>
    <x:row r="1841" ht="22" customHeight="1">
      <x:c r="A1841" s="11" t="str">
        <x:v>406</x:v>
      </x:c>
      <x:c r="B1841" s="8" t="str">
        <x:v>Proseware Laptop12 M210 Black</x:v>
      </x:c>
      <x:c r="C1841" s="8" t="n">
        <x:v>77</x:v>
      </x:c>
      <x:c r="D1841" s="9" t="n">
        <x:v>382.95</x:v>
      </x:c>
      <x:c r="E1841" s="9" t="n">
        <x:v>195.24</x:v>
      </x:c>
      <x:c r="F1841" s="8" t="n">
        <x:f>C1841*D1841</x:f>
        <x:v>29487.149999999998</x:v>
      </x:c>
      <x:c r="G1841" s="8" t="n">
        <x:f>C1841*E1841</x:f>
        <x:v>15033.480000000001</x:v>
      </x:c>
      <x:c r="H1841" s="8" t="n">
        <x:f>F1841-G1841</x:f>
        <x:v>14453.669999999996</x:v>
      </x:c>
      <x:c r="I1841" s="10" t="n">
        <x:f>H1841/F1841</x:f>
        <x:v>0.490168429298864</x:v>
      </x:c>
    </x:row>
    <x:row r="1842" ht="22" customHeight="1">
      <x:c r="A1842" s="11" t="str">
        <x:v>407</x:v>
      </x:c>
      <x:c r="B1842" s="8" t="str">
        <x:v>Proseware Laptop16 M610 Black</x:v>
      </x:c>
      <x:c r="C1842" s="8" t="n">
        <x:v>46</x:v>
      </x:c>
      <x:c r="D1842" s="9" t="n">
        <x:v>599</x:v>
      </x:c>
      <x:c r="E1842" s="9" t="n">
        <x:v>275.46</x:v>
      </x:c>
      <x:c r="F1842" s="8" t="n">
        <x:f>C1842*D1842</x:f>
        <x:v>27554</x:v>
      </x:c>
      <x:c r="G1842" s="8" t="n">
        <x:f>C1842*E1842</x:f>
        <x:v>12671.16</x:v>
      </x:c>
      <x:c r="H1842" s="8" t="n">
        <x:f>F1842-G1842</x:f>
        <x:v>14882.84</x:v>
      </x:c>
      <x:c r="I1842" s="10" t="n">
        <x:f>H1842/F1842</x:f>
        <x:v>0.5401335559265442</x:v>
      </x:c>
    </x:row>
    <x:row r="1843" ht="22" customHeight="1">
      <x:c r="A1843" s="11" t="str">
        <x:v>408</x:v>
      </x:c>
      <x:c r="B1843" s="8" t="str">
        <x:v>Proseware Laptop15.4W M518 Black</x:v>
      </x:c>
      <x:c r="C1843" s="8" t="n">
        <x:v>57</x:v>
      </x:c>
      <x:c r="D1843" s="9" t="n">
        <x:v>758</x:v>
      </x:c>
      <x:c r="E1843" s="9" t="n">
        <x:v>348.58</x:v>
      </x:c>
      <x:c r="F1843" s="8" t="n">
        <x:f>C1843*D1843</x:f>
        <x:v>43206</x:v>
      </x:c>
      <x:c r="G1843" s="8" t="n">
        <x:f>C1843*E1843</x:f>
        <x:v>19869.059999999998</x:v>
      </x:c>
      <x:c r="H1843" s="8" t="n">
        <x:f>F1843-G1843</x:f>
        <x:v>23336.940000000002</x:v>
      </x:c>
      <x:c r="I1843" s="10" t="n">
        <x:f>H1843/F1843</x:f>
        <x:v>0.5401319261213721</x:v>
      </x:c>
    </x:row>
    <x:row r="1844" ht="22" customHeight="1">
      <x:c r="A1844" s="11" t="str">
        <x:v>409</x:v>
      </x:c>
      <x:c r="B1844" s="8" t="str">
        <x:v>Proseware Laptop8.9 E089 Black</x:v>
      </x:c>
      <x:c r="C1844" s="8" t="n">
        <x:v>82</x:v>
      </x:c>
      <x:c r="D1844" s="9" t="n">
        <x:v>326</x:v>
      </x:c>
      <x:c r="E1844" s="9" t="n">
        <x:v>166.2</x:v>
      </x:c>
      <x:c r="F1844" s="8" t="n">
        <x:f>C1844*D1844</x:f>
        <x:v>26732</x:v>
      </x:c>
      <x:c r="G1844" s="8" t="n">
        <x:f>C1844*E1844</x:f>
        <x:v>13628.4</x:v>
      </x:c>
      <x:c r="H1844" s="8" t="n">
        <x:f>F1844-G1844</x:f>
        <x:v>13103.6</x:v>
      </x:c>
      <x:c r="I1844" s="10" t="n">
        <x:f>H1844/F1844</x:f>
        <x:v>0.4901840490797546</x:v>
      </x:c>
    </x:row>
    <x:row r="1845" ht="22" customHeight="1">
      <x:c r="A1845" s="11" t="str">
        <x:v>41</x:v>
      </x:c>
      <x:c r="B1845" s="8" t="str">
        <x:v>Contoso 16GB New Generation MP5 Player M1650 Silver</x:v>
      </x:c>
      <x:c r="C1845" s="8" t="n">
        <x:v>74</x:v>
      </x:c>
      <x:c r="D1845" s="9" t="n">
        <x:v>232</x:v>
      </x:c>
      <x:c r="E1845" s="9" t="n">
        <x:v>106.69</x:v>
      </x:c>
      <x:c r="F1845" s="8" t="n">
        <x:f>C1845*D1845</x:f>
        <x:v>17168</x:v>
      </x:c>
      <x:c r="G1845" s="8" t="n">
        <x:f>C1845*E1845</x:f>
        <x:v>7895.0599999999995</x:v>
      </x:c>
      <x:c r="H1845" s="8" t="n">
        <x:f>F1845-G1845</x:f>
        <x:v>9272.94</x:v>
      </x:c>
      <x:c r="I1845" s="10" t="n">
        <x:f>H1845/F1845</x:f>
        <x:v>0.5401293103448276</x:v>
      </x:c>
    </x:row>
    <x:row r="1846" ht="22" customHeight="1">
      <x:c r="A1846" s="11" t="str">
        <x:v>410</x:v>
      </x:c>
      <x:c r="B1846" s="8" t="str">
        <x:v>Proseware Laptop19W X910 White</x:v>
      </x:c>
      <x:c r="C1846" s="8" t="n">
        <x:v>72</x:v>
      </x:c>
      <x:c r="D1846" s="9" t="n">
        <x:v>1299</x:v>
      </x:c>
      <x:c r="E1846" s="9" t="n">
        <x:v>430.38</x:v>
      </x:c>
      <x:c r="F1846" s="8" t="n">
        <x:f>C1846*D1846</x:f>
        <x:v>93528</x:v>
      </x:c>
      <x:c r="G1846" s="8" t="n">
        <x:f>C1846*E1846</x:f>
        <x:v>30987.36</x:v>
      </x:c>
      <x:c r="H1846" s="8" t="n">
        <x:f>F1846-G1846</x:f>
        <x:v>62540.64</x:v>
      </x:c>
      <x:c r="I1846" s="10" t="n">
        <x:f>H1846/F1846</x:f>
        <x:v>0.6686836027713626</x:v>
      </x:c>
    </x:row>
    <x:row r="1847" ht="22" customHeight="1">
      <x:c r="A1847" s="11" t="str">
        <x:v>411</x:v>
      </x:c>
      <x:c r="B1847" s="8" t="str">
        <x:v>Proseware Laptop15 M510 White</x:v>
      </x:c>
      <x:c r="C1847" s="8" t="n">
        <x:v>73</x:v>
      </x:c>
      <x:c r="D1847" s="9" t="n">
        <x:v>699</x:v>
      </x:c>
      <x:c r="E1847" s="9" t="n">
        <x:v>321.44</x:v>
      </x:c>
      <x:c r="F1847" s="8" t="n">
        <x:f>C1847*D1847</x:f>
        <x:v>51027</x:v>
      </x:c>
      <x:c r="G1847" s="8" t="n">
        <x:f>C1847*E1847</x:f>
        <x:v>23465.12</x:v>
      </x:c>
      <x:c r="H1847" s="8" t="n">
        <x:f>F1847-G1847</x:f>
        <x:v>27561.88</x:v>
      </x:c>
      <x:c r="I1847" s="10" t="n">
        <x:f>H1847/F1847</x:f>
        <x:v>0.5401430615164521</x:v>
      </x:c>
    </x:row>
    <x:row r="1848" ht="22" customHeight="1">
      <x:c r="A1848" s="11" t="str">
        <x:v>412</x:v>
      </x:c>
      <x:c r="B1848" s="8" t="str">
        <x:v>Proseware Laptop12 M210 White</x:v>
      </x:c>
      <x:c r="C1848" s="8" t="n">
        <x:v>68</x:v>
      </x:c>
      <x:c r="D1848" s="9" t="n">
        <x:v>382.95</x:v>
      </x:c>
      <x:c r="E1848" s="9" t="n">
        <x:v>195.24</x:v>
      </x:c>
      <x:c r="F1848" s="8" t="n">
        <x:f>C1848*D1848</x:f>
        <x:v>26040.6</x:v>
      </x:c>
      <x:c r="G1848" s="8" t="n">
        <x:f>C1848*E1848</x:f>
        <x:v>13276.32</x:v>
      </x:c>
      <x:c r="H1848" s="8" t="n">
        <x:f>F1848-G1848</x:f>
        <x:v>12764.279999999999</x:v>
      </x:c>
      <x:c r="I1848" s="10" t="n">
        <x:f>H1848/F1848</x:f>
        <x:v>0.49016842929886406</x:v>
      </x:c>
    </x:row>
    <x:row r="1849" ht="22" customHeight="1">
      <x:c r="A1849" s="11" t="str">
        <x:v>413</x:v>
      </x:c>
      <x:c r="B1849" s="8" t="str">
        <x:v>Proseware Laptop16 M610 White</x:v>
      </x:c>
      <x:c r="C1849" s="8" t="n">
        <x:v>53</x:v>
      </x:c>
      <x:c r="D1849" s="9" t="n">
        <x:v>599</x:v>
      </x:c>
      <x:c r="E1849" s="9" t="n">
        <x:v>275.46</x:v>
      </x:c>
      <x:c r="F1849" s="8" t="n">
        <x:f>C1849*D1849</x:f>
        <x:v>31747</x:v>
      </x:c>
      <x:c r="G1849" s="8" t="n">
        <x:f>C1849*E1849</x:f>
        <x:v>14599.38</x:v>
      </x:c>
      <x:c r="H1849" s="8" t="n">
        <x:f>F1849-G1849</x:f>
        <x:v>17147.620000000003</x:v>
      </x:c>
      <x:c r="I1849" s="10" t="n">
        <x:f>H1849/F1849</x:f>
        <x:v>0.5401335559265443</x:v>
      </x:c>
    </x:row>
    <x:row r="1850" ht="22" customHeight="1">
      <x:c r="A1850" s="11" t="str">
        <x:v>414</x:v>
      </x:c>
      <x:c r="B1850" s="8" t="str">
        <x:v>Proseware Laptop15.4W M518 White</x:v>
      </x:c>
      <x:c r="C1850" s="8" t="n">
        <x:v>66</x:v>
      </x:c>
      <x:c r="D1850" s="9" t="n">
        <x:v>758</x:v>
      </x:c>
      <x:c r="E1850" s="9" t="n">
        <x:v>348.58</x:v>
      </x:c>
      <x:c r="F1850" s="8" t="n">
        <x:f>C1850*D1850</x:f>
        <x:v>50028</x:v>
      </x:c>
      <x:c r="G1850" s="8" t="n">
        <x:f>C1850*E1850</x:f>
        <x:v>23006.28</x:v>
      </x:c>
      <x:c r="H1850" s="8" t="n">
        <x:f>F1850-G1850</x:f>
        <x:v>27021.72</x:v>
      </x:c>
      <x:c r="I1850" s="10" t="n">
        <x:f>H1850/F1850</x:f>
        <x:v>0.5401319261213721</x:v>
      </x:c>
    </x:row>
    <x:row r="1851" ht="22" customHeight="1">
      <x:c r="A1851" s="11" t="str">
        <x:v>415</x:v>
      </x:c>
      <x:c r="B1851" s="8" t="str">
        <x:v>Proseware Laptop8.9 E089 White</x:v>
      </x:c>
      <x:c r="C1851" s="8" t="n">
        <x:v>48</x:v>
      </x:c>
      <x:c r="D1851" s="9" t="n">
        <x:v>326</x:v>
      </x:c>
      <x:c r="E1851" s="9" t="n">
        <x:v>166.2</x:v>
      </x:c>
      <x:c r="F1851" s="8" t="n">
        <x:f>C1851*D1851</x:f>
        <x:v>15648</x:v>
      </x:c>
      <x:c r="G1851" s="8" t="n">
        <x:f>C1851*E1851</x:f>
        <x:v>7977.599999999999</x:v>
      </x:c>
      <x:c r="H1851" s="8" t="n">
        <x:f>F1851-G1851</x:f>
        <x:v>7670.400000000001</x:v>
      </x:c>
      <x:c r="I1851" s="10" t="n">
        <x:f>H1851/F1851</x:f>
        <x:v>0.49018404907975466</x:v>
      </x:c>
    </x:row>
    <x:row r="1852" ht="22" customHeight="1">
      <x:c r="A1852" s="11" t="str">
        <x:v>416</x:v>
      </x:c>
      <x:c r="B1852" s="8" t="str">
        <x:v>Adventure Works Desktop PC2.33 XD233 Silver</x:v>
      </x:c>
      <x:c r="C1852" s="8" t="n">
        <x:v>481</x:v>
      </x:c>
      <x:c r="D1852" s="9" t="n">
        <x:v>969</x:v>
      </x:c>
      <x:c r="E1852" s="9" t="n">
        <x:v>321.05</x:v>
      </x:c>
      <x:c r="F1852" s="8" t="n">
        <x:f>C1852*D1852</x:f>
        <x:v>466089</x:v>
      </x:c>
      <x:c r="G1852" s="8" t="n">
        <x:f>C1852*E1852</x:f>
        <x:v>154425.05000000002</x:v>
      </x:c>
      <x:c r="H1852" s="8" t="n">
        <x:f>F1852-G1852</x:f>
        <x:v>311663.94999999995</x:v>
      </x:c>
      <x:c r="I1852" s="10" t="n">
        <x:f>H1852/F1852</x:f>
        <x:v>0.6686790505675954</x:v>
      </x:c>
    </x:row>
    <x:row r="1853" ht="22" customHeight="1">
      <x:c r="A1853" s="11" t="str">
        <x:v>417</x:v>
      </x:c>
      <x:c r="B1853" s="8" t="str">
        <x:v>Adventure Works Desktop PC2.30 MD230 Silver</x:v>
      </x:c>
      <x:c r="C1853" s="8" t="n">
        <x:v>480</x:v>
      </x:c>
      <x:c r="D1853" s="9" t="n">
        <x:v>599</x:v>
      </x:c>
      <x:c r="E1853" s="9" t="n">
        <x:v>275.46</x:v>
      </x:c>
      <x:c r="F1853" s="8" t="n">
        <x:f>C1853*D1853</x:f>
        <x:v>287520</x:v>
      </x:c>
      <x:c r="G1853" s="8" t="n">
        <x:f>C1853*E1853</x:f>
        <x:v>132220.8</x:v>
      </x:c>
      <x:c r="H1853" s="8" t="n">
        <x:f>F1853-G1853</x:f>
        <x:v>155299.2</x:v>
      </x:c>
      <x:c r="I1853" s="10" t="n">
        <x:f>H1853/F1853</x:f>
        <x:v>0.5401335559265443</x:v>
      </x:c>
    </x:row>
    <x:row r="1854" ht="22" customHeight="1">
      <x:c r="A1854" s="11" t="str">
        <x:v>418</x:v>
      </x:c>
      <x:c r="B1854" s="8" t="str">
        <x:v>Adventure Works Desktop PC1.60 ED160 Silver</x:v>
      </x:c>
      <x:c r="C1854" s="8" t="n">
        <x:v>430</x:v>
      </x:c>
      <x:c r="D1854" s="9" t="n">
        <x:v>269.95</x:v>
      </x:c>
      <x:c r="E1854" s="9" t="n">
        <x:v>137.63</x:v>
      </x:c>
      <x:c r="F1854" s="8" t="n">
        <x:f>C1854*D1854</x:f>
        <x:v>116078.5</x:v>
      </x:c>
      <x:c r="G1854" s="8" t="n">
        <x:f>C1854*E1854</x:f>
        <x:v>59180.9</x:v>
      </x:c>
      <x:c r="H1854" s="8" t="n">
        <x:f>F1854-G1854</x:f>
        <x:v>56897.6</x:v>
      </x:c>
      <x:c r="I1854" s="10" t="n">
        <x:f>H1854/F1854</x:f>
        <x:v>0.49016484534172994</x:v>
      </x:c>
    </x:row>
    <x:row r="1855" ht="22" customHeight="1">
      <x:c r="A1855" s="11" t="str">
        <x:v>419</x:v>
      </x:c>
      <x:c r="B1855" s="8" t="str">
        <x:v>Adventure Works Desktop PC1.80 ED180 Silver</x:v>
      </x:c>
      <x:c r="C1855" s="8" t="n">
        <x:v>493</x:v>
      </x:c>
      <x:c r="D1855" s="9" t="n">
        <x:v>369</x:v>
      </x:c>
      <x:c r="E1855" s="9" t="n">
        <x:v>188.13</x:v>
      </x:c>
      <x:c r="F1855" s="8" t="n">
        <x:f>C1855*D1855</x:f>
        <x:v>181917</x:v>
      </x:c>
      <x:c r="G1855" s="8" t="n">
        <x:f>C1855*E1855</x:f>
        <x:v>92748.09</x:v>
      </x:c>
      <x:c r="H1855" s="8" t="n">
        <x:f>F1855-G1855</x:f>
        <x:v>89168.91</x:v>
      </x:c>
      <x:c r="I1855" s="10" t="n">
        <x:f>H1855/F1855</x:f>
        <x:v>0.49016260162601627</x:v>
      </x:c>
    </x:row>
    <x:row r="1856" ht="22" customHeight="1">
      <x:c r="A1856" s="11" t="str">
        <x:v>42</x:v>
      </x:c>
      <x:c r="B1856" s="8" t="str">
        <x:v>Contoso 16GB New Generation MP5 Player M1650 White</x:v>
      </x:c>
      <x:c r="C1856" s="8" t="n">
        <x:v>71</x:v>
      </x:c>
      <x:c r="D1856" s="9" t="n">
        <x:v>232</x:v>
      </x:c>
      <x:c r="E1856" s="9" t="n">
        <x:v>106.69</x:v>
      </x:c>
      <x:c r="F1856" s="8" t="n">
        <x:f>C1856*D1856</x:f>
        <x:v>16472</x:v>
      </x:c>
      <x:c r="G1856" s="8" t="n">
        <x:f>C1856*E1856</x:f>
        <x:v>7574.99</x:v>
      </x:c>
      <x:c r="H1856" s="8" t="n">
        <x:f>F1856-G1856</x:f>
        <x:v>8897.01</x:v>
      </x:c>
      <x:c r="I1856" s="10" t="n">
        <x:f>H1856/F1856</x:f>
        <x:v>0.5401293103448276</x:v>
      </x:c>
    </x:row>
    <x:row r="1857" ht="22" customHeight="1">
      <x:c r="A1857" s="11" t="str">
        <x:v>420</x:v>
      </x:c>
      <x:c r="B1857" s="8" t="str">
        <x:v>Adventure Works Desktop PC1.80 ED182 Silver</x:v>
      </x:c>
      <x:c r="C1857" s="8" t="n">
        <x:v>477</x:v>
      </x:c>
      <x:c r="D1857" s="9" t="n">
        <x:v>499.9</x:v>
      </x:c>
      <x:c r="E1857" s="9" t="n">
        <x:v>254.86</x:v>
      </x:c>
      <x:c r="F1857" s="8" t="n">
        <x:f>C1857*D1857</x:f>
        <x:v>238452.3</x:v>
      </x:c>
      <x:c r="G1857" s="8" t="n">
        <x:f>C1857*E1857</x:f>
        <x:v>121568.22</x:v>
      </x:c>
      <x:c r="H1857" s="8" t="n">
        <x:f>F1857-G1857</x:f>
        <x:v>116884.07999999999</x:v>
      </x:c>
      <x:c r="I1857" s="10" t="n">
        <x:f>H1857/F1857</x:f>
        <x:v>0.4901780356071214</x:v>
      </x:c>
    </x:row>
    <x:row r="1858" ht="22" customHeight="1">
      <x:c r="A1858" s="11" t="str">
        <x:v>421</x:v>
      </x:c>
      <x:c r="B1858" s="8" t="str">
        <x:v>Adventure Works Desktop PC3.0 MS300 Silver</x:v>
      </x:c>
      <x:c r="C1858" s="8" t="n">
        <x:v>464</x:v>
      </x:c>
      <x:c r="D1858" s="9" t="n">
        <x:v>469</x:v>
      </x:c>
      <x:c r="E1858" s="9" t="n">
        <x:v>215.68</x:v>
      </x:c>
      <x:c r="F1858" s="8" t="n">
        <x:f>C1858*D1858</x:f>
        <x:v>217616</x:v>
      </x:c>
      <x:c r="G1858" s="8" t="n">
        <x:f>C1858*E1858</x:f>
        <x:v>100075.52</x:v>
      </x:c>
      <x:c r="H1858" s="8" t="n">
        <x:f>F1858-G1858</x:f>
        <x:v>117540.48</x:v>
      </x:c>
      <x:c r="I1858" s="10" t="n">
        <x:f>H1858/F1858</x:f>
        <x:v>0.5401279317697228</x:v>
      </x:c>
    </x:row>
    <x:row r="1859" ht="22" customHeight="1">
      <x:c r="A1859" s="11" t="str">
        <x:v>422</x:v>
      </x:c>
      <x:c r="B1859" s="8" t="str">
        <x:v>Adventure Works Desktop PC2.33 XD233 Black</x:v>
      </x:c>
      <x:c r="C1859" s="8" t="n">
        <x:v>462</x:v>
      </x:c>
      <x:c r="D1859" s="9" t="n">
        <x:v>969</x:v>
      </x:c>
      <x:c r="E1859" s="9" t="n">
        <x:v>321.05</x:v>
      </x:c>
      <x:c r="F1859" s="8" t="n">
        <x:f>C1859*D1859</x:f>
        <x:v>447678</x:v>
      </x:c>
      <x:c r="G1859" s="8" t="n">
        <x:f>C1859*E1859</x:f>
        <x:v>148325.1</x:v>
      </x:c>
      <x:c r="H1859" s="8" t="n">
        <x:f>F1859-G1859</x:f>
        <x:v>299352.9</x:v>
      </x:c>
      <x:c r="I1859" s="10" t="n">
        <x:f>H1859/F1859</x:f>
        <x:v>0.6686790505675955</x:v>
      </x:c>
    </x:row>
    <x:row r="1860" ht="22" customHeight="1">
      <x:c r="A1860" s="11" t="str">
        <x:v>423</x:v>
      </x:c>
      <x:c r="B1860" s="8" t="str">
        <x:v>Adventure Works Desktop PC2.30 MD230 Black</x:v>
      </x:c>
      <x:c r="C1860" s="8" t="n">
        <x:v>514</x:v>
      </x:c>
      <x:c r="D1860" s="9" t="n">
        <x:v>599</x:v>
      </x:c>
      <x:c r="E1860" s="9" t="n">
        <x:v>275.46</x:v>
      </x:c>
      <x:c r="F1860" s="8" t="n">
        <x:f>C1860*D1860</x:f>
        <x:v>307886</x:v>
      </x:c>
      <x:c r="G1860" s="8" t="n">
        <x:f>C1860*E1860</x:f>
        <x:v>141586.44</x:v>
      </x:c>
      <x:c r="H1860" s="8" t="n">
        <x:f>F1860-G1860</x:f>
        <x:v>166299.56</x:v>
      </x:c>
      <x:c r="I1860" s="10" t="n">
        <x:f>H1860/F1860</x:f>
        <x:v>0.5401335559265442</x:v>
      </x:c>
    </x:row>
    <x:row r="1861" ht="22" customHeight="1">
      <x:c r="A1861" s="11" t="str">
        <x:v>424</x:v>
      </x:c>
      <x:c r="B1861" s="8" t="str">
        <x:v>Adventure Works Desktop PC1.60 ED160 Black</x:v>
      </x:c>
      <x:c r="C1861" s="8" t="n">
        <x:v>521</x:v>
      </x:c>
      <x:c r="D1861" s="9" t="n">
        <x:v>269.95</x:v>
      </x:c>
      <x:c r="E1861" s="9" t="n">
        <x:v>137.63</x:v>
      </x:c>
      <x:c r="F1861" s="8" t="n">
        <x:f>C1861*D1861</x:f>
        <x:v>140643.94999999998</x:v>
      </x:c>
      <x:c r="G1861" s="8" t="n">
        <x:f>C1861*E1861</x:f>
        <x:v>71705.23</x:v>
      </x:c>
      <x:c r="H1861" s="8" t="n">
        <x:f>F1861-G1861</x:f>
        <x:v>68938.71999999999</x:v>
      </x:c>
      <x:c r="I1861" s="10" t="n">
        <x:f>H1861/F1861</x:f>
        <x:v>0.49016484534172994</x:v>
      </x:c>
    </x:row>
    <x:row r="1862" ht="22" customHeight="1">
      <x:c r="A1862" s="11" t="str">
        <x:v>425</x:v>
      </x:c>
      <x:c r="B1862" s="8" t="str">
        <x:v>Adventure Works Desktop PC1.80 ED180 Black</x:v>
      </x:c>
      <x:c r="C1862" s="8" t="n">
        <x:v>520</x:v>
      </x:c>
      <x:c r="D1862" s="9" t="n">
        <x:v>369</x:v>
      </x:c>
      <x:c r="E1862" s="9" t="n">
        <x:v>188.13</x:v>
      </x:c>
      <x:c r="F1862" s="8" t="n">
        <x:f>C1862*D1862</x:f>
        <x:v>191880</x:v>
      </x:c>
      <x:c r="G1862" s="8" t="n">
        <x:f>C1862*E1862</x:f>
        <x:v>97827.59999999999</x:v>
      </x:c>
      <x:c r="H1862" s="8" t="n">
        <x:f>F1862-G1862</x:f>
        <x:v>94052.40000000001</x:v>
      </x:c>
      <x:c r="I1862" s="10" t="n">
        <x:f>H1862/F1862</x:f>
        <x:v>0.4901626016260163</x:v>
      </x:c>
    </x:row>
    <x:row r="1863" ht="22" customHeight="1">
      <x:c r="A1863" s="11" t="str">
        <x:v>426</x:v>
      </x:c>
      <x:c r="B1863" s="8" t="str">
        <x:v>Adventure Works Desktop PC1.80 ED182 Black</x:v>
      </x:c>
      <x:c r="C1863" s="8" t="n">
        <x:v>392</x:v>
      </x:c>
      <x:c r="D1863" s="9" t="n">
        <x:v>499.9</x:v>
      </x:c>
      <x:c r="E1863" s="9" t="n">
        <x:v>254.86</x:v>
      </x:c>
      <x:c r="F1863" s="8" t="n">
        <x:f>C1863*D1863</x:f>
        <x:v>195960.8</x:v>
      </x:c>
      <x:c r="G1863" s="8" t="n">
        <x:f>C1863*E1863</x:f>
        <x:v>99905.12000000001</x:v>
      </x:c>
      <x:c r="H1863" s="8" t="n">
        <x:f>F1863-G1863</x:f>
        <x:v>96055.67999999998</x:v>
      </x:c>
      <x:c r="I1863" s="10" t="n">
        <x:f>H1863/F1863</x:f>
        <x:v>0.49017803560712137</x:v>
      </x:c>
    </x:row>
    <x:row r="1864" ht="22" customHeight="1">
      <x:c r="A1864" s="11" t="str">
        <x:v>427</x:v>
      </x:c>
      <x:c r="B1864" s="8" t="str">
        <x:v>Adventure Works Desktop PC3.0 MS300 Black</x:v>
      </x:c>
      <x:c r="C1864" s="8" t="n">
        <x:v>476</x:v>
      </x:c>
      <x:c r="D1864" s="9" t="n">
        <x:v>469</x:v>
      </x:c>
      <x:c r="E1864" s="9" t="n">
        <x:v>215.68</x:v>
      </x:c>
      <x:c r="F1864" s="8" t="n">
        <x:f>C1864*D1864</x:f>
        <x:v>223244</x:v>
      </x:c>
      <x:c r="G1864" s="8" t="n">
        <x:f>C1864*E1864</x:f>
        <x:v>102663.68000000001</x:v>
      </x:c>
      <x:c r="H1864" s="8" t="n">
        <x:f>F1864-G1864</x:f>
        <x:v>120580.31999999999</x:v>
      </x:c>
      <x:c r="I1864" s="10" t="n">
        <x:f>H1864/F1864</x:f>
        <x:v>0.5401279317697227</x:v>
      </x:c>
    </x:row>
    <x:row r="1865" ht="22" customHeight="1">
      <x:c r="A1865" s="11" t="str">
        <x:v>428</x:v>
      </x:c>
      <x:c r="B1865" s="8" t="str">
        <x:v>Adventure Works Desktop PC2.33 XD233 Brown</x:v>
      </x:c>
      <x:c r="C1865" s="8" t="n">
        <x:v>479</x:v>
      </x:c>
      <x:c r="D1865" s="9" t="n">
        <x:v>969</x:v>
      </x:c>
      <x:c r="E1865" s="9" t="n">
        <x:v>321.05</x:v>
      </x:c>
      <x:c r="F1865" s="8" t="n">
        <x:f>C1865*D1865</x:f>
        <x:v>464151</x:v>
      </x:c>
      <x:c r="G1865" s="8" t="n">
        <x:f>C1865*E1865</x:f>
        <x:v>153782.95</x:v>
      </x:c>
      <x:c r="H1865" s="8" t="n">
        <x:f>F1865-G1865</x:f>
        <x:v>310368.05</x:v>
      </x:c>
      <x:c r="I1865" s="10" t="n">
        <x:f>H1865/F1865</x:f>
        <x:v>0.6686790505675955</x:v>
      </x:c>
    </x:row>
    <x:row r="1866" ht="22" customHeight="1">
      <x:c r="A1866" s="11" t="str">
        <x:v>429</x:v>
      </x:c>
      <x:c r="B1866" s="8" t="str">
        <x:v>Adventure Works Desktop PC2.30 MD230 Brown</x:v>
      </x:c>
      <x:c r="C1866" s="8" t="n">
        <x:v>405</x:v>
      </x:c>
      <x:c r="D1866" s="9" t="n">
        <x:v>599.9</x:v>
      </x:c>
      <x:c r="E1866" s="9" t="n">
        <x:v>275.87</x:v>
      </x:c>
      <x:c r="F1866" s="8" t="n">
        <x:f>C1866*D1866</x:f>
        <x:v>242959.5</x:v>
      </x:c>
      <x:c r="G1866" s="8" t="n">
        <x:f>C1866*E1866</x:f>
        <x:v>111727.35</x:v>
      </x:c>
      <x:c r="H1866" s="8" t="n">
        <x:f>F1866-G1866</x:f>
        <x:v>131232.15</x:v>
      </x:c>
      <x:c r="I1866" s="10" t="n">
        <x:f>H1866/F1866</x:f>
        <x:v>0.5401400233372229</x:v>
      </x:c>
    </x:row>
    <x:row r="1867" ht="22" customHeight="1">
      <x:c r="A1867" s="11" t="str">
        <x:v>43</x:v>
      </x:c>
      <x:c r="B1867" s="8" t="str">
        <x:v>Contoso 16GB New Generation MP5 Player M1650 Black</x:v>
      </x:c>
      <x:c r="C1867" s="8" t="n">
        <x:v>89</x:v>
      </x:c>
      <x:c r="D1867" s="9" t="n">
        <x:v>232</x:v>
      </x:c>
      <x:c r="E1867" s="9" t="n">
        <x:v>106.69</x:v>
      </x:c>
      <x:c r="F1867" s="8" t="n">
        <x:f>C1867*D1867</x:f>
        <x:v>20648</x:v>
      </x:c>
      <x:c r="G1867" s="8" t="n">
        <x:f>C1867*E1867</x:f>
        <x:v>9495.41</x:v>
      </x:c>
      <x:c r="H1867" s="8" t="n">
        <x:f>F1867-G1867</x:f>
        <x:v>11152.59</x:v>
      </x:c>
      <x:c r="I1867" s="10" t="n">
        <x:f>H1867/F1867</x:f>
        <x:v>0.5401293103448276</x:v>
      </x:c>
    </x:row>
    <x:row r="1868" ht="22" customHeight="1">
      <x:c r="A1868" s="11" t="str">
        <x:v>430</x:v>
      </x:c>
      <x:c r="B1868" s="8" t="str">
        <x:v>Adventure Works Desktop PC1.60 ED160 Brown</x:v>
      </x:c>
      <x:c r="C1868" s="8" t="n">
        <x:v>455</x:v>
      </x:c>
      <x:c r="D1868" s="9" t="n">
        <x:v>269.95</x:v>
      </x:c>
      <x:c r="E1868" s="9" t="n">
        <x:v>137.63</x:v>
      </x:c>
      <x:c r="F1868" s="8" t="n">
        <x:f>C1868*D1868</x:f>
        <x:v>122827.25</x:v>
      </x:c>
      <x:c r="G1868" s="8" t="n">
        <x:f>C1868*E1868</x:f>
        <x:v>62621.65</x:v>
      </x:c>
      <x:c r="H1868" s="8" t="n">
        <x:f>F1868-G1868</x:f>
        <x:v>60205.6</x:v>
      </x:c>
      <x:c r="I1868" s="10" t="n">
        <x:f>H1868/F1868</x:f>
        <x:v>0.49016484534172994</x:v>
      </x:c>
    </x:row>
    <x:row r="1869" ht="22" customHeight="1">
      <x:c r="A1869" s="11" t="str">
        <x:v>431</x:v>
      </x:c>
      <x:c r="B1869" s="8" t="str">
        <x:v>Adventure Works Desktop PC1.80 ED180 Brown</x:v>
      </x:c>
      <x:c r="C1869" s="8" t="n">
        <x:v>376</x:v>
      </x:c>
      <x:c r="D1869" s="9" t="n">
        <x:v>369</x:v>
      </x:c>
      <x:c r="E1869" s="9" t="n">
        <x:v>188.13</x:v>
      </x:c>
      <x:c r="F1869" s="8" t="n">
        <x:f>C1869*D1869</x:f>
        <x:v>138744</x:v>
      </x:c>
      <x:c r="G1869" s="8" t="n">
        <x:f>C1869*E1869</x:f>
        <x:v>70736.88</x:v>
      </x:c>
      <x:c r="H1869" s="8" t="n">
        <x:f>F1869-G1869</x:f>
        <x:v>68007.12</x:v>
      </x:c>
      <x:c r="I1869" s="10" t="n">
        <x:f>H1869/F1869</x:f>
        <x:v>0.4901626016260162</x:v>
      </x:c>
    </x:row>
    <x:row r="1870" ht="22" customHeight="1">
      <x:c r="A1870" s="11" t="str">
        <x:v>432</x:v>
      </x:c>
      <x:c r="B1870" s="8" t="str">
        <x:v>Adventure Works Desktop PC1.80 ED182 Brown</x:v>
      </x:c>
      <x:c r="C1870" s="8" t="n">
        <x:v>439</x:v>
      </x:c>
      <x:c r="D1870" s="9" t="n">
        <x:v>499.9</x:v>
      </x:c>
      <x:c r="E1870" s="9" t="n">
        <x:v>254.86</x:v>
      </x:c>
      <x:c r="F1870" s="8" t="n">
        <x:f>C1870*D1870</x:f>
        <x:v>219456.09999999998</x:v>
      </x:c>
      <x:c r="G1870" s="8" t="n">
        <x:f>C1870*E1870</x:f>
        <x:v>111883.54000000001</x:v>
      </x:c>
      <x:c r="H1870" s="8" t="n">
        <x:f>F1870-G1870</x:f>
        <x:v>107572.55999999997</x:v>
      </x:c>
      <x:c r="I1870" s="10" t="n">
        <x:f>H1870/F1870</x:f>
        <x:v>0.4901780356071213</x:v>
      </x:c>
    </x:row>
    <x:row r="1871" ht="22" customHeight="1">
      <x:c r="A1871" s="11" t="str">
        <x:v>433</x:v>
      </x:c>
      <x:c r="B1871" s="8" t="str">
        <x:v>Adventure Works Desktop PC2.33 XD233 White</x:v>
      </x:c>
      <x:c r="C1871" s="8" t="n">
        <x:v>451</x:v>
      </x:c>
      <x:c r="D1871" s="9" t="n">
        <x:v>969</x:v>
      </x:c>
      <x:c r="E1871" s="9" t="n">
        <x:v>321.05</x:v>
      </x:c>
      <x:c r="F1871" s="8" t="n">
        <x:f>C1871*D1871</x:f>
        <x:v>437019</x:v>
      </x:c>
      <x:c r="G1871" s="8" t="n">
        <x:f>C1871*E1871</x:f>
        <x:v>144793.55000000002</x:v>
      </x:c>
      <x:c r="H1871" s="8" t="n">
        <x:f>F1871-G1871</x:f>
        <x:v>292225.44999999995</x:v>
      </x:c>
      <x:c r="I1871" s="10" t="n">
        <x:f>H1871/F1871</x:f>
        <x:v>0.6686790505675954</x:v>
      </x:c>
    </x:row>
    <x:row r="1872" ht="22" customHeight="1">
      <x:c r="A1872" s="11" t="str">
        <x:v>434</x:v>
      </x:c>
      <x:c r="B1872" s="8" t="str">
        <x:v>Adventure Works Desktop PC2.30 MD230 White</x:v>
      </x:c>
      <x:c r="C1872" s="8" t="n">
        <x:v>521</x:v>
      </x:c>
      <x:c r="D1872" s="9" t="n">
        <x:v>599</x:v>
      </x:c>
      <x:c r="E1872" s="9" t="n">
        <x:v>275.46</x:v>
      </x:c>
      <x:c r="F1872" s="8" t="n">
        <x:f>C1872*D1872</x:f>
        <x:v>312079</x:v>
      </x:c>
      <x:c r="G1872" s="8" t="n">
        <x:f>C1872*E1872</x:f>
        <x:v>143514.66</x:v>
      </x:c>
      <x:c r="H1872" s="8" t="n">
        <x:f>F1872-G1872</x:f>
        <x:v>168564.34</x:v>
      </x:c>
      <x:c r="I1872" s="10" t="n">
        <x:f>H1872/F1872</x:f>
        <x:v>0.5401335559265442</x:v>
      </x:c>
    </x:row>
    <x:row r="1873" ht="22" customHeight="1">
      <x:c r="A1873" s="11" t="str">
        <x:v>435</x:v>
      </x:c>
      <x:c r="B1873" s="8" t="str">
        <x:v>Adventure Works Desktop PC1.60 ED160 White</x:v>
      </x:c>
      <x:c r="C1873" s="8" t="n">
        <x:v>505</x:v>
      </x:c>
      <x:c r="D1873" s="9" t="n">
        <x:v>269.95</x:v>
      </x:c>
      <x:c r="E1873" s="9" t="n">
        <x:v>137.63</x:v>
      </x:c>
      <x:c r="F1873" s="8" t="n">
        <x:f>C1873*D1873</x:f>
        <x:v>136324.75</x:v>
      </x:c>
      <x:c r="G1873" s="8" t="n">
        <x:f>C1873*E1873</x:f>
        <x:v>69503.15</x:v>
      </x:c>
      <x:c r="H1873" s="8" t="n">
        <x:f>F1873-G1873</x:f>
        <x:v>66821.6</x:v>
      </x:c>
      <x:c r="I1873" s="10" t="n">
        <x:f>H1873/F1873</x:f>
        <x:v>0.49016484534173</x:v>
      </x:c>
    </x:row>
    <x:row r="1874" ht="22" customHeight="1">
      <x:c r="A1874" s="11" t="str">
        <x:v>436</x:v>
      </x:c>
      <x:c r="B1874" s="8" t="str">
        <x:v>Adventure Works Desktop PC1.80 ED180 White</x:v>
      </x:c>
      <x:c r="C1874" s="8" t="n">
        <x:v>490</x:v>
      </x:c>
      <x:c r="D1874" s="9" t="n">
        <x:v>369</x:v>
      </x:c>
      <x:c r="E1874" s="9" t="n">
        <x:v>188.13</x:v>
      </x:c>
      <x:c r="F1874" s="8" t="n">
        <x:f>C1874*D1874</x:f>
        <x:v>180810</x:v>
      </x:c>
      <x:c r="G1874" s="8" t="n">
        <x:f>C1874*E1874</x:f>
        <x:v>92183.7</x:v>
      </x:c>
      <x:c r="H1874" s="8" t="n">
        <x:f>F1874-G1874</x:f>
        <x:v>88626.3</x:v>
      </x:c>
      <x:c r="I1874" s="10" t="n">
        <x:f>H1874/F1874</x:f>
        <x:v>0.49016260162601627</x:v>
      </x:c>
    </x:row>
    <x:row r="1875" ht="22" customHeight="1">
      <x:c r="A1875" s="11" t="str">
        <x:v>437</x:v>
      </x:c>
      <x:c r="B1875" s="8" t="str">
        <x:v>Adventure Works Desktop PC1.80 ED182 White</x:v>
      </x:c>
      <x:c r="C1875" s="8" t="n">
        <x:v>400</x:v>
      </x:c>
      <x:c r="D1875" s="9" t="n">
        <x:v>499.9</x:v>
      </x:c>
      <x:c r="E1875" s="9" t="n">
        <x:v>254.86</x:v>
      </x:c>
      <x:c r="F1875" s="8" t="n">
        <x:f>C1875*D1875</x:f>
        <x:v>199960</x:v>
      </x:c>
      <x:c r="G1875" s="8" t="n">
        <x:f>C1875*E1875</x:f>
        <x:v>101944</x:v>
      </x:c>
      <x:c r="H1875" s="8" t="n">
        <x:f>F1875-G1875</x:f>
        <x:v>98016</x:v>
      </x:c>
      <x:c r="I1875" s="10" t="n">
        <x:f>H1875/F1875</x:f>
        <x:v>0.4901780356071214</x:v>
      </x:c>
    </x:row>
    <x:row r="1876" ht="22" customHeight="1">
      <x:c r="A1876" s="11" t="str">
        <x:v>438</x:v>
      </x:c>
      <x:c r="B1876" s="8" t="str">
        <x:v>WWI Desktop PC2.33 X2330 Silver</x:v>
      </x:c>
      <x:c r="C1876" s="8" t="n">
        <x:v>392</x:v>
      </x:c>
      <x:c r="D1876" s="9" t="n">
        <x:v>919</x:v>
      </x:c>
      <x:c r="E1876" s="9" t="n">
        <x:v>304.48</x:v>
      </x:c>
      <x:c r="F1876" s="8" t="n">
        <x:f>C1876*D1876</x:f>
        <x:v>360248</x:v>
      </x:c>
      <x:c r="G1876" s="8" t="n">
        <x:f>C1876*E1876</x:f>
        <x:v>119356.16</x:v>
      </x:c>
      <x:c r="H1876" s="8" t="n">
        <x:f>F1876-G1876</x:f>
        <x:v>240891.84</x:v>
      </x:c>
      <x:c r="I1876" s="10" t="n">
        <x:f>H1876/F1876</x:f>
        <x:v>0.668683351468988</x:v>
      </x:c>
    </x:row>
    <x:row r="1877" ht="22" customHeight="1">
      <x:c r="A1877" s="11" t="str">
        <x:v>439</x:v>
      </x:c>
      <x:c r="B1877" s="8" t="str">
        <x:v>WWI Desktop PC2.30 M2300 Brown</x:v>
      </x:c>
      <x:c r="C1877" s="8" t="n">
        <x:v>458</x:v>
      </x:c>
      <x:c r="D1877" s="9" t="n">
        <x:v>559</x:v>
      </x:c>
      <x:c r="E1877" s="9" t="n">
        <x:v>257.06</x:v>
      </x:c>
      <x:c r="F1877" s="8" t="n">
        <x:f>C1877*D1877</x:f>
        <x:v>256022</x:v>
      </x:c>
      <x:c r="G1877" s="8" t="n">
        <x:f>C1877*E1877</x:f>
        <x:v>117733.48</x:v>
      </x:c>
      <x:c r="H1877" s="8" t="n">
        <x:f>F1877-G1877</x:f>
        <x:v>138288.52000000002</x:v>
      </x:c>
      <x:c r="I1877" s="10" t="n">
        <x:f>H1877/F1877</x:f>
        <x:v>0.5401431127012523</x:v>
      </x:c>
    </x:row>
    <x:row r="1878" ht="22" customHeight="1">
      <x:c r="A1878" s="11" t="str">
        <x:v>44</x:v>
      </x:c>
      <x:c r="B1878" s="8" t="str">
        <x:v>Contoso 16GB New Generation MP5 Player M1650 blue</x:v>
      </x:c>
      <x:c r="C1878" s="8" t="n">
        <x:v>68</x:v>
      </x:c>
      <x:c r="D1878" s="9" t="n">
        <x:v>232</x:v>
      </x:c>
      <x:c r="E1878" s="9" t="n">
        <x:v>106.69</x:v>
      </x:c>
      <x:c r="F1878" s="8" t="n">
        <x:f>C1878*D1878</x:f>
        <x:v>15776</x:v>
      </x:c>
      <x:c r="G1878" s="8" t="n">
        <x:f>C1878*E1878</x:f>
        <x:v>7254.92</x:v>
      </x:c>
      <x:c r="H1878" s="8" t="n">
        <x:f>F1878-G1878</x:f>
        <x:v>8521.08</x:v>
      </x:c>
      <x:c r="I1878" s="10" t="n">
        <x:f>H1878/F1878</x:f>
        <x:v>0.5401293103448276</x:v>
      </x:c>
    </x:row>
    <x:row r="1879" ht="22" customHeight="1">
      <x:c r="A1879" s="11" t="str">
        <x:v>440</x:v>
      </x:c>
      <x:c r="B1879" s="8" t="str">
        <x:v>WWI Desktop PC1.60 E1600 Silver</x:v>
      </x:c>
      <x:c r="C1879" s="8" t="n">
        <x:v>507</x:v>
      </x:c>
      <x:c r="D1879" s="9" t="n">
        <x:v>219.95</x:v>
      </x:c>
      <x:c r="E1879" s="9" t="n">
        <x:v>112.14</x:v>
      </x:c>
      <x:c r="F1879" s="8" t="n">
        <x:f>C1879*D1879</x:f>
        <x:v>111514.65</x:v>
      </x:c>
      <x:c r="G1879" s="8" t="n">
        <x:f>C1879*E1879</x:f>
        <x:v>56854.98</x:v>
      </x:c>
      <x:c r="H1879" s="8" t="n">
        <x:f>F1879-G1879</x:f>
        <x:v>54659.66999999999</x:v>
      </x:c>
      <x:c r="I1879" s="10" t="n">
        <x:f>H1879/F1879</x:f>
        <x:v>0.49015685383041596</x:v>
      </x:c>
    </x:row>
    <x:row r="1880" ht="22" customHeight="1">
      <x:c r="A1880" s="11" t="str">
        <x:v>441</x:v>
      </x:c>
      <x:c r="B1880" s="8" t="str">
        <x:v>WWI Desktop PC1.80 E1800 Brown</x:v>
      </x:c>
      <x:c r="C1880" s="8" t="n">
        <x:v>348</x:v>
      </x:c>
      <x:c r="D1880" s="9" t="n">
        <x:v>229.9</x:v>
      </x:c>
      <x:c r="E1880" s="9" t="n">
        <x:v>117.21</x:v>
      </x:c>
      <x:c r="F1880" s="8" t="n">
        <x:f>C1880*D1880</x:f>
        <x:v>80005.2</x:v>
      </x:c>
      <x:c r="G1880" s="8" t="n">
        <x:f>C1880*E1880</x:f>
        <x:v>40789.079999999994</x:v>
      </x:c>
      <x:c r="H1880" s="8" t="n">
        <x:f>F1880-G1880</x:f>
        <x:v>39216.12</x:v>
      </x:c>
      <x:c r="I1880" s="10" t="n">
        <x:f>H1880/F1880</x:f>
        <x:v>0.49016963897346677</x:v>
      </x:c>
    </x:row>
    <x:row r="1881" ht="22" customHeight="1">
      <x:c r="A1881" s="11" t="str">
        <x:v>442</x:v>
      </x:c>
      <x:c r="B1881" s="8" t="str">
        <x:v>WWI Desktop PC1.80 E1801 Silver</x:v>
      </x:c>
      <x:c r="C1881" s="8" t="n">
        <x:v>415</x:v>
      </x:c>
      <x:c r="D1881" s="9" t="n">
        <x:v>269.9</x:v>
      </x:c>
      <x:c r="E1881" s="9" t="n">
        <x:v>137.6</x:v>
      </x:c>
      <x:c r="F1881" s="8" t="n">
        <x:f>C1881*D1881</x:f>
        <x:v>112008.49999999999</x:v>
      </x:c>
      <x:c r="G1881" s="8" t="n">
        <x:f>C1881*E1881</x:f>
        <x:v>57104</x:v>
      </x:c>
      <x:c r="H1881" s="8" t="n">
        <x:f>F1881-G1881</x:f>
        <x:v>54904.499999999985</x:v>
      </x:c>
      <x:c r="I1881" s="10" t="n">
        <x:f>H1881/F1881</x:f>
        <x:v>0.49018154872174874</x:v>
      </x:c>
    </x:row>
    <x:row r="1882" ht="22" customHeight="1">
      <x:c r="A1882" s="11" t="str">
        <x:v>443</x:v>
      </x:c>
      <x:c r="B1882" s="8" t="str">
        <x:v>WWI Desktop PC3.0 M0300 Silver</x:v>
      </x:c>
      <x:c r="C1882" s="8" t="n">
        <x:v>421</x:v>
      </x:c>
      <x:c r="D1882" s="9" t="n">
        <x:v>349</x:v>
      </x:c>
      <x:c r="E1882" s="9" t="n">
        <x:v>160.49</x:v>
      </x:c>
      <x:c r="F1882" s="8" t="n">
        <x:f>C1882*D1882</x:f>
        <x:v>146929</x:v>
      </x:c>
      <x:c r="G1882" s="8" t="n">
        <x:f>C1882*E1882</x:f>
        <x:v>67566.29000000001</x:v>
      </x:c>
      <x:c r="H1882" s="8" t="n">
        <x:f>F1882-G1882</x:f>
        <x:v>79362.70999999999</x:v>
      </x:c>
      <x:c r="I1882" s="10" t="n">
        <x:f>H1882/F1882</x:f>
        <x:v>0.5401432664756446</x:v>
      </x:c>
    </x:row>
    <x:row r="1883" ht="22" customHeight="1">
      <x:c r="A1883" s="11" t="str">
        <x:v>444</x:v>
      </x:c>
      <x:c r="B1883" s="8" t="str">
        <x:v>WWI Desktop PC2.33 X2330 Black</x:v>
      </x:c>
      <x:c r="C1883" s="8" t="n">
        <x:v>550</x:v>
      </x:c>
      <x:c r="D1883" s="9" t="n">
        <x:v>919</x:v>
      </x:c>
      <x:c r="E1883" s="9" t="n">
        <x:v>304.48</x:v>
      </x:c>
      <x:c r="F1883" s="8" t="n">
        <x:f>C1883*D1883</x:f>
        <x:v>505450</x:v>
      </x:c>
      <x:c r="G1883" s="8" t="n">
        <x:f>C1883*E1883</x:f>
        <x:v>167464</x:v>
      </x:c>
      <x:c r="H1883" s="8" t="n">
        <x:f>F1883-G1883</x:f>
        <x:v>337986</x:v>
      </x:c>
      <x:c r="I1883" s="10" t="n">
        <x:f>H1883/F1883</x:f>
        <x:v>0.668683351468988</x:v>
      </x:c>
    </x:row>
    <x:row r="1884" ht="22" customHeight="1">
      <x:c r="A1884" s="11" t="str">
        <x:v>445</x:v>
      </x:c>
      <x:c r="B1884" s="8" t="str">
        <x:v>WWI Desktop PC2.30 M2300 Black</x:v>
      </x:c>
      <x:c r="C1884" s="8" t="n">
        <x:v>386</x:v>
      </x:c>
      <x:c r="D1884" s="9" t="n">
        <x:v>559</x:v>
      </x:c>
      <x:c r="E1884" s="9" t="n">
        <x:v>257.06</x:v>
      </x:c>
      <x:c r="F1884" s="8" t="n">
        <x:f>C1884*D1884</x:f>
        <x:v>215774</x:v>
      </x:c>
      <x:c r="G1884" s="8" t="n">
        <x:f>C1884*E1884</x:f>
        <x:v>99225.16</x:v>
      </x:c>
      <x:c r="H1884" s="8" t="n">
        <x:f>F1884-G1884</x:f>
        <x:v>116548.84</x:v>
      </x:c>
      <x:c r="I1884" s="10" t="n">
        <x:f>H1884/F1884</x:f>
        <x:v>0.5401431127012523</x:v>
      </x:c>
    </x:row>
    <x:row r="1885" ht="22" customHeight="1">
      <x:c r="A1885" s="11" t="str">
        <x:v>446</x:v>
      </x:c>
      <x:c r="B1885" s="8" t="str">
        <x:v>WWI Desktop PC1.60 E1600 Black</x:v>
      </x:c>
      <x:c r="C1885" s="8" t="n">
        <x:v>509</x:v>
      </x:c>
      <x:c r="D1885" s="9" t="n">
        <x:v>219.95</x:v>
      </x:c>
      <x:c r="E1885" s="9" t="n">
        <x:v>112.14</x:v>
      </x:c>
      <x:c r="F1885" s="8" t="n">
        <x:f>C1885*D1885</x:f>
        <x:v>111954.54999999999</x:v>
      </x:c>
      <x:c r="G1885" s="8" t="n">
        <x:f>C1885*E1885</x:f>
        <x:v>57079.26</x:v>
      </x:c>
      <x:c r="H1885" s="8" t="n">
        <x:f>F1885-G1885</x:f>
        <x:v>54875.289999999986</x:v>
      </x:c>
      <x:c r="I1885" s="10" t="n">
        <x:f>H1885/F1885</x:f>
        <x:v>0.4901568538304159</x:v>
      </x:c>
    </x:row>
    <x:row r="1886" ht="22" customHeight="1">
      <x:c r="A1886" s="11" t="str">
        <x:v>447</x:v>
      </x:c>
      <x:c r="B1886" s="8" t="str">
        <x:v>WWI Desktop PC1.80 E1800 Black</x:v>
      </x:c>
      <x:c r="C1886" s="8" t="n">
        <x:v>377</x:v>
      </x:c>
      <x:c r="D1886" s="9" t="n">
        <x:v>229.9</x:v>
      </x:c>
      <x:c r="E1886" s="9" t="n">
        <x:v>117.21</x:v>
      </x:c>
      <x:c r="F1886" s="8" t="n">
        <x:f>C1886*D1886</x:f>
        <x:v>86672.3</x:v>
      </x:c>
      <x:c r="G1886" s="8" t="n">
        <x:f>C1886*E1886</x:f>
        <x:v>44188.17</x:v>
      </x:c>
      <x:c r="H1886" s="8" t="n">
        <x:f>F1886-G1886</x:f>
        <x:v>42484.130000000005</x:v>
      </x:c>
      <x:c r="I1886" s="10" t="n">
        <x:f>H1886/F1886</x:f>
        <x:v>0.49016963897346677</x:v>
      </x:c>
    </x:row>
    <x:row r="1887" ht="22" customHeight="1">
      <x:c r="A1887" s="11" t="str">
        <x:v>448</x:v>
      </x:c>
      <x:c r="B1887" s="8" t="str">
        <x:v>WWI Desktop PC1.80 E1801 Black</x:v>
      </x:c>
      <x:c r="C1887" s="8" t="n">
        <x:v>505</x:v>
      </x:c>
      <x:c r="D1887" s="9" t="n">
        <x:v>269.9</x:v>
      </x:c>
      <x:c r="E1887" s="9" t="n">
        <x:v>137.6</x:v>
      </x:c>
      <x:c r="F1887" s="8" t="n">
        <x:f>C1887*D1887</x:f>
        <x:v>136299.5</x:v>
      </x:c>
      <x:c r="G1887" s="8" t="n">
        <x:f>C1887*E1887</x:f>
        <x:v>69488</x:v>
      </x:c>
      <x:c r="H1887" s="8" t="n">
        <x:f>F1887-G1887</x:f>
        <x:v>66811.5</x:v>
      </x:c>
      <x:c r="I1887" s="10" t="n">
        <x:f>H1887/F1887</x:f>
        <x:v>0.4901815487217488</x:v>
      </x:c>
    </x:row>
    <x:row r="1888" ht="22" customHeight="1">
      <x:c r="A1888" s="11" t="str">
        <x:v>449</x:v>
      </x:c>
      <x:c r="B1888" s="8" t="str">
        <x:v>WWI Desktop PC3.0 M0300 Black</x:v>
      </x:c>
      <x:c r="C1888" s="8" t="n">
        <x:v>453</x:v>
      </x:c>
      <x:c r="D1888" s="9" t="n">
        <x:v>349</x:v>
      </x:c>
      <x:c r="E1888" s="9" t="n">
        <x:v>160.49</x:v>
      </x:c>
      <x:c r="F1888" s="8" t="n">
        <x:f>C1888*D1888</x:f>
        <x:v>158097</x:v>
      </x:c>
      <x:c r="G1888" s="8" t="n">
        <x:f>C1888*E1888</x:f>
        <x:v>72701.97</x:v>
      </x:c>
      <x:c r="H1888" s="8" t="n">
        <x:f>F1888-G1888</x:f>
        <x:v>85395.03</x:v>
      </x:c>
      <x:c r="I1888" s="10" t="n">
        <x:f>H1888/F1888</x:f>
        <x:v>0.5401432664756447</x:v>
      </x:c>
    </x:row>
    <x:row r="1889" ht="22" customHeight="1">
      <x:c r="A1889" s="11" t="str">
        <x:v>45</x:v>
      </x:c>
      <x:c r="B1889" s="8" t="str">
        <x:v>Contoso 16GB New Generation MP5 Player M1650 Pink</x:v>
      </x:c>
      <x:c r="C1889" s="8" t="n">
        <x:v>68</x:v>
      </x:c>
      <x:c r="D1889" s="9" t="n">
        <x:v>232</x:v>
      </x:c>
      <x:c r="E1889" s="9" t="n">
        <x:v>106.69</x:v>
      </x:c>
      <x:c r="F1889" s="8" t="n">
        <x:f>C1889*D1889</x:f>
        <x:v>15776</x:v>
      </x:c>
      <x:c r="G1889" s="8" t="n">
        <x:f>C1889*E1889</x:f>
        <x:v>7254.92</x:v>
      </x:c>
      <x:c r="H1889" s="8" t="n">
        <x:f>F1889-G1889</x:f>
        <x:v>8521.08</x:v>
      </x:c>
      <x:c r="I1889" s="10" t="n">
        <x:f>H1889/F1889</x:f>
        <x:v>0.5401293103448276</x:v>
      </x:c>
    </x:row>
    <x:row r="1890" ht="22" customHeight="1">
      <x:c r="A1890" s="11" t="str">
        <x:v>450</x:v>
      </x:c>
      <x:c r="B1890" s="8" t="str">
        <x:v>WWI Desktop PC2.33 X2330 Brown</x:v>
      </x:c>
      <x:c r="C1890" s="8" t="n">
        <x:v>460</x:v>
      </x:c>
      <x:c r="D1890" s="9" t="n">
        <x:v>919</x:v>
      </x:c>
      <x:c r="E1890" s="9" t="n">
        <x:v>304.48</x:v>
      </x:c>
      <x:c r="F1890" s="8" t="n">
        <x:f>C1890*D1890</x:f>
        <x:v>422740</x:v>
      </x:c>
      <x:c r="G1890" s="8" t="n">
        <x:f>C1890*E1890</x:f>
        <x:v>140060.80000000002</x:v>
      </x:c>
      <x:c r="H1890" s="8" t="n">
        <x:f>F1890-G1890</x:f>
        <x:v>282679.19999999995</x:v>
      </x:c>
      <x:c r="I1890" s="10" t="n">
        <x:f>H1890/F1890</x:f>
        <x:v>0.6686833514689879</x:v>
      </x:c>
    </x:row>
    <x:row r="1891" ht="22" customHeight="1">
      <x:c r="A1891" s="11" t="str">
        <x:v>451</x:v>
      </x:c>
      <x:c r="B1891" s="8" t="str">
        <x:v>WWI Desktop PC2.30 M2300 Silver</x:v>
      </x:c>
      <x:c r="C1891" s="8" t="n">
        <x:v>456</x:v>
      </x:c>
      <x:c r="D1891" s="9" t="n">
        <x:v>559</x:v>
      </x:c>
      <x:c r="E1891" s="9" t="n">
        <x:v>257.06</x:v>
      </x:c>
      <x:c r="F1891" s="8" t="n">
        <x:f>C1891*D1891</x:f>
        <x:v>254904</x:v>
      </x:c>
      <x:c r="G1891" s="8" t="n">
        <x:f>C1891*E1891</x:f>
        <x:v>117219.36</x:v>
      </x:c>
      <x:c r="H1891" s="8" t="n">
        <x:f>F1891-G1891</x:f>
        <x:v>137684.64</x:v>
      </x:c>
      <x:c r="I1891" s="10" t="n">
        <x:f>H1891/F1891</x:f>
        <x:v>0.5401431127012523</x:v>
      </x:c>
    </x:row>
    <x:row r="1892" ht="22" customHeight="1">
      <x:c r="A1892" s="11" t="str">
        <x:v>452</x:v>
      </x:c>
      <x:c r="B1892" s="8" t="str">
        <x:v>WWI Desktop PC1.60 E1600 Red</x:v>
      </x:c>
      <x:c r="C1892" s="8" t="n">
        <x:v>505</x:v>
      </x:c>
      <x:c r="D1892" s="9" t="n">
        <x:v>219.95</x:v>
      </x:c>
      <x:c r="E1892" s="9" t="n">
        <x:v>112.14</x:v>
      </x:c>
      <x:c r="F1892" s="8" t="n">
        <x:f>C1892*D1892</x:f>
        <x:v>111074.75</x:v>
      </x:c>
      <x:c r="G1892" s="8" t="n">
        <x:f>C1892*E1892</x:f>
        <x:v>56630.7</x:v>
      </x:c>
      <x:c r="H1892" s="8" t="n">
        <x:f>F1892-G1892</x:f>
        <x:v>54444.05</x:v>
      </x:c>
      <x:c r="I1892" s="10" t="n">
        <x:f>H1892/F1892</x:f>
        <x:v>0.490156853830416</x:v>
      </x:c>
    </x:row>
    <x:row r="1893" ht="22" customHeight="1">
      <x:c r="A1893" s="11" t="str">
        <x:v>453</x:v>
      </x:c>
      <x:c r="B1893" s="8" t="str">
        <x:v>WWI Desktop PC1.80 E1800 Silver</x:v>
      </x:c>
      <x:c r="C1893" s="8" t="n">
        <x:v>480</x:v>
      </x:c>
      <x:c r="D1893" s="9" t="n">
        <x:v>229.9</x:v>
      </x:c>
      <x:c r="E1893" s="9" t="n">
        <x:v>117.21</x:v>
      </x:c>
      <x:c r="F1893" s="8" t="n">
        <x:f>C1893*D1893</x:f>
        <x:v>110352</x:v>
      </x:c>
      <x:c r="G1893" s="8" t="n">
        <x:f>C1893*E1893</x:f>
        <x:v>56260.799999999996</x:v>
      </x:c>
      <x:c r="H1893" s="8" t="n">
        <x:f>F1893-G1893</x:f>
        <x:v>54091.200000000004</x:v>
      </x:c>
      <x:c r="I1893" s="10" t="n">
        <x:f>H1893/F1893</x:f>
        <x:v>0.49016963897346677</x:v>
      </x:c>
    </x:row>
    <x:row r="1894" ht="22" customHeight="1">
      <x:c r="A1894" s="11" t="str">
        <x:v>454</x:v>
      </x:c>
      <x:c r="B1894" s="8" t="str">
        <x:v>WWI Desktop PC1.80 E1801 Brown</x:v>
      </x:c>
      <x:c r="C1894" s="8" t="n">
        <x:v>428</x:v>
      </x:c>
      <x:c r="D1894" s="9" t="n">
        <x:v>269.9</x:v>
      </x:c>
      <x:c r="E1894" s="9" t="n">
        <x:v>137.6</x:v>
      </x:c>
      <x:c r="F1894" s="8" t="n">
        <x:f>C1894*D1894</x:f>
        <x:v>115517.2</x:v>
      </x:c>
      <x:c r="G1894" s="8" t="n">
        <x:f>C1894*E1894</x:f>
        <x:v>58892.799999999996</x:v>
      </x:c>
      <x:c r="H1894" s="8" t="n">
        <x:f>F1894-G1894</x:f>
        <x:v>56624.4</x:v>
      </x:c>
      <x:c r="I1894" s="10" t="n">
        <x:f>H1894/F1894</x:f>
        <x:v>0.4901815487217488</x:v>
      </x:c>
    </x:row>
    <x:row r="1895" ht="22" customHeight="1">
      <x:c r="A1895" s="11" t="str">
        <x:v>455</x:v>
      </x:c>
      <x:c r="B1895" s="8" t="str">
        <x:v>WWI Desktop PC2.33 X2330 White</x:v>
      </x:c>
      <x:c r="C1895" s="8" t="n">
        <x:v>462</x:v>
      </x:c>
      <x:c r="D1895" s="9" t="n">
        <x:v>919</x:v>
      </x:c>
      <x:c r="E1895" s="9" t="n">
        <x:v>304.48</x:v>
      </x:c>
      <x:c r="F1895" s="8" t="n">
        <x:f>C1895*D1895</x:f>
        <x:v>424578</x:v>
      </x:c>
      <x:c r="G1895" s="8" t="n">
        <x:f>C1895*E1895</x:f>
        <x:v>140669.76</x:v>
      </x:c>
      <x:c r="H1895" s="8" t="n">
        <x:f>F1895-G1895</x:f>
        <x:v>283908.24</x:v>
      </x:c>
      <x:c r="I1895" s="10" t="n">
        <x:f>H1895/F1895</x:f>
        <x:v>0.668683351468988</x:v>
      </x:c>
    </x:row>
    <x:row r="1896" ht="22" customHeight="1">
      <x:c r="A1896" s="11" t="str">
        <x:v>456</x:v>
      </x:c>
      <x:c r="B1896" s="8" t="str">
        <x:v>WWI Desktop PC2.30 M2300 White</x:v>
      </x:c>
      <x:c r="C1896" s="8" t="n">
        <x:v>448</x:v>
      </x:c>
      <x:c r="D1896" s="9" t="n">
        <x:v>559</x:v>
      </x:c>
      <x:c r="E1896" s="9" t="n">
        <x:v>257.06</x:v>
      </x:c>
      <x:c r="F1896" s="8" t="n">
        <x:f>C1896*D1896</x:f>
        <x:v>250432</x:v>
      </x:c>
      <x:c r="G1896" s="8" t="n">
        <x:f>C1896*E1896</x:f>
        <x:v>115162.88</x:v>
      </x:c>
      <x:c r="H1896" s="8" t="n">
        <x:f>F1896-G1896</x:f>
        <x:v>135269.12</x:v>
      </x:c>
      <x:c r="I1896" s="10" t="n">
        <x:f>H1896/F1896</x:f>
        <x:v>0.5401431127012523</x:v>
      </x:c>
    </x:row>
    <x:row r="1897" ht="22" customHeight="1">
      <x:c r="A1897" s="11" t="str">
        <x:v>457</x:v>
      </x:c>
      <x:c r="B1897" s="8" t="str">
        <x:v>WWI Desktop PC1.60 E1600 White</x:v>
      </x:c>
      <x:c r="C1897" s="8" t="n">
        <x:v>424</x:v>
      </x:c>
      <x:c r="D1897" s="9" t="n">
        <x:v>219.95</x:v>
      </x:c>
      <x:c r="E1897" s="9" t="n">
        <x:v>112.14</x:v>
      </x:c>
      <x:c r="F1897" s="8" t="n">
        <x:f>C1897*D1897</x:f>
        <x:v>93258.79999999999</x:v>
      </x:c>
      <x:c r="G1897" s="8" t="n">
        <x:f>C1897*E1897</x:f>
        <x:v>47547.36</x:v>
      </x:c>
      <x:c r="H1897" s="8" t="n">
        <x:f>F1897-G1897</x:f>
        <x:v>45711.43999999999</x:v>
      </x:c>
      <x:c r="I1897" s="10" t="n">
        <x:f>H1897/F1897</x:f>
        <x:v>0.4901568538304159</x:v>
      </x:c>
    </x:row>
    <x:row r="1898" ht="22" customHeight="1">
      <x:c r="A1898" s="11" t="str">
        <x:v>458</x:v>
      </x:c>
      <x:c r="B1898" s="8" t="str">
        <x:v>WWI Desktop PC1.80 E1800 White</x:v>
      </x:c>
      <x:c r="C1898" s="8" t="n">
        <x:v>538</x:v>
      </x:c>
      <x:c r="D1898" s="9" t="n">
        <x:v>229.9</x:v>
      </x:c>
      <x:c r="E1898" s="9" t="n">
        <x:v>117.21</x:v>
      </x:c>
      <x:c r="F1898" s="8" t="n">
        <x:f>C1898*D1898</x:f>
        <x:v>123686.2</x:v>
      </x:c>
      <x:c r="G1898" s="8" t="n">
        <x:f>C1898*E1898</x:f>
        <x:v>63058.979999999996</x:v>
      </x:c>
      <x:c r="H1898" s="8" t="n">
        <x:f>F1898-G1898</x:f>
        <x:v>60627.22</x:v>
      </x:c>
      <x:c r="I1898" s="10" t="n">
        <x:f>H1898/F1898</x:f>
        <x:v>0.49016963897346677</x:v>
      </x:c>
    </x:row>
    <x:row r="1899" ht="22" customHeight="1">
      <x:c r="A1899" s="11" t="str">
        <x:v>459</x:v>
      </x:c>
      <x:c r="B1899" s="8" t="str">
        <x:v>WWI Desktop PC1.80 E1801 White</x:v>
      </x:c>
      <x:c r="C1899" s="8" t="n">
        <x:v>409</x:v>
      </x:c>
      <x:c r="D1899" s="9" t="n">
        <x:v>269.9</x:v>
      </x:c>
      <x:c r="E1899" s="9" t="n">
        <x:v>137.6</x:v>
      </x:c>
      <x:c r="F1899" s="8" t="n">
        <x:f>C1899*D1899</x:f>
        <x:v>110389.09999999999</x:v>
      </x:c>
      <x:c r="G1899" s="8" t="n">
        <x:f>C1899*E1899</x:f>
        <x:v>56278.399999999994</x:v>
      </x:c>
      <x:c r="H1899" s="8" t="n">
        <x:f>F1899-G1899</x:f>
        <x:v>54110.7</x:v>
      </x:c>
      <x:c r="I1899" s="10" t="n">
        <x:f>H1899/F1899</x:f>
        <x:v>0.4901815487217488</x:v>
      </x:c>
    </x:row>
    <x:row r="1900" ht="22" customHeight="1">
      <x:c r="A1900" s="11" t="str">
        <x:v>46</x:v>
      </x:c>
      <x:c r="B1900" s="8" t="str">
        <x:v>WWI 1GB Pulse Smart pen E50 White</x:v>
      </x:c>
      <x:c r="C1900" s="8" t="n">
        <x:v>317</x:v>
      </x:c>
      <x:c r="D1900" s="9" t="n">
        <x:v>149.95</x:v>
      </x:c>
      <x:c r="E1900" s="9" t="n">
        <x:v>76.45</x:v>
      </x:c>
      <x:c r="F1900" s="8" t="n">
        <x:f>C1900*D1900</x:f>
        <x:v>47534.149999999994</x:v>
      </x:c>
      <x:c r="G1900" s="8" t="n">
        <x:f>C1900*E1900</x:f>
        <x:v>24234.65</x:v>
      </x:c>
      <x:c r="H1900" s="8" t="n">
        <x:f>F1900-G1900</x:f>
        <x:v>23299.499999999993</x:v>
      </x:c>
      <x:c r="I1900" s="10" t="n">
        <x:f>H1900/F1900</x:f>
        <x:v>0.4901633877959319</x:v>
      </x:c>
    </x:row>
    <x:row r="1901" ht="22" customHeight="1">
      <x:c r="A1901" s="11" t="str">
        <x:v>460</x:v>
      </x:c>
      <x:c r="B1901" s="8" t="str">
        <x:v>WWI Desktop PC1.80 E1802 White</x:v>
      </x:c>
      <x:c r="C1901" s="8" t="n">
        <x:v>464</x:v>
      </x:c>
      <x:c r="D1901" s="9" t="n">
        <x:v>299.9</x:v>
      </x:c>
      <x:c r="E1901" s="9" t="n">
        <x:v>152.9</x:v>
      </x:c>
      <x:c r="F1901" s="8" t="n">
        <x:f>C1901*D1901</x:f>
        <x:v>139153.59999999998</x:v>
      </x:c>
      <x:c r="G1901" s="8" t="n">
        <x:f>C1901*E1901</x:f>
        <x:v>70945.6</x:v>
      </x:c>
      <x:c r="H1901" s="8" t="n">
        <x:f>F1901-G1901</x:f>
        <x:v>68207.99999999997</x:v>
      </x:c>
      <x:c r="I1901" s="10" t="n">
        <x:f>H1901/F1901</x:f>
        <x:v>0.4901633877959318</x:v>
      </x:c>
    </x:row>
    <x:row r="1902" ht="22" customHeight="1">
      <x:c r="A1902" s="11" t="str">
        <x:v>461</x:v>
      </x:c>
      <x:c r="B1902" s="8" t="str">
        <x:v>Proseware LCD24 X300 Black</x:v>
      </x:c>
      <x:c r="C1902" s="8" t="n">
        <x:v>79</x:v>
      </x:c>
      <x:c r="D1902" s="9" t="n">
        <x:v>819</x:v>
      </x:c>
      <x:c r="E1902" s="9" t="n">
        <x:v>271.35</x:v>
      </x:c>
      <x:c r="F1902" s="8" t="n">
        <x:f>C1902*D1902</x:f>
        <x:v>64701</x:v>
      </x:c>
      <x:c r="G1902" s="8" t="n">
        <x:f>C1902*E1902</x:f>
        <x:v>21436.65</x:v>
      </x:c>
      <x:c r="H1902" s="8" t="n">
        <x:f>F1902-G1902</x:f>
        <x:v>43264.35</x:v>
      </x:c>
      <x:c r="I1902" s="10" t="n">
        <x:f>H1902/F1902</x:f>
        <x:v>0.6686813186813186</x:v>
      </x:c>
    </x:row>
    <x:row r="1903" ht="22" customHeight="1">
      <x:c r="A1903" s="11" t="str">
        <x:v>462</x:v>
      </x:c>
      <x:c r="B1903" s="8" t="str">
        <x:v>Proseware LCD24W X300 Black</x:v>
      </x:c>
      <x:c r="C1903" s="8" t="n">
        <x:v>75</x:v>
      </x:c>
      <x:c r="D1903" s="9" t="n">
        <x:v>869</x:v>
      </x:c>
      <x:c r="E1903" s="9" t="n">
        <x:v>287.92</x:v>
      </x:c>
      <x:c r="F1903" s="8" t="n">
        <x:f>C1903*D1903</x:f>
        <x:v>65175</x:v>
      </x:c>
      <x:c r="G1903" s="8" t="n">
        <x:f>C1903*E1903</x:f>
        <x:v>21594</x:v>
      </x:c>
      <x:c r="H1903" s="8" t="n">
        <x:f>F1903-G1903</x:f>
        <x:v>43581</x:v>
      </x:c>
      <x:c r="I1903" s="10" t="n">
        <x:f>H1903/F1903</x:f>
        <x:v>0.6686766398158803</x:v>
      </x:c>
    </x:row>
    <x:row r="1904" ht="22" customHeight="1">
      <x:c r="A1904" s="11" t="str">
        <x:v>463</x:v>
      </x:c>
      <x:c r="B1904" s="8" t="str">
        <x:v>Proseware LCD22 M2000 Black</x:v>
      </x:c>
      <x:c r="C1904" s="8" t="n">
        <x:v>28</x:v>
      </x:c>
      <x:c r="D1904" s="9" t="n">
        <x:v>619</x:v>
      </x:c>
      <x:c r="E1904" s="9" t="n">
        <x:v>205.09</x:v>
      </x:c>
      <x:c r="F1904" s="8" t="n">
        <x:f>C1904*D1904</x:f>
        <x:v>17332</x:v>
      </x:c>
      <x:c r="G1904" s="8" t="n">
        <x:f>C1904*E1904</x:f>
        <x:v>5742.52</x:v>
      </x:c>
      <x:c r="H1904" s="8" t="n">
        <x:f>F1904-G1904</x:f>
        <x:v>11589.48</x:v>
      </x:c>
      <x:c r="I1904" s="10" t="n">
        <x:f>H1904/F1904</x:f>
        <x:v>0.6686752827140549</x:v>
      </x:c>
    </x:row>
    <x:row r="1905" ht="22" customHeight="1">
      <x:c r="A1905" s="11" t="str">
        <x:v>464</x:v>
      </x:c>
      <x:c r="B1905" s="8" t="str">
        <x:v>Proseware LCD22W M2001 Black</x:v>
      </x:c>
      <x:c r="C1905" s="8" t="n">
        <x:v>77</x:v>
      </x:c>
      <x:c r="D1905" s="9" t="n">
        <x:v>679</x:v>
      </x:c>
      <x:c r="E1905" s="9" t="n">
        <x:v>224.97</x:v>
      </x:c>
      <x:c r="F1905" s="8" t="n">
        <x:f>C1905*D1905</x:f>
        <x:v>52283</x:v>
      </x:c>
      <x:c r="G1905" s="8" t="n">
        <x:f>C1905*E1905</x:f>
        <x:v>17322.69</x:v>
      </x:c>
      <x:c r="H1905" s="8" t="n">
        <x:f>F1905-G1905</x:f>
        <x:v>34960.31</x:v>
      </x:c>
      <x:c r="I1905" s="10" t="n">
        <x:f>H1905/F1905</x:f>
        <x:v>0.6686745213549337</x:v>
      </x:c>
    </x:row>
    <x:row r="1906" ht="22" customHeight="1">
      <x:c r="A1906" s="11" t="str">
        <x:v>465</x:v>
      </x:c>
      <x:c r="B1906" s="8" t="str">
        <x:v>Proseware LCD20 M200 Black</x:v>
      </x:c>
      <x:c r="C1906" s="8" t="n">
        <x:v>70</x:v>
      </x:c>
      <x:c r="D1906" s="9" t="n">
        <x:v>259</x:v>
      </x:c>
      <x:c r="E1906" s="9" t="n">
        <x:v>119.11</x:v>
      </x:c>
      <x:c r="F1906" s="8" t="n">
        <x:f>C1906*D1906</x:f>
        <x:v>18130</x:v>
      </x:c>
      <x:c r="G1906" s="8" t="n">
        <x:f>C1906*E1906</x:f>
        <x:v>8337.7</x:v>
      </x:c>
      <x:c r="H1906" s="8" t="n">
        <x:f>F1906-G1906</x:f>
        <x:v>9792.3</x:v>
      </x:c>
      <x:c r="I1906" s="10" t="n">
        <x:f>H1906/F1906</x:f>
        <x:v>0.5401158301158301</x:v>
      </x:c>
    </x:row>
    <x:row r="1907" ht="22" customHeight="1">
      <x:c r="A1907" s="11" t="str">
        <x:v>466</x:v>
      </x:c>
      <x:c r="B1907" s="8" t="str">
        <x:v>Proseware LCD20W M230 Black</x:v>
      </x:c>
      <x:c r="C1907" s="8" t="n">
        <x:v>29</x:v>
      </x:c>
      <x:c r="D1907" s="9" t="n">
        <x:v>279</x:v>
      </x:c>
      <x:c r="E1907" s="9" t="n">
        <x:v>128.3</x:v>
      </x:c>
      <x:c r="F1907" s="8" t="n">
        <x:f>C1907*D1907</x:f>
        <x:v>8091</x:v>
      </x:c>
      <x:c r="G1907" s="8" t="n">
        <x:f>C1907*E1907</x:f>
        <x:v>3720.7000000000003</x:v>
      </x:c>
      <x:c r="H1907" s="8" t="n">
        <x:f>F1907-G1907</x:f>
        <x:v>4370.299999999999</x:v>
      </x:c>
      <x:c r="I1907" s="10" t="n">
        <x:f>H1907/F1907</x:f>
        <x:v>0.5401433691756271</x:v>
      </x:c>
    </x:row>
    <x:row r="1908" ht="22" customHeight="1">
      <x:c r="A1908" s="11" t="str">
        <x:v>467</x:v>
      </x:c>
      <x:c r="B1908" s="8" t="str">
        <x:v>Proseware LCD19 E1000 Black</x:v>
      </x:c>
      <x:c r="C1908" s="8" t="n">
        <x:v>58</x:v>
      </x:c>
      <x:c r="D1908" s="9" t="n">
        <x:v>139</x:v>
      </x:c>
      <x:c r="E1908" s="9" t="n">
        <x:v>63.92</x:v>
      </x:c>
      <x:c r="F1908" s="8" t="n">
        <x:f>C1908*D1908</x:f>
        <x:v>8062</x:v>
      </x:c>
      <x:c r="G1908" s="8" t="n">
        <x:f>C1908*E1908</x:f>
        <x:v>3707.36</x:v>
      </x:c>
      <x:c r="H1908" s="8" t="n">
        <x:f>F1908-G1908</x:f>
        <x:v>4354.639999999999</x:v>
      </x:c>
      <x:c r="I1908" s="10" t="n">
        <x:f>H1908/F1908</x:f>
        <x:v>0.5401438848920863</x:v>
      </x:c>
    </x:row>
    <x:row r="1909" ht="22" customHeight="1">
      <x:c r="A1909" s="11" t="str">
        <x:v>468</x:v>
      </x:c>
      <x:c r="B1909" s="8" t="str">
        <x:v>Proseware LCD19W M100 Black</x:v>
      </x:c>
      <x:c r="C1909" s="8" t="n">
        <x:v>80</x:v>
      </x:c>
      <x:c r="D1909" s="9" t="n">
        <x:v>179</x:v>
      </x:c>
      <x:c r="E1909" s="9" t="n">
        <x:v>82.32</x:v>
      </x:c>
      <x:c r="F1909" s="8" t="n">
        <x:f>C1909*D1909</x:f>
        <x:v>14320</x:v>
      </x:c>
      <x:c r="G1909" s="8" t="n">
        <x:f>C1909*E1909</x:f>
        <x:v>6585.599999999999</x:v>
      </x:c>
      <x:c r="H1909" s="8" t="n">
        <x:f>F1909-G1909</x:f>
        <x:v>7734.400000000001</x:v>
      </x:c>
      <x:c r="I1909" s="10" t="n">
        <x:f>H1909/F1909</x:f>
        <x:v>0.5401117318435754</x:v>
      </x:c>
    </x:row>
    <x:row r="1910" ht="22" customHeight="1">
      <x:c r="A1910" s="11" t="str">
        <x:v>469</x:v>
      </x:c>
      <x:c r="B1910" s="8" t="str">
        <x:v>Proseware LCD17 E200 Black</x:v>
      </x:c>
      <x:c r="C1910" s="8" t="n">
        <x:v>69</x:v>
      </x:c>
      <x:c r="D1910" s="9" t="n">
        <x:v>99</x:v>
      </x:c>
      <x:c r="E1910" s="9" t="n">
        <x:v>50.47</x:v>
      </x:c>
      <x:c r="F1910" s="8" t="n">
        <x:f>C1910*D1910</x:f>
        <x:v>6831</x:v>
      </x:c>
      <x:c r="G1910" s="8" t="n">
        <x:f>C1910*E1910</x:f>
        <x:v>3482.43</x:v>
      </x:c>
      <x:c r="H1910" s="8" t="n">
        <x:f>F1910-G1910</x:f>
        <x:v>3348.57</x:v>
      </x:c>
      <x:c r="I1910" s="10" t="n">
        <x:f>H1910/F1910</x:f>
        <x:v>0.49020202020202025</x:v>
      </x:c>
    </x:row>
    <x:row r="1911" ht="22" customHeight="1">
      <x:c r="A1911" s="11" t="str">
        <x:v>47</x:v>
      </x:c>
      <x:c r="B1911" s="8" t="str">
        <x:v>WWI 1GBPulse Smart pen E50 Black</x:v>
      </x:c>
      <x:c r="C1911" s="8" t="n">
        <x:v>309</x:v>
      </x:c>
      <x:c r="D1911" s="9" t="n">
        <x:v>149.95</x:v>
      </x:c>
      <x:c r="E1911" s="9" t="n">
        <x:v>76.45</x:v>
      </x:c>
      <x:c r="F1911" s="8" t="n">
        <x:f>C1911*D1911</x:f>
        <x:v>46334.549999999996</x:v>
      </x:c>
      <x:c r="G1911" s="8" t="n">
        <x:f>C1911*E1911</x:f>
        <x:v>23623.05</x:v>
      </x:c>
      <x:c r="H1911" s="8" t="n">
        <x:f>F1911-G1911</x:f>
        <x:v>22711.499999999996</x:v>
      </x:c>
      <x:c r="I1911" s="10" t="n">
        <x:f>H1911/F1911</x:f>
        <x:v>0.49016338779593194</x:v>
      </x:c>
    </x:row>
    <x:row r="1912" ht="22" customHeight="1">
      <x:c r="A1912" s="11" t="str">
        <x:v>470</x:v>
      </x:c>
      <x:c r="B1912" s="8" t="str">
        <x:v>Proseware LCD17W E202 Black</x:v>
      </x:c>
      <x:c r="C1912" s="8" t="n">
        <x:v>88</x:v>
      </x:c>
      <x:c r="D1912" s="9" t="n">
        <x:v>129</x:v>
      </x:c>
      <x:c r="E1912" s="9" t="n">
        <x:v>65.77</x:v>
      </x:c>
      <x:c r="F1912" s="8" t="n">
        <x:f>C1912*D1912</x:f>
        <x:v>11352</x:v>
      </x:c>
      <x:c r="G1912" s="8" t="n">
        <x:f>C1912*E1912</x:f>
        <x:v>5787.759999999999</x:v>
      </x:c>
      <x:c r="H1912" s="8" t="n">
        <x:f>F1912-G1912</x:f>
        <x:v>5564.240000000001</x:v>
      </x:c>
      <x:c r="I1912" s="10" t="n">
        <x:f>H1912/F1912</x:f>
        <x:v>0.49015503875968996</x:v>
      </x:c>
    </x:row>
    <x:row r="1913" ht="22" customHeight="1">
      <x:c r="A1913" s="11" t="str">
        <x:v>471</x:v>
      </x:c>
      <x:c r="B1913" s="8" t="str">
        <x:v>Proseware LCD15 E103 Black</x:v>
      </x:c>
      <x:c r="C1913" s="8" t="n">
        <x:v>78</x:v>
      </x:c>
      <x:c r="D1913" s="9" t="n">
        <x:v>99</x:v>
      </x:c>
      <x:c r="E1913" s="9" t="n">
        <x:v>50.47</x:v>
      </x:c>
      <x:c r="F1913" s="8" t="n">
        <x:f>C1913*D1913</x:f>
        <x:v>7722</x:v>
      </x:c>
      <x:c r="G1913" s="8" t="n">
        <x:f>C1913*E1913</x:f>
        <x:v>3936.66</x:v>
      </x:c>
      <x:c r="H1913" s="8" t="n">
        <x:f>F1913-G1913</x:f>
        <x:v>3785.34</x:v>
      </x:c>
      <x:c r="I1913" s="10" t="n">
        <x:f>H1913/F1913</x:f>
        <x:v>0.4902020202020202</x:v>
      </x:c>
    </x:row>
    <x:row r="1914" ht="22" customHeight="1">
      <x:c r="A1914" s="11" t="str">
        <x:v>472</x:v>
      </x:c>
      <x:c r="B1914" s="8" t="str">
        <x:v>Proseware CRT19 E201 Black</x:v>
      </x:c>
      <x:c r="C1914" s="8" t="n">
        <x:v>55</x:v>
      </x:c>
      <x:c r="D1914" s="9" t="n">
        <x:v>69</x:v>
      </x:c>
      <x:c r="E1914" s="9" t="n">
        <x:v>35.18</x:v>
      </x:c>
      <x:c r="F1914" s="8" t="n">
        <x:f>C1914*D1914</x:f>
        <x:v>3795</x:v>
      </x:c>
      <x:c r="G1914" s="8" t="n">
        <x:f>C1914*E1914</x:f>
        <x:v>1934.9</x:v>
      </x:c>
      <x:c r="H1914" s="8" t="n">
        <x:f>F1914-G1914</x:f>
        <x:v>1860.1</x:v>
      </x:c>
      <x:c r="I1914" s="10" t="n">
        <x:f>H1914/F1914</x:f>
        <x:v>0.49014492753623184</x:v>
      </x:c>
    </x:row>
    <x:row r="1915" ht="22" customHeight="1">
      <x:c r="A1915" s="11" t="str">
        <x:v>473</x:v>
      </x:c>
      <x:c r="B1915" s="8" t="str">
        <x:v>Proseware CRT17 E104 Black</x:v>
      </x:c>
      <x:c r="C1915" s="8" t="n">
        <x:v>65</x:v>
      </x:c>
      <x:c r="D1915" s="9" t="n">
        <x:v>59</x:v>
      </x:c>
      <x:c r="E1915" s="9" t="n">
        <x:v>30.08</x:v>
      </x:c>
      <x:c r="F1915" s="8" t="n">
        <x:f>C1915*D1915</x:f>
        <x:v>3835</x:v>
      </x:c>
      <x:c r="G1915" s="8" t="n">
        <x:f>C1915*E1915</x:f>
        <x:v>1955.1999999999998</x:v>
      </x:c>
      <x:c r="H1915" s="8" t="n">
        <x:f>F1915-G1915</x:f>
        <x:v>1879.8000000000002</x:v>
      </x:c>
      <x:c r="I1915" s="10" t="n">
        <x:f>H1915/F1915</x:f>
        <x:v>0.4901694915254238</x:v>
      </x:c>
    </x:row>
    <x:row r="1916" ht="22" customHeight="1">
      <x:c r="A1916" s="11" t="str">
        <x:v>474</x:v>
      </x:c>
      <x:c r="B1916" s="8" t="str">
        <x:v>Proseware CRT15 E10 Black</x:v>
      </x:c>
      <x:c r="C1916" s="8" t="n">
        <x:v>106</x:v>
      </x:c>
      <x:c r="D1916" s="9" t="n">
        <x:v>49</x:v>
      </x:c>
      <x:c r="E1916" s="9" t="n">
        <x:v>24.98</x:v>
      </x:c>
      <x:c r="F1916" s="8" t="n">
        <x:f>C1916*D1916</x:f>
        <x:v>5194</x:v>
      </x:c>
      <x:c r="G1916" s="8" t="n">
        <x:f>C1916*E1916</x:f>
        <x:v>2647.88</x:v>
      </x:c>
      <x:c r="H1916" s="8" t="n">
        <x:f>F1916-G1916</x:f>
        <x:v>2546.12</x:v>
      </x:c>
      <x:c r="I1916" s="10" t="n">
        <x:f>H1916/F1916</x:f>
        <x:v>0.49020408163265305</x:v>
      </x:c>
    </x:row>
    <x:row r="1917" ht="22" customHeight="1">
      <x:c r="A1917" s="11" t="str">
        <x:v>475</x:v>
      </x:c>
      <x:c r="B1917" s="8" t="str">
        <x:v>Proseware LCD24 X300 White</x:v>
      </x:c>
      <x:c r="C1917" s="8" t="n">
        <x:v>53</x:v>
      </x:c>
      <x:c r="D1917" s="9" t="n">
        <x:v>819</x:v>
      </x:c>
      <x:c r="E1917" s="9" t="n">
        <x:v>271.35</x:v>
      </x:c>
      <x:c r="F1917" s="8" t="n">
        <x:f>C1917*D1917</x:f>
        <x:v>43407</x:v>
      </x:c>
      <x:c r="G1917" s="8" t="n">
        <x:f>C1917*E1917</x:f>
        <x:v>14381.550000000001</x:v>
      </x:c>
      <x:c r="H1917" s="8" t="n">
        <x:f>F1917-G1917</x:f>
        <x:v>29025.449999999997</x:v>
      </x:c>
      <x:c r="I1917" s="10" t="n">
        <x:f>H1917/F1917</x:f>
        <x:v>0.6686813186813186</x:v>
      </x:c>
    </x:row>
    <x:row r="1918" ht="22" customHeight="1">
      <x:c r="A1918" s="11" t="str">
        <x:v>476</x:v>
      </x:c>
      <x:c r="B1918" s="8" t="str">
        <x:v>Proseware LCD24W X300 White</x:v>
      </x:c>
      <x:c r="C1918" s="8" t="n">
        <x:v>30</x:v>
      </x:c>
      <x:c r="D1918" s="9" t="n">
        <x:v>869</x:v>
      </x:c>
      <x:c r="E1918" s="9" t="n">
        <x:v>287.92</x:v>
      </x:c>
      <x:c r="F1918" s="8" t="n">
        <x:f>C1918*D1918</x:f>
        <x:v>26070</x:v>
      </x:c>
      <x:c r="G1918" s="8" t="n">
        <x:f>C1918*E1918</x:f>
        <x:v>8637.6</x:v>
      </x:c>
      <x:c r="H1918" s="8" t="n">
        <x:f>F1918-G1918</x:f>
        <x:v>17432.4</x:v>
      </x:c>
      <x:c r="I1918" s="10" t="n">
        <x:f>H1918/F1918</x:f>
        <x:v>0.6686766398158803</x:v>
      </x:c>
    </x:row>
    <x:row r="1919" ht="22" customHeight="1">
      <x:c r="A1919" s="11" t="str">
        <x:v>477</x:v>
      </x:c>
      <x:c r="B1919" s="8" t="str">
        <x:v>Proseware LCD22 M2000 White</x:v>
      </x:c>
      <x:c r="C1919" s="8" t="n">
        <x:v>56</x:v>
      </x:c>
      <x:c r="D1919" s="9" t="n">
        <x:v>619</x:v>
      </x:c>
      <x:c r="E1919" s="9" t="n">
        <x:v>205.09</x:v>
      </x:c>
      <x:c r="F1919" s="8" t="n">
        <x:f>C1919*D1919</x:f>
        <x:v>34664</x:v>
      </x:c>
      <x:c r="G1919" s="8" t="n">
        <x:f>C1919*E1919</x:f>
        <x:v>11485.04</x:v>
      </x:c>
      <x:c r="H1919" s="8" t="n">
        <x:f>F1919-G1919</x:f>
        <x:v>23178.96</x:v>
      </x:c>
      <x:c r="I1919" s="10" t="n">
        <x:f>H1919/F1919</x:f>
        <x:v>0.6686752827140549</x:v>
      </x:c>
    </x:row>
    <x:row r="1920" ht="22" customHeight="1">
      <x:c r="A1920" s="11" t="str">
        <x:v>478</x:v>
      </x:c>
      <x:c r="B1920" s="8" t="str">
        <x:v>Proseware LCD22W M2001 White</x:v>
      </x:c>
      <x:c r="C1920" s="8" t="n">
        <x:v>26</x:v>
      </x:c>
      <x:c r="D1920" s="9" t="n">
        <x:v>679</x:v>
      </x:c>
      <x:c r="E1920" s="9" t="n">
        <x:v>224.97</x:v>
      </x:c>
      <x:c r="F1920" s="8" t="n">
        <x:f>C1920*D1920</x:f>
        <x:v>17654</x:v>
      </x:c>
      <x:c r="G1920" s="8" t="n">
        <x:f>C1920*E1920</x:f>
        <x:v>5849.22</x:v>
      </x:c>
      <x:c r="H1920" s="8" t="n">
        <x:f>F1920-G1920</x:f>
        <x:v>11804.779999999999</x:v>
      </x:c>
      <x:c r="I1920" s="10" t="n">
        <x:f>H1920/F1920</x:f>
        <x:v>0.6686745213549337</x:v>
      </x:c>
    </x:row>
    <x:row r="1921" ht="22" customHeight="1">
      <x:c r="A1921" s="11" t="str">
        <x:v>479</x:v>
      </x:c>
      <x:c r="B1921" s="8" t="str">
        <x:v>Proseware LCD20 M200 White</x:v>
      </x:c>
      <x:c r="C1921" s="8" t="n">
        <x:v>37</x:v>
      </x:c>
      <x:c r="D1921" s="9" t="n">
        <x:v>259</x:v>
      </x:c>
      <x:c r="E1921" s="9" t="n">
        <x:v>119.11</x:v>
      </x:c>
      <x:c r="F1921" s="8" t="n">
        <x:f>C1921*D1921</x:f>
        <x:v>9583</x:v>
      </x:c>
      <x:c r="G1921" s="8" t="n">
        <x:f>C1921*E1921</x:f>
        <x:v>4407.07</x:v>
      </x:c>
      <x:c r="H1921" s="8" t="n">
        <x:f>F1921-G1921</x:f>
        <x:v>5175.93</x:v>
      </x:c>
      <x:c r="I1921" s="10" t="n">
        <x:f>H1921/F1921</x:f>
        <x:v>0.5401158301158302</x:v>
      </x:c>
    </x:row>
    <x:row r="1922" ht="22" customHeight="1">
      <x:c r="A1922" s="11" t="str">
        <x:v>48</x:v>
      </x:c>
      <x:c r="B1922" s="8" t="str">
        <x:v>WWI 1GB Pulse Smart pen E50 Silver</x:v>
      </x:c>
      <x:c r="C1922" s="8" t="n">
        <x:v>355</x:v>
      </x:c>
      <x:c r="D1922" s="9" t="n">
        <x:v>149.95</x:v>
      </x:c>
      <x:c r="E1922" s="9" t="n">
        <x:v>76.45</x:v>
      </x:c>
      <x:c r="F1922" s="8" t="n">
        <x:f>C1922*D1922</x:f>
        <x:v>53232.24999999999</x:v>
      </x:c>
      <x:c r="G1922" s="8" t="n">
        <x:f>C1922*E1922</x:f>
        <x:v>27139.75</x:v>
      </x:c>
      <x:c r="H1922" s="8" t="n">
        <x:f>F1922-G1922</x:f>
        <x:v>26092.499999999993</x:v>
      </x:c>
      <x:c r="I1922" s="10" t="n">
        <x:f>H1922/F1922</x:f>
        <x:v>0.4901633877959319</x:v>
      </x:c>
    </x:row>
    <x:row r="1923" ht="22" customHeight="1">
      <x:c r="A1923" s="11" t="str">
        <x:v>480</x:v>
      </x:c>
      <x:c r="B1923" s="8" t="str">
        <x:v>Proseware LCD20W M230 White</x:v>
      </x:c>
      <x:c r="C1923" s="8" t="n">
        <x:v>59</x:v>
      </x:c>
      <x:c r="D1923" s="9" t="n">
        <x:v>279</x:v>
      </x:c>
      <x:c r="E1923" s="9" t="n">
        <x:v>128.3</x:v>
      </x:c>
      <x:c r="F1923" s="8" t="n">
        <x:f>C1923*D1923</x:f>
        <x:v>16461</x:v>
      </x:c>
      <x:c r="G1923" s="8" t="n">
        <x:f>C1923*E1923</x:f>
        <x:v>7569.700000000001</x:v>
      </x:c>
      <x:c r="H1923" s="8" t="n">
        <x:f>F1923-G1923</x:f>
        <x:v>8891.3</x:v>
      </x:c>
      <x:c r="I1923" s="10" t="n">
        <x:f>H1923/F1923</x:f>
        <x:v>0.5401433691756272</x:v>
      </x:c>
    </x:row>
    <x:row r="1924" ht="22" customHeight="1">
      <x:c r="A1924" s="11" t="str">
        <x:v>481</x:v>
      </x:c>
      <x:c r="B1924" s="8" t="str">
        <x:v>Proseware LCD19 E1000 White</x:v>
      </x:c>
      <x:c r="C1924" s="8" t="n">
        <x:v>76</x:v>
      </x:c>
      <x:c r="D1924" s="9" t="n">
        <x:v>139</x:v>
      </x:c>
      <x:c r="E1924" s="9" t="n">
        <x:v>63.92</x:v>
      </x:c>
      <x:c r="F1924" s="8" t="n">
        <x:f>C1924*D1924</x:f>
        <x:v>10564</x:v>
      </x:c>
      <x:c r="G1924" s="8" t="n">
        <x:f>C1924*E1924</x:f>
        <x:v>4857.92</x:v>
      </x:c>
      <x:c r="H1924" s="8" t="n">
        <x:f>F1924-G1924</x:f>
        <x:v>5706.08</x:v>
      </x:c>
      <x:c r="I1924" s="10" t="n">
        <x:f>H1924/F1924</x:f>
        <x:v>0.5401438848920863</x:v>
      </x:c>
    </x:row>
    <x:row r="1925" ht="22" customHeight="1">
      <x:c r="A1925" s="11" t="str">
        <x:v>482</x:v>
      </x:c>
      <x:c r="B1925" s="8" t="str">
        <x:v>Proseware LCD19W M100 White</x:v>
      </x:c>
      <x:c r="C1925" s="8" t="n">
        <x:v>73</x:v>
      </x:c>
      <x:c r="D1925" s="9" t="n">
        <x:v>179</x:v>
      </x:c>
      <x:c r="E1925" s="9" t="n">
        <x:v>82.32</x:v>
      </x:c>
      <x:c r="F1925" s="8" t="n">
        <x:f>C1925*D1925</x:f>
        <x:v>13067</x:v>
      </x:c>
      <x:c r="G1925" s="8" t="n">
        <x:f>C1925*E1925</x:f>
        <x:v>6009.36</x:v>
      </x:c>
      <x:c r="H1925" s="8" t="n">
        <x:f>F1925-G1925</x:f>
        <x:v>7057.64</x:v>
      </x:c>
      <x:c r="I1925" s="10" t="n">
        <x:f>H1925/F1925</x:f>
        <x:v>0.5401117318435754</x:v>
      </x:c>
    </x:row>
    <x:row r="1926" ht="22" customHeight="1">
      <x:c r="A1926" s="11" t="str">
        <x:v>483</x:v>
      </x:c>
      <x:c r="B1926" s="8" t="str">
        <x:v>Proseware LCD17 E200 White</x:v>
      </x:c>
      <x:c r="C1926" s="8" t="n">
        <x:v>66</x:v>
      </x:c>
      <x:c r="D1926" s="9" t="n">
        <x:v>99</x:v>
      </x:c>
      <x:c r="E1926" s="9" t="n">
        <x:v>50.47</x:v>
      </x:c>
      <x:c r="F1926" s="8" t="n">
        <x:f>C1926*D1926</x:f>
        <x:v>6534</x:v>
      </x:c>
      <x:c r="G1926" s="8" t="n">
        <x:f>C1926*E1926</x:f>
        <x:v>3331.02</x:v>
      </x:c>
      <x:c r="H1926" s="8" t="n">
        <x:f>F1926-G1926</x:f>
        <x:v>3202.98</x:v>
      </x:c>
      <x:c r="I1926" s="10" t="n">
        <x:f>H1926/F1926</x:f>
        <x:v>0.4902020202020202</x:v>
      </x:c>
    </x:row>
    <x:row r="1927" ht="22" customHeight="1">
      <x:c r="A1927" s="11" t="str">
        <x:v>484</x:v>
      </x:c>
      <x:c r="B1927" s="8" t="str">
        <x:v>Proseware LCD17W E202 White</x:v>
      </x:c>
      <x:c r="C1927" s="8" t="n">
        <x:v>45</x:v>
      </x:c>
      <x:c r="D1927" s="9" t="n">
        <x:v>129</x:v>
      </x:c>
      <x:c r="E1927" s="9" t="n">
        <x:v>65.77</x:v>
      </x:c>
      <x:c r="F1927" s="8" t="n">
        <x:f>C1927*D1927</x:f>
        <x:v>5805</x:v>
      </x:c>
      <x:c r="G1927" s="8" t="n">
        <x:f>C1927*E1927</x:f>
        <x:v>2959.6499999999996</x:v>
      </x:c>
      <x:c r="H1927" s="8" t="n">
        <x:f>F1927-G1927</x:f>
        <x:v>2845.3500000000004</x:v>
      </x:c>
      <x:c r="I1927" s="10" t="n">
        <x:f>H1927/F1927</x:f>
        <x:v>0.49015503875968996</x:v>
      </x:c>
    </x:row>
    <x:row r="1928" ht="22" customHeight="1">
      <x:c r="A1928" s="11" t="str">
        <x:v>485</x:v>
      </x:c>
      <x:c r="B1928" s="8" t="str">
        <x:v>Proseware LCD15 E103 White</x:v>
      </x:c>
      <x:c r="C1928" s="8" t="n">
        <x:v>60</x:v>
      </x:c>
      <x:c r="D1928" s="9" t="n">
        <x:v>99</x:v>
      </x:c>
      <x:c r="E1928" s="9" t="n">
        <x:v>50.47</x:v>
      </x:c>
      <x:c r="F1928" s="8" t="n">
        <x:f>C1928*D1928</x:f>
        <x:v>5940</x:v>
      </x:c>
      <x:c r="G1928" s="8" t="n">
        <x:f>C1928*E1928</x:f>
        <x:v>3028.2</x:v>
      </x:c>
      <x:c r="H1928" s="8" t="n">
        <x:f>F1928-G1928</x:f>
        <x:v>2911.8</x:v>
      </x:c>
      <x:c r="I1928" s="10" t="n">
        <x:f>H1928/F1928</x:f>
        <x:v>0.49020202020202025</x:v>
      </x:c>
    </x:row>
    <x:row r="1929" ht="22" customHeight="1">
      <x:c r="A1929" s="11" t="str">
        <x:v>486</x:v>
      </x:c>
      <x:c r="B1929" s="8" t="str">
        <x:v>Proseware CRT19 E201 White</x:v>
      </x:c>
      <x:c r="C1929" s="8" t="n">
        <x:v>59</x:v>
      </x:c>
      <x:c r="D1929" s="9" t="n">
        <x:v>69</x:v>
      </x:c>
      <x:c r="E1929" s="9" t="n">
        <x:v>35.18</x:v>
      </x:c>
      <x:c r="F1929" s="8" t="n">
        <x:f>C1929*D1929</x:f>
        <x:v>4071</x:v>
      </x:c>
      <x:c r="G1929" s="8" t="n">
        <x:f>C1929*E1929</x:f>
        <x:v>2075.62</x:v>
      </x:c>
      <x:c r="H1929" s="8" t="n">
        <x:f>F1929-G1929</x:f>
        <x:v>1995.38</x:v>
      </x:c>
      <x:c r="I1929" s="10" t="n">
        <x:f>H1929/F1929</x:f>
        <x:v>0.4901449275362319</x:v>
      </x:c>
    </x:row>
    <x:row r="1930" ht="22" customHeight="1">
      <x:c r="A1930" s="11" t="str">
        <x:v>487</x:v>
      </x:c>
      <x:c r="B1930" s="8" t="str">
        <x:v>Proseware CRT17 E104 White</x:v>
      </x:c>
      <x:c r="C1930" s="8" t="n">
        <x:v>64</x:v>
      </x:c>
      <x:c r="D1930" s="9" t="n">
        <x:v>59</x:v>
      </x:c>
      <x:c r="E1930" s="9" t="n">
        <x:v>30.08</x:v>
      </x:c>
      <x:c r="F1930" s="8" t="n">
        <x:f>C1930*D1930</x:f>
        <x:v>3776</x:v>
      </x:c>
      <x:c r="G1930" s="8" t="n">
        <x:f>C1930*E1930</x:f>
        <x:v>1925.12</x:v>
      </x:c>
      <x:c r="H1930" s="8" t="n">
        <x:f>F1930-G1930</x:f>
        <x:v>1850.88</x:v>
      </x:c>
      <x:c r="I1930" s="10" t="n">
        <x:f>H1930/F1930</x:f>
        <x:v>0.4901694915254238</x:v>
      </x:c>
    </x:row>
    <x:row r="1931" ht="22" customHeight="1">
      <x:c r="A1931" s="11" t="str">
        <x:v>488</x:v>
      </x:c>
      <x:c r="B1931" s="8" t="str">
        <x:v>Proseware CRT15 E10 White</x:v>
      </x:c>
      <x:c r="C1931" s="8" t="n">
        <x:v>48</x:v>
      </x:c>
      <x:c r="D1931" s="9" t="n">
        <x:v>49</x:v>
      </x:c>
      <x:c r="E1931" s="9" t="n">
        <x:v>24.98</x:v>
      </x:c>
      <x:c r="F1931" s="8" t="n">
        <x:f>C1931*D1931</x:f>
        <x:v>2352</x:v>
      </x:c>
      <x:c r="G1931" s="8" t="n">
        <x:f>C1931*E1931</x:f>
        <x:v>1199.04</x:v>
      </x:c>
      <x:c r="H1931" s="8" t="n">
        <x:f>F1931-G1931</x:f>
        <x:v>1152.96</x:v>
      </x:c>
      <x:c r="I1931" s="10" t="n">
        <x:f>H1931/F1931</x:f>
        <x:v>0.49020408163265305</x:v>
      </x:c>
    </x:row>
    <x:row r="1932" ht="22" customHeight="1">
      <x:c r="A1932" s="11" t="str">
        <x:v>489</x:v>
      </x:c>
      <x:c r="B1932" s="8" t="str">
        <x:v>Adventure Works LCD24 X300 Black</x:v>
      </x:c>
      <x:c r="C1932" s="8" t="n">
        <x:v>46</x:v>
      </x:c>
      <x:c r="D1932" s="9" t="n">
        <x:v>819</x:v>
      </x:c>
      <x:c r="E1932" s="9" t="n">
        <x:v>271.35</x:v>
      </x:c>
      <x:c r="F1932" s="8" t="n">
        <x:f>C1932*D1932</x:f>
        <x:v>37674</x:v>
      </x:c>
      <x:c r="G1932" s="8" t="n">
        <x:f>C1932*E1932</x:f>
        <x:v>12482.1</x:v>
      </x:c>
      <x:c r="H1932" s="8" t="n">
        <x:f>F1932-G1932</x:f>
        <x:v>25191.9</x:v>
      </x:c>
      <x:c r="I1932" s="10" t="n">
        <x:f>H1932/F1932</x:f>
        <x:v>0.6686813186813187</x:v>
      </x:c>
    </x:row>
    <x:row r="1933" ht="22" customHeight="1">
      <x:c r="A1933" s="11" t="str">
        <x:v>49</x:v>
      </x:c>
      <x:c r="B1933" s="8" t="str">
        <x:v>WWI 2GB Pulse Smart pen M100 White</x:v>
      </x:c>
      <x:c r="C1933" s="8" t="n">
        <x:v>318</x:v>
      </x:c>
      <x:c r="D1933" s="9" t="n">
        <x:v>199.95</x:v>
      </x:c>
      <x:c r="E1933" s="9" t="n">
        <x:v>91.95</x:v>
      </x:c>
      <x:c r="F1933" s="8" t="n">
        <x:f>C1933*D1933</x:f>
        <x:v>63584.1</x:v>
      </x:c>
      <x:c r="G1933" s="8" t="n">
        <x:f>C1933*E1933</x:f>
        <x:v>29240.100000000002</x:v>
      </x:c>
      <x:c r="H1933" s="8" t="n">
        <x:f>F1933-G1933</x:f>
        <x:v>34344</x:v>
      </x:c>
      <x:c r="I1933" s="10" t="n">
        <x:f>H1933/F1933</x:f>
        <x:v>0.5401350337584396</x:v>
      </x:c>
    </x:row>
    <x:row r="1934" ht="22" customHeight="1">
      <x:c r="A1934" s="11" t="str">
        <x:v>490</x:v>
      </x:c>
      <x:c r="B1934" s="8" t="str">
        <x:v>Adventure Works LCD24W X300 Black</x:v>
      </x:c>
      <x:c r="C1934" s="8" t="n">
        <x:v>44</x:v>
      </x:c>
      <x:c r="D1934" s="9" t="n">
        <x:v>869</x:v>
      </x:c>
      <x:c r="E1934" s="9" t="n">
        <x:v>287.92</x:v>
      </x:c>
      <x:c r="F1934" s="8" t="n">
        <x:f>C1934*D1934</x:f>
        <x:v>38236</x:v>
      </x:c>
      <x:c r="G1934" s="8" t="n">
        <x:f>C1934*E1934</x:f>
        <x:v>12668.480000000001</x:v>
      </x:c>
      <x:c r="H1934" s="8" t="n">
        <x:f>F1934-G1934</x:f>
        <x:v>25567.519999999997</x:v>
      </x:c>
      <x:c r="I1934" s="10" t="n">
        <x:f>H1934/F1934</x:f>
        <x:v>0.6686766398158802</x:v>
      </x:c>
    </x:row>
    <x:row r="1935" ht="22" customHeight="1">
      <x:c r="A1935" s="11" t="str">
        <x:v>491</x:v>
      </x:c>
      <x:c r="B1935" s="8" t="str">
        <x:v>Adventure Works LCD22 M200 Black</x:v>
      </x:c>
      <x:c r="C1935" s="8" t="n">
        <x:v>70</x:v>
      </x:c>
      <x:c r="D1935" s="9" t="n">
        <x:v>619</x:v>
      </x:c>
      <x:c r="E1935" s="9" t="n">
        <x:v>205.09</x:v>
      </x:c>
      <x:c r="F1935" s="8" t="n">
        <x:f>C1935*D1935</x:f>
        <x:v>43330</x:v>
      </x:c>
      <x:c r="G1935" s="8" t="n">
        <x:f>C1935*E1935</x:f>
        <x:v>14356.300000000001</x:v>
      </x:c>
      <x:c r="H1935" s="8" t="n">
        <x:f>F1935-G1935</x:f>
        <x:v>28973.699999999997</x:v>
      </x:c>
      <x:c r="I1935" s="10" t="n">
        <x:f>H1935/F1935</x:f>
        <x:v>0.6686752827140549</x:v>
      </x:c>
    </x:row>
    <x:row r="1936" ht="22" customHeight="1">
      <x:c r="A1936" s="11" t="str">
        <x:v>492</x:v>
      </x:c>
      <x:c r="B1936" s="8" t="str">
        <x:v>Adventure Works LCD22W M200 Black</x:v>
      </x:c>
      <x:c r="C1936" s="8" t="n">
        <x:v>48</x:v>
      </x:c>
      <x:c r="D1936" s="9" t="n">
        <x:v>679</x:v>
      </x:c>
      <x:c r="E1936" s="9" t="n">
        <x:v>224.97</x:v>
      </x:c>
      <x:c r="F1936" s="8" t="n">
        <x:f>C1936*D1936</x:f>
        <x:v>32592</x:v>
      </x:c>
      <x:c r="G1936" s="8" t="n">
        <x:f>C1936*E1936</x:f>
        <x:v>10798.56</x:v>
      </x:c>
      <x:c r="H1936" s="8" t="n">
        <x:f>F1936-G1936</x:f>
        <x:v>21793.440000000002</x:v>
      </x:c>
      <x:c r="I1936" s="10" t="n">
        <x:f>H1936/F1936</x:f>
        <x:v>0.6686745213549338</x:v>
      </x:c>
    </x:row>
    <x:row r="1937" ht="22" customHeight="1">
      <x:c r="A1937" s="11" t="str">
        <x:v>493</x:v>
      </x:c>
      <x:c r="B1937" s="8" t="str">
        <x:v>Adventure Works LCD20 M210 Black</x:v>
      </x:c>
      <x:c r="C1937" s="8" t="n">
        <x:v>63</x:v>
      </x:c>
      <x:c r="D1937" s="9" t="n">
        <x:v>259</x:v>
      </x:c>
      <x:c r="E1937" s="9" t="n">
        <x:v>119.11</x:v>
      </x:c>
      <x:c r="F1937" s="8" t="n">
        <x:f>C1937*D1937</x:f>
        <x:v>16317</x:v>
      </x:c>
      <x:c r="G1937" s="8" t="n">
        <x:f>C1937*E1937</x:f>
        <x:v>7503.93</x:v>
      </x:c>
      <x:c r="H1937" s="8" t="n">
        <x:f>F1937-G1937</x:f>
        <x:v>8813.07</x:v>
      </x:c>
      <x:c r="I1937" s="10" t="n">
        <x:f>H1937/F1937</x:f>
        <x:v>0.5401158301158301</x:v>
      </x:c>
    </x:row>
    <x:row r="1938" ht="22" customHeight="1">
      <x:c r="A1938" s="11" t="str">
        <x:v>494</x:v>
      </x:c>
      <x:c r="B1938" s="8" t="str">
        <x:v>Adventure Works LCD20W M240 Black</x:v>
      </x:c>
      <x:c r="C1938" s="8" t="n">
        <x:v>52</x:v>
      </x:c>
      <x:c r="D1938" s="9" t="n">
        <x:v>279</x:v>
      </x:c>
      <x:c r="E1938" s="9" t="n">
        <x:v>128.3</x:v>
      </x:c>
      <x:c r="F1938" s="8" t="n">
        <x:f>C1938*D1938</x:f>
        <x:v>14508</x:v>
      </x:c>
      <x:c r="G1938" s="8" t="n">
        <x:f>C1938*E1938</x:f>
        <x:v>6671.6</x:v>
      </x:c>
      <x:c r="H1938" s="8" t="n">
        <x:f>F1938-G1938</x:f>
        <x:v>7836.4</x:v>
      </x:c>
      <x:c r="I1938" s="10" t="n">
        <x:f>H1938/F1938</x:f>
        <x:v>0.5401433691756272</x:v>
      </x:c>
    </x:row>
    <x:row r="1939" ht="22" customHeight="1">
      <x:c r="A1939" s="11" t="str">
        <x:v>495</x:v>
      </x:c>
      <x:c r="B1939" s="8" t="str">
        <x:v>Adventure Works LCD19 E108 Black</x:v>
      </x:c>
      <x:c r="C1939" s="8" t="n">
        <x:v>70</x:v>
      </x:c>
      <x:c r="D1939" s="9" t="n">
        <x:v>139</x:v>
      </x:c>
      <x:c r="E1939" s="9" t="n">
        <x:v>70.87</x:v>
      </x:c>
      <x:c r="F1939" s="8" t="n">
        <x:f>C1939*D1939</x:f>
        <x:v>9730</x:v>
      </x:c>
      <x:c r="G1939" s="8" t="n">
        <x:f>C1939*E1939</x:f>
        <x:v>4960.900000000001</x:v>
      </x:c>
      <x:c r="H1939" s="8" t="n">
        <x:f>F1939-G1939</x:f>
        <x:v>4769.099999999999</x:v>
      </x:c>
      <x:c r="I1939" s="10" t="n">
        <x:f>H1939/F1939</x:f>
        <x:v>0.49014388489208627</x:v>
      </x:c>
    </x:row>
    <x:row r="1940" ht="22" customHeight="1">
      <x:c r="A1940" s="11" t="str">
        <x:v>496</x:v>
      </x:c>
      <x:c r="B1940" s="8" t="str">
        <x:v>Adventure Works LCD19W M100 Black</x:v>
      </x:c>
      <x:c r="C1940" s="8" t="n">
        <x:v>47</x:v>
      </x:c>
      <x:c r="D1940" s="9" t="n">
        <x:v>179</x:v>
      </x:c>
      <x:c r="E1940" s="9" t="n">
        <x:v>82.32</x:v>
      </x:c>
      <x:c r="F1940" s="8" t="n">
        <x:f>C1940*D1940</x:f>
        <x:v>8413</x:v>
      </x:c>
      <x:c r="G1940" s="8" t="n">
        <x:f>C1940*E1940</x:f>
        <x:v>3869.0399999999995</x:v>
      </x:c>
      <x:c r="H1940" s="8" t="n">
        <x:f>F1940-G1940</x:f>
        <x:v>4543.960000000001</x:v>
      </x:c>
      <x:c r="I1940" s="10" t="n">
        <x:f>H1940/F1940</x:f>
        <x:v>0.5401117318435755</x:v>
      </x:c>
    </x:row>
    <x:row r="1941" ht="22" customHeight="1">
      <x:c r="A1941" s="11" t="str">
        <x:v>497</x:v>
      </x:c>
      <x:c r="B1941" s="8" t="str">
        <x:v>Adventure Works LCD17 E200 Black</x:v>
      </x:c>
      <x:c r="C1941" s="8" t="n">
        <x:v>42</x:v>
      </x:c>
      <x:c r="D1941" s="9" t="n">
        <x:v>99</x:v>
      </x:c>
      <x:c r="E1941" s="9" t="n">
        <x:v>50.47</x:v>
      </x:c>
      <x:c r="F1941" s="8" t="n">
        <x:f>C1941*D1941</x:f>
        <x:v>4158</x:v>
      </x:c>
      <x:c r="G1941" s="8" t="n">
        <x:f>C1941*E1941</x:f>
        <x:v>2119.74</x:v>
      </x:c>
      <x:c r="H1941" s="8" t="n">
        <x:f>F1941-G1941</x:f>
        <x:v>2038.2600000000002</x:v>
      </x:c>
      <x:c r="I1941" s="10" t="n">
        <x:f>H1941/F1941</x:f>
        <x:v>0.49020202020202025</x:v>
      </x:c>
    </x:row>
    <x:row r="1942" ht="22" customHeight="1">
      <x:c r="A1942" s="11" t="str">
        <x:v>498</x:v>
      </x:c>
      <x:c r="B1942" s="8" t="str">
        <x:v>Adventure Works LCD17W E203 Black</x:v>
      </x:c>
      <x:c r="C1942" s="8" t="n">
        <x:v>46</x:v>
      </x:c>
      <x:c r="D1942" s="9" t="n">
        <x:v>129</x:v>
      </x:c>
      <x:c r="E1942" s="9" t="n">
        <x:v>65.77</x:v>
      </x:c>
      <x:c r="F1942" s="8" t="n">
        <x:f>C1942*D1942</x:f>
        <x:v>5934</x:v>
      </x:c>
      <x:c r="G1942" s="8" t="n">
        <x:f>C1942*E1942</x:f>
        <x:v>3025.4199999999996</x:v>
      </x:c>
      <x:c r="H1942" s="8" t="n">
        <x:f>F1942-G1942</x:f>
        <x:v>2908.5800000000004</x:v>
      </x:c>
      <x:c r="I1942" s="10" t="n">
        <x:f>H1942/F1942</x:f>
        <x:v>0.49015503875968996</x:v>
      </x:c>
    </x:row>
    <x:row r="1943" ht="22" customHeight="1">
      <x:c r="A1943" s="11" t="str">
        <x:v>499</x:v>
      </x:c>
      <x:c r="B1943" s="8" t="str">
        <x:v>Adventure Works LCD15 E100 Black</x:v>
      </x:c>
      <x:c r="C1943" s="8" t="n">
        <x:v>49</x:v>
      </x:c>
      <x:c r="D1943" s="9" t="n">
        <x:v>99</x:v>
      </x:c>
      <x:c r="E1943" s="9" t="n">
        <x:v>50.47</x:v>
      </x:c>
      <x:c r="F1943" s="8" t="n">
        <x:f>C1943*D1943</x:f>
        <x:v>4851</x:v>
      </x:c>
      <x:c r="G1943" s="8" t="n">
        <x:f>C1943*E1943</x:f>
        <x:v>2473.0299999999997</x:v>
      </x:c>
      <x:c r="H1943" s="8" t="n">
        <x:f>F1943-G1943</x:f>
        <x:v>2377.9700000000003</x:v>
      </x:c>
      <x:c r="I1943" s="10" t="n">
        <x:f>H1943/F1943</x:f>
        <x:v>0.49020202020202025</x:v>
      </x:c>
    </x:row>
    <x:row r="1944" ht="22" customHeight="1">
      <x:c r="A1944" s="11" t="str">
        <x:v>5</x:v>
      </x:c>
      <x:c r="B1944" s="8" t="str">
        <x:v>Contoso 2G MP3 Player E200 Red</x:v>
      </x:c>
      <x:c r="C1944" s="8" t="n">
        <x:v>49</x:v>
      </x:c>
      <x:c r="D1944" s="9" t="n">
        <x:v>21.57</x:v>
      </x:c>
      <x:c r="E1944" s="9" t="n">
        <x:v>11</x:v>
      </x:c>
      <x:c r="F1944" s="8" t="n">
        <x:f>C1944*D1944</x:f>
        <x:v>1056.93</x:v>
      </x:c>
      <x:c r="G1944" s="8" t="n">
        <x:f>C1944*E1944</x:f>
        <x:v>539</x:v>
      </x:c>
      <x:c r="H1944" s="8" t="n">
        <x:f>F1944-G1944</x:f>
        <x:v>517.9300000000001</x:v>
      </x:c>
      <x:c r="I1944" s="10" t="n">
        <x:f>H1944/F1944</x:f>
        <x:v>0.49003245248029675</x:v>
      </x:c>
    </x:row>
    <x:row r="1945" ht="22" customHeight="1">
      <x:c r="A1945" s="11" t="str">
        <x:v>50</x:v>
      </x:c>
      <x:c r="B1945" s="8" t="str">
        <x:v>WWI 2GB Pulse Smart pen M100 Black</x:v>
      </x:c>
      <x:c r="C1945" s="8" t="n">
        <x:v>308</x:v>
      </x:c>
      <x:c r="D1945" s="9" t="n">
        <x:v>199.95</x:v>
      </x:c>
      <x:c r="E1945" s="9" t="n">
        <x:v>91.95</x:v>
      </x:c>
      <x:c r="F1945" s="8" t="n">
        <x:f>C1945*D1945</x:f>
        <x:v>61584.6</x:v>
      </x:c>
      <x:c r="G1945" s="8" t="n">
        <x:f>C1945*E1945</x:f>
        <x:v>28320.600000000002</x:v>
      </x:c>
      <x:c r="H1945" s="8" t="n">
        <x:f>F1945-G1945</x:f>
        <x:v>33264</x:v>
      </x:c>
      <x:c r="I1945" s="10" t="n">
        <x:f>H1945/F1945</x:f>
        <x:v>0.5401350337584396</x:v>
      </x:c>
    </x:row>
    <x:row r="1946" ht="22" customHeight="1">
      <x:c r="A1946" s="11" t="str">
        <x:v>500</x:v>
      </x:c>
      <x:c r="B1946" s="8" t="str">
        <x:v>Adventure Works CRT19 E10 Black</x:v>
      </x:c>
      <x:c r="C1946" s="8" t="n">
        <x:v>68</x:v>
      </x:c>
      <x:c r="D1946" s="9" t="n">
        <x:v>69</x:v>
      </x:c>
      <x:c r="E1946" s="9" t="n">
        <x:v>22.86</x:v>
      </x:c>
      <x:c r="F1946" s="8" t="n">
        <x:f>C1946*D1946</x:f>
        <x:v>4692</x:v>
      </x:c>
      <x:c r="G1946" s="8" t="n">
        <x:f>C1946*E1946</x:f>
        <x:v>1554.48</x:v>
      </x:c>
      <x:c r="H1946" s="8" t="n">
        <x:f>F1946-G1946</x:f>
        <x:v>3137.52</x:v>
      </x:c>
      <x:c r="I1946" s="10" t="n">
        <x:f>H1946/F1946</x:f>
        <x:v>0.668695652173913</x:v>
      </x:c>
    </x:row>
    <x:row r="1947" ht="22" customHeight="1">
      <x:c r="A1947" s="11" t="str">
        <x:v>501</x:v>
      </x:c>
      <x:c r="B1947" s="8" t="str">
        <x:v>Adventure Works CRT17 E105 Black</x:v>
      </x:c>
      <x:c r="C1947" s="8" t="n">
        <x:v>33</x:v>
      </x:c>
      <x:c r="D1947" s="9" t="n">
        <x:v>59</x:v>
      </x:c>
      <x:c r="E1947" s="9" t="n">
        <x:v>30.08</x:v>
      </x:c>
      <x:c r="F1947" s="8" t="n">
        <x:f>C1947*D1947</x:f>
        <x:v>1947</x:v>
      </x:c>
      <x:c r="G1947" s="8" t="n">
        <x:f>C1947*E1947</x:f>
        <x:v>992.64</x:v>
      </x:c>
      <x:c r="H1947" s="8" t="n">
        <x:f>F1947-G1947</x:f>
        <x:v>954.36</x:v>
      </x:c>
      <x:c r="I1947" s="10" t="n">
        <x:f>H1947/F1947</x:f>
        <x:v>0.4901694915254237</x:v>
      </x:c>
    </x:row>
    <x:row r="1948" ht="22" customHeight="1">
      <x:c r="A1948" s="11" t="str">
        <x:v>502</x:v>
      </x:c>
      <x:c r="B1948" s="8" t="str">
        <x:v>Adventure Works CRT15 E101 Black</x:v>
      </x:c>
      <x:c r="C1948" s="8" t="n">
        <x:v>45</x:v>
      </x:c>
      <x:c r="D1948" s="9" t="n">
        <x:v>90</x:v>
      </x:c>
      <x:c r="E1948" s="9" t="n">
        <x:v>29.82</x:v>
      </x:c>
      <x:c r="F1948" s="8" t="n">
        <x:f>C1948*D1948</x:f>
        <x:v>4050</x:v>
      </x:c>
      <x:c r="G1948" s="8" t="n">
        <x:f>C1948*E1948</x:f>
        <x:v>1341.9</x:v>
      </x:c>
      <x:c r="H1948" s="8" t="n">
        <x:f>F1948-G1948</x:f>
        <x:v>2708.1</x:v>
      </x:c>
      <x:c r="I1948" s="10" t="n">
        <x:f>H1948/F1948</x:f>
        <x:v>0.6686666666666666</x:v>
      </x:c>
    </x:row>
    <x:row r="1949" ht="22" customHeight="1">
      <x:c r="A1949" s="11" t="str">
        <x:v>503</x:v>
      </x:c>
      <x:c r="B1949" s="8" t="str">
        <x:v>Adventure Works LCD24 X300 White</x:v>
      </x:c>
      <x:c r="C1949" s="8" t="n">
        <x:v>51</x:v>
      </x:c>
      <x:c r="D1949" s="9" t="n">
        <x:v>819</x:v>
      </x:c>
      <x:c r="E1949" s="9" t="n">
        <x:v>271.35</x:v>
      </x:c>
      <x:c r="F1949" s="8" t="n">
        <x:f>C1949*D1949</x:f>
        <x:v>41769</x:v>
      </x:c>
      <x:c r="G1949" s="8" t="n">
        <x:f>C1949*E1949</x:f>
        <x:v>13838.85</x:v>
      </x:c>
      <x:c r="H1949" s="8" t="n">
        <x:f>F1949-G1949</x:f>
        <x:v>27930.15</x:v>
      </x:c>
      <x:c r="I1949" s="10" t="n">
        <x:f>H1949/F1949</x:f>
        <x:v>0.6686813186813187</x:v>
      </x:c>
    </x:row>
    <x:row r="1950" ht="22" customHeight="1">
      <x:c r="A1950" s="11" t="str">
        <x:v>504</x:v>
      </x:c>
      <x:c r="B1950" s="8" t="str">
        <x:v>Adventure Works LCD24W X300 White</x:v>
      </x:c>
      <x:c r="C1950" s="8" t="n">
        <x:v>45</x:v>
      </x:c>
      <x:c r="D1950" s="9" t="n">
        <x:v>869</x:v>
      </x:c>
      <x:c r="E1950" s="9" t="n">
        <x:v>287.92</x:v>
      </x:c>
      <x:c r="F1950" s="8" t="n">
        <x:f>C1950*D1950</x:f>
        <x:v>39105</x:v>
      </x:c>
      <x:c r="G1950" s="8" t="n">
        <x:f>C1950*E1950</x:f>
        <x:v>12956.400000000001</x:v>
      </x:c>
      <x:c r="H1950" s="8" t="n">
        <x:f>F1950-G1950</x:f>
        <x:v>26148.6</x:v>
      </x:c>
      <x:c r="I1950" s="10" t="n">
        <x:f>H1950/F1950</x:f>
        <x:v>0.6686766398158803</x:v>
      </x:c>
    </x:row>
    <x:row r="1951" ht="22" customHeight="1">
      <x:c r="A1951" s="11" t="str">
        <x:v>505</x:v>
      </x:c>
      <x:c r="B1951" s="8" t="str">
        <x:v>Adventure Works LCD22 M200 White</x:v>
      </x:c>
      <x:c r="C1951" s="8" t="n">
        <x:v>68</x:v>
      </x:c>
      <x:c r="D1951" s="9" t="n">
        <x:v>619</x:v>
      </x:c>
      <x:c r="E1951" s="9" t="n">
        <x:v>205.09</x:v>
      </x:c>
      <x:c r="F1951" s="8" t="n">
        <x:f>C1951*D1951</x:f>
        <x:v>42092</x:v>
      </x:c>
      <x:c r="G1951" s="8" t="n">
        <x:f>C1951*E1951</x:f>
        <x:v>13946.12</x:v>
      </x:c>
      <x:c r="H1951" s="8" t="n">
        <x:f>F1951-G1951</x:f>
        <x:v>28145.879999999997</x:v>
      </x:c>
      <x:c r="I1951" s="10" t="n">
        <x:f>H1951/F1951</x:f>
        <x:v>0.6686752827140549</x:v>
      </x:c>
    </x:row>
    <x:row r="1952" ht="22" customHeight="1">
      <x:c r="A1952" s="11" t="str">
        <x:v>506</x:v>
      </x:c>
      <x:c r="B1952" s="8" t="str">
        <x:v>Adventure Works LCD22W M200 White</x:v>
      </x:c>
      <x:c r="C1952" s="8" t="n">
        <x:v>67</x:v>
      </x:c>
      <x:c r="D1952" s="9" t="n">
        <x:v>679</x:v>
      </x:c>
      <x:c r="E1952" s="9" t="n">
        <x:v>224.97</x:v>
      </x:c>
      <x:c r="F1952" s="8" t="n">
        <x:f>C1952*D1952</x:f>
        <x:v>45493</x:v>
      </x:c>
      <x:c r="G1952" s="8" t="n">
        <x:f>C1952*E1952</x:f>
        <x:v>15072.99</x:v>
      </x:c>
      <x:c r="H1952" s="8" t="n">
        <x:f>F1952-G1952</x:f>
        <x:v>30420.010000000002</x:v>
      </x:c>
      <x:c r="I1952" s="10" t="n">
        <x:f>H1952/F1952</x:f>
        <x:v>0.6686745213549338</x:v>
      </x:c>
    </x:row>
    <x:row r="1953" ht="22" customHeight="1">
      <x:c r="A1953" s="11" t="str">
        <x:v>507</x:v>
      </x:c>
      <x:c r="B1953" s="8" t="str">
        <x:v>Adventure Works LCD20 M210 White</x:v>
      </x:c>
      <x:c r="C1953" s="8" t="n">
        <x:v>51</x:v>
      </x:c>
      <x:c r="D1953" s="9" t="n">
        <x:v>259</x:v>
      </x:c>
      <x:c r="E1953" s="9" t="n">
        <x:v>119.11</x:v>
      </x:c>
      <x:c r="F1953" s="8" t="n">
        <x:f>C1953*D1953</x:f>
        <x:v>13209</x:v>
      </x:c>
      <x:c r="G1953" s="8" t="n">
        <x:f>C1953*E1953</x:f>
        <x:v>6074.61</x:v>
      </x:c>
      <x:c r="H1953" s="8" t="n">
        <x:f>F1953-G1953</x:f>
        <x:v>7134.39</x:v>
      </x:c>
      <x:c r="I1953" s="10" t="n">
        <x:f>H1953/F1953</x:f>
        <x:v>0.5401158301158301</x:v>
      </x:c>
    </x:row>
    <x:row r="1954" ht="22" customHeight="1">
      <x:c r="A1954" s="11" t="str">
        <x:v>508</x:v>
      </x:c>
      <x:c r="B1954" s="8" t="str">
        <x:v>Adventure Works LCD20W M240 White</x:v>
      </x:c>
      <x:c r="C1954" s="8" t="n">
        <x:v>60</x:v>
      </x:c>
      <x:c r="D1954" s="9" t="n">
        <x:v>279</x:v>
      </x:c>
      <x:c r="E1954" s="9" t="n">
        <x:v>128.3</x:v>
      </x:c>
      <x:c r="F1954" s="8" t="n">
        <x:f>C1954*D1954</x:f>
        <x:v>16740</x:v>
      </x:c>
      <x:c r="G1954" s="8" t="n">
        <x:f>C1954*E1954</x:f>
        <x:v>7698.000000000001</x:v>
      </x:c>
      <x:c r="H1954" s="8" t="n">
        <x:f>F1954-G1954</x:f>
        <x:v>9042</x:v>
      </x:c>
      <x:c r="I1954" s="10" t="n">
        <x:f>H1954/F1954</x:f>
        <x:v>0.5401433691756272</x:v>
      </x:c>
    </x:row>
    <x:row r="1955" ht="22" customHeight="1">
      <x:c r="A1955" s="11" t="str">
        <x:v>509</x:v>
      </x:c>
      <x:c r="B1955" s="8" t="str">
        <x:v>Adventure Works LCD19 E108 White</x:v>
      </x:c>
      <x:c r="C1955" s="8" t="n">
        <x:v>46</x:v>
      </x:c>
      <x:c r="D1955" s="9" t="n">
        <x:v>139</x:v>
      </x:c>
      <x:c r="E1955" s="9" t="n">
        <x:v>70.87</x:v>
      </x:c>
      <x:c r="F1955" s="8" t="n">
        <x:f>C1955*D1955</x:f>
        <x:v>6394</x:v>
      </x:c>
      <x:c r="G1955" s="8" t="n">
        <x:f>C1955*E1955</x:f>
        <x:v>3260.0200000000004</x:v>
      </x:c>
      <x:c r="H1955" s="8" t="n">
        <x:f>F1955-G1955</x:f>
        <x:v>3133.9799999999996</x:v>
      </x:c>
      <x:c r="I1955" s="10" t="n">
        <x:f>H1955/F1955</x:f>
        <x:v>0.49014388489208627</x:v>
      </x:c>
    </x:row>
    <x:row r="1956" ht="22" customHeight="1">
      <x:c r="A1956" s="11" t="str">
        <x:v>51</x:v>
      </x:c>
      <x:c r="B1956" s="8" t="str">
        <x:v>WWI 2GB Pulse Smart pen M100 Blue</x:v>
      </x:c>
      <x:c r="C1956" s="8" t="n">
        <x:v>345</x:v>
      </x:c>
      <x:c r="D1956" s="9" t="n">
        <x:v>199.95</x:v>
      </x:c>
      <x:c r="E1956" s="9" t="n">
        <x:v>91.95</x:v>
      </x:c>
      <x:c r="F1956" s="8" t="n">
        <x:f>C1956*D1956</x:f>
        <x:v>68982.75</x:v>
      </x:c>
      <x:c r="G1956" s="8" t="n">
        <x:f>C1956*E1956</x:f>
        <x:v>31722.75</x:v>
      </x:c>
      <x:c r="H1956" s="8" t="n">
        <x:f>F1956-G1956</x:f>
        <x:v>37260</x:v>
      </x:c>
      <x:c r="I1956" s="10" t="n">
        <x:f>H1956/F1956</x:f>
        <x:v>0.5401350337584396</x:v>
      </x:c>
    </x:row>
    <x:row r="1957" ht="22" customHeight="1">
      <x:c r="A1957" s="11" t="str">
        <x:v>510</x:v>
      </x:c>
      <x:c r="B1957" s="8" t="str">
        <x:v>Adventure Works LCD19W M100 White</x:v>
      </x:c>
      <x:c r="C1957" s="8" t="n">
        <x:v>55</x:v>
      </x:c>
      <x:c r="D1957" s="9" t="n">
        <x:v>179</x:v>
      </x:c>
      <x:c r="E1957" s="9" t="n">
        <x:v>82.32</x:v>
      </x:c>
      <x:c r="F1957" s="8" t="n">
        <x:f>C1957*D1957</x:f>
        <x:v>9845</x:v>
      </x:c>
      <x:c r="G1957" s="8" t="n">
        <x:f>C1957*E1957</x:f>
        <x:v>4527.599999999999</x:v>
      </x:c>
      <x:c r="H1957" s="8" t="n">
        <x:f>F1957-G1957</x:f>
        <x:v>5317.400000000001</x:v>
      </x:c>
      <x:c r="I1957" s="10" t="n">
        <x:f>H1957/F1957</x:f>
        <x:v>0.5401117318435755</x:v>
      </x:c>
    </x:row>
    <x:row r="1958" ht="22" customHeight="1">
      <x:c r="A1958" s="11" t="str">
        <x:v>511</x:v>
      </x:c>
      <x:c r="B1958" s="8" t="str">
        <x:v>Adventure Works LCD17 E200 White</x:v>
      </x:c>
      <x:c r="C1958" s="8" t="n">
        <x:v>50</x:v>
      </x:c>
      <x:c r="D1958" s="9" t="n">
        <x:v>99</x:v>
      </x:c>
      <x:c r="E1958" s="9" t="n">
        <x:v>50.47</x:v>
      </x:c>
      <x:c r="F1958" s="8" t="n">
        <x:f>C1958*D1958</x:f>
        <x:v>4950</x:v>
      </x:c>
      <x:c r="G1958" s="8" t="n">
        <x:f>C1958*E1958</x:f>
        <x:v>2523.5</x:v>
      </x:c>
      <x:c r="H1958" s="8" t="n">
        <x:f>F1958-G1958</x:f>
        <x:v>2426.5</x:v>
      </x:c>
      <x:c r="I1958" s="10" t="n">
        <x:f>H1958/F1958</x:f>
        <x:v>0.4902020202020202</x:v>
      </x:c>
    </x:row>
    <x:row r="1959" ht="22" customHeight="1">
      <x:c r="A1959" s="11" t="str">
        <x:v>512</x:v>
      </x:c>
      <x:c r="B1959" s="8" t="str">
        <x:v>Adventure Works LCD17W E203 White</x:v>
      </x:c>
      <x:c r="C1959" s="8" t="n">
        <x:v>40</x:v>
      </x:c>
      <x:c r="D1959" s="9" t="n">
        <x:v>129</x:v>
      </x:c>
      <x:c r="E1959" s="9" t="n">
        <x:v>65.77</x:v>
      </x:c>
      <x:c r="F1959" s="8" t="n">
        <x:f>C1959*D1959</x:f>
        <x:v>5160</x:v>
      </x:c>
      <x:c r="G1959" s="8" t="n">
        <x:f>C1959*E1959</x:f>
        <x:v>2630.7999999999997</x:v>
      </x:c>
      <x:c r="H1959" s="8" t="n">
        <x:f>F1959-G1959</x:f>
        <x:v>2529.2000000000003</x:v>
      </x:c>
      <x:c r="I1959" s="10" t="n">
        <x:f>H1959/F1959</x:f>
        <x:v>0.49015503875968996</x:v>
      </x:c>
    </x:row>
    <x:row r="1960" ht="22" customHeight="1">
      <x:c r="A1960" s="11" t="str">
        <x:v>513</x:v>
      </x:c>
      <x:c r="B1960" s="8" t="str">
        <x:v>Adventure Works LCD15 E100 White</x:v>
      </x:c>
      <x:c r="C1960" s="8" t="n">
        <x:v>61</x:v>
      </x:c>
      <x:c r="D1960" s="9" t="n">
        <x:v>99</x:v>
      </x:c>
      <x:c r="E1960" s="9" t="n">
        <x:v>50.47</x:v>
      </x:c>
      <x:c r="F1960" s="8" t="n">
        <x:f>C1960*D1960</x:f>
        <x:v>6039</x:v>
      </x:c>
      <x:c r="G1960" s="8" t="n">
        <x:f>C1960*E1960</x:f>
        <x:v>3078.67</x:v>
      </x:c>
      <x:c r="H1960" s="8" t="n">
        <x:f>F1960-G1960</x:f>
        <x:v>2960.33</x:v>
      </x:c>
      <x:c r="I1960" s="10" t="n">
        <x:f>H1960/F1960</x:f>
        <x:v>0.4902020202020202</x:v>
      </x:c>
    </x:row>
    <x:row r="1961" ht="22" customHeight="1">
      <x:c r="A1961" s="11" t="str">
        <x:v>514</x:v>
      </x:c>
      <x:c r="B1961" s="8" t="str">
        <x:v>Adventure Works CRT19 E10 White</x:v>
      </x:c>
      <x:c r="C1961" s="8" t="n">
        <x:v>41</x:v>
      </x:c>
      <x:c r="D1961" s="9" t="n">
        <x:v>69</x:v>
      </x:c>
      <x:c r="E1961" s="9" t="n">
        <x:v>22.86</x:v>
      </x:c>
      <x:c r="F1961" s="8" t="n">
        <x:f>C1961*D1961</x:f>
        <x:v>2829</x:v>
      </x:c>
      <x:c r="G1961" s="8" t="n">
        <x:f>C1961*E1961</x:f>
        <x:v>937.26</x:v>
      </x:c>
      <x:c r="H1961" s="8" t="n">
        <x:f>F1961-G1961</x:f>
        <x:v>1891.74</x:v>
      </x:c>
      <x:c r="I1961" s="10" t="n">
        <x:f>H1961/F1961</x:f>
        <x:v>0.668695652173913</x:v>
      </x:c>
    </x:row>
    <x:row r="1962" ht="22" customHeight="1">
      <x:c r="A1962" s="11" t="str">
        <x:v>515</x:v>
      </x:c>
      <x:c r="B1962" s="8" t="str">
        <x:v>Adventure Works CRT17 E105 White</x:v>
      </x:c>
      <x:c r="C1962" s="8" t="n">
        <x:v>75</x:v>
      </x:c>
      <x:c r="D1962" s="9" t="n">
        <x:v>59</x:v>
      </x:c>
      <x:c r="E1962" s="9" t="n">
        <x:v>30.08</x:v>
      </x:c>
      <x:c r="F1962" s="8" t="n">
        <x:f>C1962*D1962</x:f>
        <x:v>4425</x:v>
      </x:c>
      <x:c r="G1962" s="8" t="n">
        <x:f>C1962*E1962</x:f>
        <x:v>2256</x:v>
      </x:c>
      <x:c r="H1962" s="8" t="n">
        <x:f>F1962-G1962</x:f>
        <x:v>2169</x:v>
      </x:c>
      <x:c r="I1962" s="10" t="n">
        <x:f>H1962/F1962</x:f>
        <x:v>0.4901694915254237</x:v>
      </x:c>
    </x:row>
    <x:row r="1963" ht="22" customHeight="1">
      <x:c r="A1963" s="11" t="str">
        <x:v>516</x:v>
      </x:c>
      <x:c r="B1963" s="8" t="str">
        <x:v>Adventure Works CRT15 E101 White</x:v>
      </x:c>
      <x:c r="C1963" s="8" t="n">
        <x:v>54</x:v>
      </x:c>
      <x:c r="D1963" s="9" t="n">
        <x:v>90</x:v>
      </x:c>
      <x:c r="E1963" s="9" t="n">
        <x:v>29.82</x:v>
      </x:c>
      <x:c r="F1963" s="8" t="n">
        <x:f>C1963*D1963</x:f>
        <x:v>4860</x:v>
      </x:c>
      <x:c r="G1963" s="8" t="n">
        <x:f>C1963*E1963</x:f>
        <x:v>1610.28</x:v>
      </x:c>
      <x:c r="H1963" s="8" t="n">
        <x:f>F1963-G1963</x:f>
        <x:v>3249.7200000000003</x:v>
      </x:c>
      <x:c r="I1963" s="10" t="n">
        <x:f>H1963/F1963</x:f>
        <x:v>0.6686666666666667</x:v>
      </x:c>
    </x:row>
    <x:row r="1964" ht="22" customHeight="1">
      <x:c r="A1964" s="11" t="str">
        <x:v>517</x:v>
      </x:c>
      <x:c r="B1964" s="8" t="str">
        <x:v>WWI LCD24 X300 Black</x:v>
      </x:c>
      <x:c r="C1964" s="8" t="n">
        <x:v>52</x:v>
      </x:c>
      <x:c r="D1964" s="9" t="n">
        <x:v>819</x:v>
      </x:c>
      <x:c r="E1964" s="9" t="n">
        <x:v>271.35</x:v>
      </x:c>
      <x:c r="F1964" s="8" t="n">
        <x:f>C1964*D1964</x:f>
        <x:v>42588</x:v>
      </x:c>
      <x:c r="G1964" s="8" t="n">
        <x:f>C1964*E1964</x:f>
        <x:v>14110.2</x:v>
      </x:c>
      <x:c r="H1964" s="8" t="n">
        <x:f>F1964-G1964</x:f>
        <x:v>28477.8</x:v>
      </x:c>
      <x:c r="I1964" s="10" t="n">
        <x:f>H1964/F1964</x:f>
        <x:v>0.6686813186813186</x:v>
      </x:c>
    </x:row>
    <x:row r="1965" ht="22" customHeight="1">
      <x:c r="A1965" s="11" t="str">
        <x:v>518</x:v>
      </x:c>
      <x:c r="B1965" s="8" t="str">
        <x:v>WWI LCD24W X300 Black</x:v>
      </x:c>
      <x:c r="C1965" s="8" t="n">
        <x:v>108</x:v>
      </x:c>
      <x:c r="D1965" s="9" t="n">
        <x:v>869</x:v>
      </x:c>
      <x:c r="E1965" s="9" t="n">
        <x:v>287.92</x:v>
      </x:c>
      <x:c r="F1965" s="8" t="n">
        <x:f>C1965*D1965</x:f>
        <x:v>93852</x:v>
      </x:c>
      <x:c r="G1965" s="8" t="n">
        <x:f>C1965*E1965</x:f>
        <x:v>31095.36</x:v>
      </x:c>
      <x:c r="H1965" s="8" t="n">
        <x:f>F1965-G1965</x:f>
        <x:v>62756.64</x:v>
      </x:c>
      <x:c r="I1965" s="10" t="n">
        <x:f>H1965/F1965</x:f>
        <x:v>0.6686766398158803</x:v>
      </x:c>
    </x:row>
    <x:row r="1966" ht="22" customHeight="1">
      <x:c r="A1966" s="11" t="str">
        <x:v>519</x:v>
      </x:c>
      <x:c r="B1966" s="8" t="str">
        <x:v>WWI LCD22 M2002 Black</x:v>
      </x:c>
      <x:c r="C1966" s="8" t="n">
        <x:v>83</x:v>
      </x:c>
      <x:c r="D1966" s="9" t="n">
        <x:v>619</x:v>
      </x:c>
      <x:c r="E1966" s="9" t="n">
        <x:v>205.09</x:v>
      </x:c>
      <x:c r="F1966" s="8" t="n">
        <x:f>C1966*D1966</x:f>
        <x:v>51377</x:v>
      </x:c>
      <x:c r="G1966" s="8" t="n">
        <x:f>C1966*E1966</x:f>
        <x:v>17022.47</x:v>
      </x:c>
      <x:c r="H1966" s="8" t="n">
        <x:f>F1966-G1966</x:f>
        <x:v>34354.53</x:v>
      </x:c>
      <x:c r="I1966" s="10" t="n">
        <x:f>H1966/F1966</x:f>
        <x:v>0.6686752827140549</x:v>
      </x:c>
    </x:row>
    <x:row r="1967" ht="22" customHeight="1">
      <x:c r="A1967" s="11" t="str">
        <x:v>52</x:v>
      </x:c>
      <x:c r="B1967" s="8" t="str">
        <x:v>WWI 2GB Pulse Smart pen M100 Silver</x:v>
      </x:c>
      <x:c r="C1967" s="8" t="n">
        <x:v>217</x:v>
      </x:c>
      <x:c r="D1967" s="9" t="n">
        <x:v>199.95</x:v>
      </x:c>
      <x:c r="E1967" s="9" t="n">
        <x:v>91.95</x:v>
      </x:c>
      <x:c r="F1967" s="8" t="n">
        <x:f>C1967*D1967</x:f>
        <x:v>43389.149999999994</x:v>
      </x:c>
      <x:c r="G1967" s="8" t="n">
        <x:f>C1967*E1967</x:f>
        <x:v>19953.15</x:v>
      </x:c>
      <x:c r="H1967" s="8" t="n">
        <x:f>F1967-G1967</x:f>
        <x:v>23435.999999999993</x:v>
      </x:c>
      <x:c r="I1967" s="10" t="n">
        <x:f>H1967/F1967</x:f>
        <x:v>0.5401350337584395</x:v>
      </x:c>
    </x:row>
    <x:row r="1968" ht="22" customHeight="1">
      <x:c r="A1968" s="11" t="str">
        <x:v>520</x:v>
      </x:c>
      <x:c r="B1968" s="8" t="str">
        <x:v>WWI LCD22W M2003 Black</x:v>
      </x:c>
      <x:c r="C1968" s="8" t="n">
        <x:v>59</x:v>
      </x:c>
      <x:c r="D1968" s="9" t="n">
        <x:v>679</x:v>
      </x:c>
      <x:c r="E1968" s="9" t="n">
        <x:v>224.97</x:v>
      </x:c>
      <x:c r="F1968" s="8" t="n">
        <x:f>C1968*D1968</x:f>
        <x:v>40061</x:v>
      </x:c>
      <x:c r="G1968" s="8" t="n">
        <x:f>C1968*E1968</x:f>
        <x:v>13273.23</x:v>
      </x:c>
      <x:c r="H1968" s="8" t="n">
        <x:f>F1968-G1968</x:f>
        <x:v>26787.77</x:v>
      </x:c>
      <x:c r="I1968" s="10" t="n">
        <x:f>H1968/F1968</x:f>
        <x:v>0.6686745213549338</x:v>
      </x:c>
    </x:row>
    <x:row r="1969" ht="22" customHeight="1">
      <x:c r="A1969" s="11" t="str">
        <x:v>521</x:v>
      </x:c>
      <x:c r="B1969" s="8" t="str">
        <x:v>WWI LCD20 M220 Black</x:v>
      </x:c>
      <x:c r="C1969" s="8" t="n">
        <x:v>91</x:v>
      </x:c>
      <x:c r="D1969" s="9" t="n">
        <x:v>259</x:v>
      </x:c>
      <x:c r="E1969" s="9" t="n">
        <x:v>119.11</x:v>
      </x:c>
      <x:c r="F1969" s="8" t="n">
        <x:f>C1969*D1969</x:f>
        <x:v>23569</x:v>
      </x:c>
      <x:c r="G1969" s="8" t="n">
        <x:f>C1969*E1969</x:f>
        <x:v>10839.01</x:v>
      </x:c>
      <x:c r="H1969" s="8" t="n">
        <x:f>F1969-G1969</x:f>
        <x:v>12729.99</x:v>
      </x:c>
      <x:c r="I1969" s="10" t="n">
        <x:f>H1969/F1969</x:f>
        <x:v>0.5401158301158301</x:v>
      </x:c>
    </x:row>
    <x:row r="1970" ht="22" customHeight="1">
      <x:c r="A1970" s="11" t="str">
        <x:v>522</x:v>
      </x:c>
      <x:c r="B1970" s="8" t="str">
        <x:v>WWI LCD20W M250 Black</x:v>
      </x:c>
      <x:c r="C1970" s="8" t="n">
        <x:v>72</x:v>
      </x:c>
      <x:c r="D1970" s="9" t="n">
        <x:v>279</x:v>
      </x:c>
      <x:c r="E1970" s="9" t="n">
        <x:v>128.3</x:v>
      </x:c>
      <x:c r="F1970" s="8" t="n">
        <x:f>C1970*D1970</x:f>
        <x:v>20088</x:v>
      </x:c>
      <x:c r="G1970" s="8" t="n">
        <x:f>C1970*E1970</x:f>
        <x:v>9237.6</x:v>
      </x:c>
      <x:c r="H1970" s="8" t="n">
        <x:f>F1970-G1970</x:f>
        <x:v>10850.4</x:v>
      </x:c>
      <x:c r="I1970" s="10" t="n">
        <x:f>H1970/F1970</x:f>
        <x:v>0.5401433691756272</x:v>
      </x:c>
    </x:row>
    <x:row r="1971" ht="22" customHeight="1">
      <x:c r="A1971" s="11" t="str">
        <x:v>523</x:v>
      </x:c>
      <x:c r="B1971" s="8" t="str">
        <x:v>WWI LCD19 E107 Black</x:v>
      </x:c>
      <x:c r="C1971" s="8" t="n">
        <x:v>61</x:v>
      </x:c>
      <x:c r="D1971" s="9" t="n">
        <x:v>139</x:v>
      </x:c>
      <x:c r="E1971" s="9" t="n">
        <x:v>70.87</x:v>
      </x:c>
      <x:c r="F1971" s="8" t="n">
        <x:f>C1971*D1971</x:f>
        <x:v>8479</x:v>
      </x:c>
      <x:c r="G1971" s="8" t="n">
        <x:f>C1971*E1971</x:f>
        <x:v>4323.070000000001</x:v>
      </x:c>
      <x:c r="H1971" s="8" t="n">
        <x:f>F1971-G1971</x:f>
        <x:v>4155.929999999999</x:v>
      </x:c>
      <x:c r="I1971" s="10" t="n">
        <x:f>H1971/F1971</x:f>
        <x:v>0.49014388489208627</x:v>
      </x:c>
    </x:row>
    <x:row r="1972" ht="22" customHeight="1">
      <x:c r="A1972" s="11" t="str">
        <x:v>524</x:v>
      </x:c>
      <x:c r="B1972" s="8" t="str">
        <x:v>WWI LCD19W M100 Black</x:v>
      </x:c>
      <x:c r="C1972" s="8" t="n">
        <x:v>55</x:v>
      </x:c>
      <x:c r="D1972" s="9" t="n">
        <x:v>179</x:v>
      </x:c>
      <x:c r="E1972" s="9" t="n">
        <x:v>82.32</x:v>
      </x:c>
      <x:c r="F1972" s="8" t="n">
        <x:f>C1972*D1972</x:f>
        <x:v>9845</x:v>
      </x:c>
      <x:c r="G1972" s="8" t="n">
        <x:f>C1972*E1972</x:f>
        <x:v>4527.599999999999</x:v>
      </x:c>
      <x:c r="H1972" s="8" t="n">
        <x:f>F1972-G1972</x:f>
        <x:v>5317.400000000001</x:v>
      </x:c>
      <x:c r="I1972" s="10" t="n">
        <x:f>H1972/F1972</x:f>
        <x:v>0.5401117318435755</x:v>
      </x:c>
    </x:row>
    <x:row r="1973" ht="22" customHeight="1">
      <x:c r="A1973" s="11" t="str">
        <x:v>525</x:v>
      </x:c>
      <x:c r="B1973" s="8" t="str">
        <x:v>WWI LCD17 E200 Black</x:v>
      </x:c>
      <x:c r="C1973" s="8" t="n">
        <x:v>47</x:v>
      </x:c>
      <x:c r="D1973" s="9" t="n">
        <x:v>99</x:v>
      </x:c>
      <x:c r="E1973" s="9" t="n">
        <x:v>50.47</x:v>
      </x:c>
      <x:c r="F1973" s="8" t="n">
        <x:f>C1973*D1973</x:f>
        <x:v>4653</x:v>
      </x:c>
      <x:c r="G1973" s="8" t="n">
        <x:f>C1973*E1973</x:f>
        <x:v>2372.09</x:v>
      </x:c>
      <x:c r="H1973" s="8" t="n">
        <x:f>F1973-G1973</x:f>
        <x:v>2280.91</x:v>
      </x:c>
      <x:c r="I1973" s="10" t="n">
        <x:f>H1973/F1973</x:f>
        <x:v>0.4902020202020202</x:v>
      </x:c>
    </x:row>
    <x:row r="1974" ht="22" customHeight="1">
      <x:c r="A1974" s="11" t="str">
        <x:v>526</x:v>
      </x:c>
      <x:c r="B1974" s="8" t="str">
        <x:v>WWI LCD17W E200 Black</x:v>
      </x:c>
      <x:c r="C1974" s="8" t="n">
        <x:v>65</x:v>
      </x:c>
      <x:c r="D1974" s="9" t="n">
        <x:v>129</x:v>
      </x:c>
      <x:c r="E1974" s="9" t="n">
        <x:v>65.77</x:v>
      </x:c>
      <x:c r="F1974" s="8" t="n">
        <x:f>C1974*D1974</x:f>
        <x:v>8385</x:v>
      </x:c>
      <x:c r="G1974" s="8" t="n">
        <x:f>C1974*E1974</x:f>
        <x:v>4275.05</x:v>
      </x:c>
      <x:c r="H1974" s="8" t="n">
        <x:f>F1974-G1974</x:f>
        <x:v>4109.95</x:v>
      </x:c>
      <x:c r="I1974" s="10" t="n">
        <x:f>H1974/F1974</x:f>
        <x:v>0.4901550387596899</x:v>
      </x:c>
    </x:row>
    <x:row r="1975" ht="22" customHeight="1">
      <x:c r="A1975" s="11" t="str">
        <x:v>527</x:v>
      </x:c>
      <x:c r="B1975" s="8" t="str">
        <x:v>WWI CRT17 E106 Black</x:v>
      </x:c>
      <x:c r="C1975" s="8" t="n">
        <x:v>33</x:v>
      </x:c>
      <x:c r="D1975" s="9" t="n">
        <x:v>99</x:v>
      </x:c>
      <x:c r="E1975" s="9" t="n">
        <x:v>50.47</x:v>
      </x:c>
      <x:c r="F1975" s="8" t="n">
        <x:f>C1975*D1975</x:f>
        <x:v>3267</x:v>
      </x:c>
      <x:c r="G1975" s="8" t="n">
        <x:f>C1975*E1975</x:f>
        <x:v>1665.51</x:v>
      </x:c>
      <x:c r="H1975" s="8" t="n">
        <x:f>F1975-G1975</x:f>
        <x:v>1601.49</x:v>
      </x:c>
      <x:c r="I1975" s="10" t="n">
        <x:f>H1975/F1975</x:f>
        <x:v>0.4902020202020202</x:v>
      </x:c>
    </x:row>
    <x:row r="1976" ht="22" customHeight="1">
      <x:c r="A1976" s="11" t="str">
        <x:v>528</x:v>
      </x:c>
      <x:c r="B1976" s="8" t="str">
        <x:v>WWI LCD24 X300 White</x:v>
      </x:c>
      <x:c r="C1976" s="8" t="n">
        <x:v>77</x:v>
      </x:c>
      <x:c r="D1976" s="9" t="n">
        <x:v>819</x:v>
      </x:c>
      <x:c r="E1976" s="9" t="n">
        <x:v>271.35</x:v>
      </x:c>
      <x:c r="F1976" s="8" t="n">
        <x:f>C1976*D1976</x:f>
        <x:v>63063</x:v>
      </x:c>
      <x:c r="G1976" s="8" t="n">
        <x:f>C1976*E1976</x:f>
        <x:v>20893.95</x:v>
      </x:c>
      <x:c r="H1976" s="8" t="n">
        <x:f>F1976-G1976</x:f>
        <x:v>42169.05</x:v>
      </x:c>
      <x:c r="I1976" s="10" t="n">
        <x:f>H1976/F1976</x:f>
        <x:v>0.6686813186813187</x:v>
      </x:c>
    </x:row>
    <x:row r="1977" ht="22" customHeight="1">
      <x:c r="A1977" s="11" t="str">
        <x:v>529</x:v>
      </x:c>
      <x:c r="B1977" s="8" t="str">
        <x:v>WWI LCD24W X300 White</x:v>
      </x:c>
      <x:c r="C1977" s="8" t="n">
        <x:v>48</x:v>
      </x:c>
      <x:c r="D1977" s="9" t="n">
        <x:v>869</x:v>
      </x:c>
      <x:c r="E1977" s="9" t="n">
        <x:v>287.92</x:v>
      </x:c>
      <x:c r="F1977" s="8" t="n">
        <x:f>C1977*D1977</x:f>
        <x:v>41712</x:v>
      </x:c>
      <x:c r="G1977" s="8" t="n">
        <x:f>C1977*E1977</x:f>
        <x:v>13820.16</x:v>
      </x:c>
      <x:c r="H1977" s="8" t="n">
        <x:f>F1977-G1977</x:f>
        <x:v>27891.84</x:v>
      </x:c>
      <x:c r="I1977" s="10" t="n">
        <x:f>H1977/F1977</x:f>
        <x:v>0.6686766398158803</x:v>
      </x:c>
    </x:row>
    <x:row r="1978" ht="22" customHeight="1">
      <x:c r="A1978" s="11" t="str">
        <x:v>53</x:v>
      </x:c>
      <x:c r="B1978" s="8" t="str">
        <x:v>WWI 4GB Video Recording Pen X200 Black</x:v>
      </x:c>
      <x:c r="C1978" s="8" t="n">
        <x:v>366</x:v>
      </x:c>
      <x:c r="D1978" s="9" t="n">
        <x:v>296</x:v>
      </x:c>
      <x:c r="E1978" s="9" t="n">
        <x:v>98.07</x:v>
      </x:c>
      <x:c r="F1978" s="8" t="n">
        <x:f>C1978*D1978</x:f>
        <x:v>108336</x:v>
      </x:c>
      <x:c r="G1978" s="8" t="n">
        <x:f>C1978*E1978</x:f>
        <x:v>35893.619999999995</x:v>
      </x:c>
      <x:c r="H1978" s="8" t="n">
        <x:f>F1978-G1978</x:f>
        <x:v>72442.38</x:v>
      </x:c>
      <x:c r="I1978" s="10" t="n">
        <x:f>H1978/F1978</x:f>
        <x:v>0.6686824324324325</x:v>
      </x:c>
    </x:row>
    <x:row r="1979" ht="22" customHeight="1">
      <x:c r="A1979" s="11" t="str">
        <x:v>530</x:v>
      </x:c>
      <x:c r="B1979" s="8" t="str">
        <x:v>WWI LCD22 M2002 White</x:v>
      </x:c>
      <x:c r="C1979" s="8" t="n">
        <x:v>70</x:v>
      </x:c>
      <x:c r="D1979" s="9" t="n">
        <x:v>619</x:v>
      </x:c>
      <x:c r="E1979" s="9" t="n">
        <x:v>205.09</x:v>
      </x:c>
      <x:c r="F1979" s="8" t="n">
        <x:f>C1979*D1979</x:f>
        <x:v>43330</x:v>
      </x:c>
      <x:c r="G1979" s="8" t="n">
        <x:f>C1979*E1979</x:f>
        <x:v>14356.300000000001</x:v>
      </x:c>
      <x:c r="H1979" s="8" t="n">
        <x:f>F1979-G1979</x:f>
        <x:v>28973.699999999997</x:v>
      </x:c>
      <x:c r="I1979" s="10" t="n">
        <x:f>H1979/F1979</x:f>
        <x:v>0.6686752827140549</x:v>
      </x:c>
    </x:row>
    <x:row r="1980" ht="22" customHeight="1">
      <x:c r="A1980" s="11" t="str">
        <x:v>531</x:v>
      </x:c>
      <x:c r="B1980" s="8" t="str">
        <x:v>WWI LCD22W M2003 White</x:v>
      </x:c>
      <x:c r="C1980" s="8" t="n">
        <x:v>65</x:v>
      </x:c>
      <x:c r="D1980" s="9" t="n">
        <x:v>679</x:v>
      </x:c>
      <x:c r="E1980" s="9" t="n">
        <x:v>224.97</x:v>
      </x:c>
      <x:c r="F1980" s="8" t="n">
        <x:f>C1980*D1980</x:f>
        <x:v>44135</x:v>
      </x:c>
      <x:c r="G1980" s="8" t="n">
        <x:f>C1980*E1980</x:f>
        <x:v>14623.05</x:v>
      </x:c>
      <x:c r="H1980" s="8" t="n">
        <x:f>F1980-G1980</x:f>
        <x:v>29511.95</x:v>
      </x:c>
      <x:c r="I1980" s="10" t="n">
        <x:f>H1980/F1980</x:f>
        <x:v>0.6686745213549338</x:v>
      </x:c>
    </x:row>
    <x:row r="1981" ht="22" customHeight="1">
      <x:c r="A1981" s="11" t="str">
        <x:v>532</x:v>
      </x:c>
      <x:c r="B1981" s="8" t="str">
        <x:v>WWI LCD20 M220 White</x:v>
      </x:c>
      <x:c r="C1981" s="8" t="n">
        <x:v>40</x:v>
      </x:c>
      <x:c r="D1981" s="9" t="n">
        <x:v>259</x:v>
      </x:c>
      <x:c r="E1981" s="9" t="n">
        <x:v>119.11</x:v>
      </x:c>
      <x:c r="F1981" s="8" t="n">
        <x:f>C1981*D1981</x:f>
        <x:v>10360</x:v>
      </x:c>
      <x:c r="G1981" s="8" t="n">
        <x:f>C1981*E1981</x:f>
        <x:v>4764.4</x:v>
      </x:c>
      <x:c r="H1981" s="8" t="n">
        <x:f>F1981-G1981</x:f>
        <x:v>5595.6</x:v>
      </x:c>
      <x:c r="I1981" s="10" t="n">
        <x:f>H1981/F1981</x:f>
        <x:v>0.5401158301158302</x:v>
      </x:c>
    </x:row>
    <x:row r="1982" ht="22" customHeight="1">
      <x:c r="A1982" s="11" t="str">
        <x:v>533</x:v>
      </x:c>
      <x:c r="B1982" s="8" t="str">
        <x:v>WWI LCD20W M250 White</x:v>
      </x:c>
      <x:c r="C1982" s="8" t="n">
        <x:v>57</x:v>
      </x:c>
      <x:c r="D1982" s="9" t="n">
        <x:v>279</x:v>
      </x:c>
      <x:c r="E1982" s="9" t="n">
        <x:v>128.3</x:v>
      </x:c>
      <x:c r="F1982" s="8" t="n">
        <x:f>C1982*D1982</x:f>
        <x:v>15903</x:v>
      </x:c>
      <x:c r="G1982" s="8" t="n">
        <x:f>C1982*E1982</x:f>
        <x:v>7313.1</x:v>
      </x:c>
      <x:c r="H1982" s="8" t="n">
        <x:f>F1982-G1982</x:f>
        <x:v>8589.9</x:v>
      </x:c>
      <x:c r="I1982" s="10" t="n">
        <x:f>H1982/F1982</x:f>
        <x:v>0.5401433691756272</x:v>
      </x:c>
    </x:row>
    <x:row r="1983" ht="22" customHeight="1">
      <x:c r="A1983" s="11" t="str">
        <x:v>534</x:v>
      </x:c>
      <x:c r="B1983" s="8" t="str">
        <x:v>WWI LCD19 E107 White</x:v>
      </x:c>
      <x:c r="C1983" s="8" t="n">
        <x:v>55</x:v>
      </x:c>
      <x:c r="D1983" s="9" t="n">
        <x:v>139</x:v>
      </x:c>
      <x:c r="E1983" s="9" t="n">
        <x:v>70.87</x:v>
      </x:c>
      <x:c r="F1983" s="8" t="n">
        <x:f>C1983*D1983</x:f>
        <x:v>7645</x:v>
      </x:c>
      <x:c r="G1983" s="8" t="n">
        <x:f>C1983*E1983</x:f>
        <x:v>3897.8500000000004</x:v>
      </x:c>
      <x:c r="H1983" s="8" t="n">
        <x:f>F1983-G1983</x:f>
        <x:v>3747.1499999999996</x:v>
      </x:c>
      <x:c r="I1983" s="10" t="n">
        <x:f>H1983/F1983</x:f>
        <x:v>0.49014388489208627</x:v>
      </x:c>
    </x:row>
    <x:row r="1984" ht="22" customHeight="1">
      <x:c r="A1984" s="11" t="str">
        <x:v>535</x:v>
      </x:c>
      <x:c r="B1984" s="8" t="str">
        <x:v>WWI LCD19W M100 White</x:v>
      </x:c>
      <x:c r="C1984" s="8" t="n">
        <x:v>66</x:v>
      </x:c>
      <x:c r="D1984" s="9" t="n">
        <x:v>179</x:v>
      </x:c>
      <x:c r="E1984" s="9" t="n">
        <x:v>82.32</x:v>
      </x:c>
      <x:c r="F1984" s="8" t="n">
        <x:f>C1984*D1984</x:f>
        <x:v>11814</x:v>
      </x:c>
      <x:c r="G1984" s="8" t="n">
        <x:f>C1984*E1984</x:f>
        <x:v>5433.12</x:v>
      </x:c>
      <x:c r="H1984" s="8" t="n">
        <x:f>F1984-G1984</x:f>
        <x:v>6380.88</x:v>
      </x:c>
      <x:c r="I1984" s="10" t="n">
        <x:f>H1984/F1984</x:f>
        <x:v>0.5401117318435754</x:v>
      </x:c>
    </x:row>
    <x:row r="1985" ht="22" customHeight="1">
      <x:c r="A1985" s="11" t="str">
        <x:v>536</x:v>
      </x:c>
      <x:c r="B1985" s="8" t="str">
        <x:v>WWI LCD17 E205 White</x:v>
      </x:c>
      <x:c r="C1985" s="8" t="n">
        <x:v>61</x:v>
      </x:c>
      <x:c r="D1985" s="9" t="n">
        <x:v>99</x:v>
      </x:c>
      <x:c r="E1985" s="9" t="n">
        <x:v>50.47</x:v>
      </x:c>
      <x:c r="F1985" s="8" t="n">
        <x:f>C1985*D1985</x:f>
        <x:v>6039</x:v>
      </x:c>
      <x:c r="G1985" s="8" t="n">
        <x:f>C1985*E1985</x:f>
        <x:v>3078.67</x:v>
      </x:c>
      <x:c r="H1985" s="8" t="n">
        <x:f>F1985-G1985</x:f>
        <x:v>2960.33</x:v>
      </x:c>
      <x:c r="I1985" s="10" t="n">
        <x:f>H1985/F1985</x:f>
        <x:v>0.4902020202020202</x:v>
      </x:c>
    </x:row>
    <x:row r="1986" ht="22" customHeight="1">
      <x:c r="A1986" s="11" t="str">
        <x:v>537</x:v>
      </x:c>
      <x:c r="B1986" s="8" t="str">
        <x:v>WWI LCD17W E200 White</x:v>
      </x:c>
      <x:c r="C1986" s="8" t="n">
        <x:v>58</x:v>
      </x:c>
      <x:c r="D1986" s="9" t="n">
        <x:v>129</x:v>
      </x:c>
      <x:c r="E1986" s="9" t="n">
        <x:v>65.77</x:v>
      </x:c>
      <x:c r="F1986" s="8" t="n">
        <x:f>C1986*D1986</x:f>
        <x:v>7482</x:v>
      </x:c>
      <x:c r="G1986" s="8" t="n">
        <x:f>C1986*E1986</x:f>
        <x:v>3814.66</x:v>
      </x:c>
      <x:c r="H1986" s="8" t="n">
        <x:f>F1986-G1986</x:f>
        <x:v>3667.34</x:v>
      </x:c>
      <x:c r="I1986" s="10" t="n">
        <x:f>H1986/F1986</x:f>
        <x:v>0.49015503875968996</x:v>
      </x:c>
    </x:row>
    <x:row r="1987" ht="22" customHeight="1">
      <x:c r="A1987" s="11" t="str">
        <x:v>538</x:v>
      </x:c>
      <x:c r="B1987" s="8" t="str">
        <x:v>WWI CRT17 E106 White</x:v>
      </x:c>
      <x:c r="C1987" s="8" t="n">
        <x:v>44</x:v>
      </x:c>
      <x:c r="D1987" s="9" t="n">
        <x:v>99</x:v>
      </x:c>
      <x:c r="E1987" s="9" t="n">
        <x:v>50.47</x:v>
      </x:c>
      <x:c r="F1987" s="8" t="n">
        <x:f>C1987*D1987</x:f>
        <x:v>4356</x:v>
      </x:c>
      <x:c r="G1987" s="8" t="n">
        <x:f>C1987*E1987</x:f>
        <x:v>2220.68</x:v>
      </x:c>
      <x:c r="H1987" s="8" t="n">
        <x:f>F1987-G1987</x:f>
        <x:v>2135.32</x:v>
      </x:c>
      <x:c r="I1987" s="10" t="n">
        <x:f>H1987/F1987</x:f>
        <x:v>0.49020202020202025</x:v>
      </x:c>
    </x:row>
    <x:row r="1988" ht="22" customHeight="1">
      <x:c r="A1988" s="11" t="str">
        <x:v>539</x:v>
      </x:c>
      <x:c r="B1988" s="8" t="str">
        <x:v>Proseware Projector 1080p LCD86 Black</x:v>
      </x:c>
      <x:c r="C1988" s="8" t="n">
        <x:v>71</x:v>
      </x:c>
      <x:c r="D1988" s="9" t="n">
        <x:v>2295</x:v>
      </x:c>
      <x:c r="E1988" s="9" t="n">
        <x:v>760.38</x:v>
      </x:c>
      <x:c r="F1988" s="8" t="n">
        <x:f>C1988*D1988</x:f>
        <x:v>162945</x:v>
      </x:c>
      <x:c r="G1988" s="8" t="n">
        <x:f>C1988*E1988</x:f>
        <x:v>53986.98</x:v>
      </x:c>
      <x:c r="H1988" s="8" t="n">
        <x:f>F1988-G1988</x:f>
        <x:v>108958.01999999999</x:v>
      </x:c>
      <x:c r="I1988" s="10" t="n">
        <x:f>H1988/F1988</x:f>
        <x:v>0.6686797385620914</x:v>
      </x:c>
    </x:row>
    <x:row r="1989" ht="22" customHeight="1">
      <x:c r="A1989" s="11" t="str">
        <x:v>54</x:v>
      </x:c>
      <x:c r="B1989" s="8" t="str">
        <x:v>WWI 4GB Video Recording Pen X200 Red</x:v>
      </x:c>
      <x:c r="C1989" s="8" t="n">
        <x:v>328</x:v>
      </x:c>
      <x:c r="D1989" s="9" t="n">
        <x:v>296</x:v>
      </x:c>
      <x:c r="E1989" s="9" t="n">
        <x:v>98.07</x:v>
      </x:c>
      <x:c r="F1989" s="8" t="n">
        <x:f>C1989*D1989</x:f>
        <x:v>97088</x:v>
      </x:c>
      <x:c r="G1989" s="8" t="n">
        <x:f>C1989*E1989</x:f>
        <x:v>32166.96</x:v>
      </x:c>
      <x:c r="H1989" s="8" t="n">
        <x:f>F1989-G1989</x:f>
        <x:v>64921.04</x:v>
      </x:c>
      <x:c r="I1989" s="10" t="n">
        <x:f>H1989/F1989</x:f>
        <x:v>0.6686824324324324</x:v>
      </x:c>
    </x:row>
    <x:row r="1990" ht="22" customHeight="1">
      <x:c r="A1990" s="11" t="str">
        <x:v>540</x:v>
      </x:c>
      <x:c r="B1990" s="8" t="str">
        <x:v>Proseware Projector 1080p DLP86 Black</x:v>
      </x:c>
      <x:c r="C1990" s="8" t="n">
        <x:v>76</x:v>
      </x:c>
      <x:c r="D1990" s="9" t="n">
        <x:v>2499</x:v>
      </x:c>
      <x:c r="E1990" s="9" t="n">
        <x:v>827.97</x:v>
      </x:c>
      <x:c r="F1990" s="8" t="n">
        <x:f>C1990*D1990</x:f>
        <x:v>189924</x:v>
      </x:c>
      <x:c r="G1990" s="8" t="n">
        <x:f>C1990*E1990</x:f>
        <x:v>62925.72</x:v>
      </x:c>
      <x:c r="H1990" s="8" t="n">
        <x:f>F1990-G1990</x:f>
        <x:v>126998.28</x:v>
      </x:c>
      <x:c r="I1990" s="10" t="n">
        <x:f>H1990/F1990</x:f>
        <x:v>0.6686794717887155</x:v>
      </x:c>
    </x:row>
    <x:row r="1991" ht="22" customHeight="1">
      <x:c r="A1991" s="11" t="str">
        <x:v>541</x:v>
      </x:c>
      <x:c r="B1991" s="8" t="str">
        <x:v>Proseware Projector 720p LCD56 Black</x:v>
      </x:c>
      <x:c r="C1991" s="8" t="n">
        <x:v>28</x:v>
      </x:c>
      <x:c r="D1991" s="9" t="n">
        <x:v>699</x:v>
      </x:c>
      <x:c r="E1991" s="9" t="n">
        <x:v>321.44</x:v>
      </x:c>
      <x:c r="F1991" s="8" t="n">
        <x:f>C1991*D1991</x:f>
        <x:v>19572</x:v>
      </x:c>
      <x:c r="G1991" s="8" t="n">
        <x:f>C1991*E1991</x:f>
        <x:v>9000.32</x:v>
      </x:c>
      <x:c r="H1991" s="8" t="n">
        <x:f>F1991-G1991</x:f>
        <x:v>10571.68</x:v>
      </x:c>
      <x:c r="I1991" s="10" t="n">
        <x:f>H1991/F1991</x:f>
        <x:v>0.5401430615164521</x:v>
      </x:c>
    </x:row>
    <x:row r="1992" ht="22" customHeight="1">
      <x:c r="A1992" s="11" t="str">
        <x:v>542</x:v>
      </x:c>
      <x:c r="B1992" s="8" t="str">
        <x:v>Proseware Projector 720p DLP56 Black</x:v>
      </x:c>
      <x:c r="C1992" s="8" t="n">
        <x:v>33</x:v>
      </x:c>
      <x:c r="D1992" s="9" t="n">
        <x:v>999</x:v>
      </x:c>
      <x:c r="E1992" s="9" t="n">
        <x:v>459.4</x:v>
      </x:c>
      <x:c r="F1992" s="8" t="n">
        <x:f>C1992*D1992</x:f>
        <x:v>32967</x:v>
      </x:c>
      <x:c r="G1992" s="8" t="n">
        <x:f>C1992*E1992</x:f>
        <x:v>15160.199999999999</x:v>
      </x:c>
      <x:c r="H1992" s="8" t="n">
        <x:f>F1992-G1992</x:f>
        <x:v>17806.800000000003</x:v>
      </x:c>
      <x:c r="I1992" s="10" t="n">
        <x:f>H1992/F1992</x:f>
        <x:v>0.5401401401401402</x:v>
      </x:c>
    </x:row>
    <x:row r="1993" ht="22" customHeight="1">
      <x:c r="A1993" s="11" t="str">
        <x:v>543</x:v>
      </x:c>
      <x:c r="B1993" s="8" t="str">
        <x:v>Proseware Projector 480p LCD12 Black</x:v>
      </x:c>
      <x:c r="C1993" s="8" t="n">
        <x:v>50</x:v>
      </x:c>
      <x:c r="D1993" s="9" t="n">
        <x:v>229</x:v>
      </x:c>
      <x:c r="E1993" s="9" t="n">
        <x:v>116.75</x:v>
      </x:c>
      <x:c r="F1993" s="8" t="n">
        <x:f>C1993*D1993</x:f>
        <x:v>11450</x:v>
      </x:c>
      <x:c r="G1993" s="8" t="n">
        <x:f>C1993*E1993</x:f>
        <x:v>5837.5</x:v>
      </x:c>
      <x:c r="H1993" s="8" t="n">
        <x:f>F1993-G1993</x:f>
        <x:v>5612.5</x:v>
      </x:c>
      <x:c r="I1993" s="10" t="n">
        <x:f>H1993/F1993</x:f>
        <x:v>0.490174672489083</x:v>
      </x:c>
    </x:row>
    <x:row r="1994" ht="22" customHeight="1">
      <x:c r="A1994" s="11" t="str">
        <x:v>544</x:v>
      </x:c>
      <x:c r="B1994" s="8" t="str">
        <x:v>Proseware Projector 480p DLP12 Black</x:v>
      </x:c>
      <x:c r="C1994" s="8" t="n">
        <x:v>37</x:v>
      </x:c>
      <x:c r="D1994" s="9" t="n">
        <x:v>499</x:v>
      </x:c>
      <x:c r="E1994" s="9" t="n">
        <x:v>254.4</x:v>
      </x:c>
      <x:c r="F1994" s="8" t="n">
        <x:f>C1994*D1994</x:f>
        <x:v>18463</x:v>
      </x:c>
      <x:c r="G1994" s="8" t="n">
        <x:f>C1994*E1994</x:f>
        <x:v>9412.800000000001</x:v>
      </x:c>
      <x:c r="H1994" s="8" t="n">
        <x:f>F1994-G1994</x:f>
        <x:v>9050.199999999999</x:v>
      </x:c>
      <x:c r="I1994" s="10" t="n">
        <x:f>H1994/F1994</x:f>
        <x:v>0.49018036072144283</x:v>
      </x:c>
    </x:row>
    <x:row r="1995" ht="22" customHeight="1">
      <x:c r="A1995" s="11" t="str">
        <x:v>545</x:v>
      </x:c>
      <x:c r="B1995" s="8" t="str">
        <x:v>Proseware Screen 125in X1609 Black</x:v>
      </x:c>
      <x:c r="C1995" s="8" t="n">
        <x:v>60</x:v>
      </x:c>
      <x:c r="D1995" s="9" t="n">
        <x:v>459</x:v>
      </x:c>
      <x:c r="E1995" s="9" t="n">
        <x:v>152.08</x:v>
      </x:c>
      <x:c r="F1995" s="8" t="n">
        <x:f>C1995*D1995</x:f>
        <x:v>27540</x:v>
      </x:c>
      <x:c r="G1995" s="8" t="n">
        <x:f>C1995*E1995</x:f>
        <x:v>9124.800000000001</x:v>
      </x:c>
      <x:c r="H1995" s="8" t="n">
        <x:f>F1995-G1995</x:f>
        <x:v>18415.199999999997</x:v>
      </x:c>
      <x:c r="I1995" s="10" t="n">
        <x:f>H1995/F1995</x:f>
        <x:v>0.6686710239651416</x:v>
      </x:c>
    </x:row>
    <x:row r="1996" ht="22" customHeight="1">
      <x:c r="A1996" s="11" t="str">
        <x:v>546</x:v>
      </x:c>
      <x:c r="B1996" s="8" t="str">
        <x:v>Proseware Screen 113in X1609 Black</x:v>
      </x:c>
      <x:c r="C1996" s="8" t="n">
        <x:v>31</x:v>
      </x:c>
      <x:c r="D1996" s="9" t="n">
        <x:v>299</x:v>
      </x:c>
      <x:c r="E1996" s="9" t="n">
        <x:v>99.06</x:v>
      </x:c>
      <x:c r="F1996" s="8" t="n">
        <x:f>C1996*D1996</x:f>
        <x:v>9269</x:v>
      </x:c>
      <x:c r="G1996" s="8" t="n">
        <x:f>C1996*E1996</x:f>
        <x:v>3070.86</x:v>
      </x:c>
      <x:c r="H1996" s="8" t="n">
        <x:f>F1996-G1996</x:f>
        <x:v>6198.139999999999</x:v>
      </x:c>
      <x:c r="I1996" s="10" t="n">
        <x:f>H1996/F1996</x:f>
        <x:v>0.668695652173913</x:v>
      </x:c>
    </x:row>
    <x:row r="1997" ht="22" customHeight="1">
      <x:c r="A1997" s="11" t="str">
        <x:v>547</x:v>
      </x:c>
      <x:c r="B1997" s="8" t="str">
        <x:v>Proseware Screen 106in M1609 Black</x:v>
      </x:c>
      <x:c r="C1997" s="8" t="n">
        <x:v>80</x:v>
      </x:c>
      <x:c r="D1997" s="9" t="n">
        <x:v>251</x:v>
      </x:c>
      <x:c r="E1997" s="9" t="n">
        <x:v>115.43</x:v>
      </x:c>
      <x:c r="F1997" s="8" t="n">
        <x:f>C1997*D1997</x:f>
        <x:v>20080</x:v>
      </x:c>
      <x:c r="G1997" s="8" t="n">
        <x:f>C1997*E1997</x:f>
        <x:v>9234.400000000001</x:v>
      </x:c>
      <x:c r="H1997" s="8" t="n">
        <x:f>F1997-G1997</x:f>
        <x:v>10845.599999999999</x:v>
      </x:c>
      <x:c r="I1997" s="10" t="n">
        <x:f>H1997/F1997</x:f>
        <x:v>0.5401195219123506</x:v>
      </x:c>
    </x:row>
    <x:row r="1998" ht="22" customHeight="1">
      <x:c r="A1998" s="11" t="str">
        <x:v>548</x:v>
      </x:c>
      <x:c r="B1998" s="8" t="str">
        <x:v>Proseware Screen 100in M1609 Black</x:v>
      </x:c>
      <x:c r="C1998" s="8" t="n">
        <x:v>71</x:v>
      </x:c>
      <x:c r="D1998" s="9" t="n">
        <x:v>190</x:v>
      </x:c>
      <x:c r="E1998" s="9" t="n">
        <x:v>87.37</x:v>
      </x:c>
      <x:c r="F1998" s="8" t="n">
        <x:f>C1998*D1998</x:f>
        <x:v>13490</x:v>
      </x:c>
      <x:c r="G1998" s="8" t="n">
        <x:f>C1998*E1998</x:f>
        <x:v>6203.27</x:v>
      </x:c>
      <x:c r="H1998" s="8" t="n">
        <x:f>F1998-G1998</x:f>
        <x:v>7286.73</x:v>
      </x:c>
      <x:c r="I1998" s="10" t="n">
        <x:f>H1998/F1998</x:f>
        <x:v>0.5401578947368421</x:v>
      </x:c>
    </x:row>
    <x:row r="1999" ht="22" customHeight="1">
      <x:c r="A1999" s="11" t="str">
        <x:v>549</x:v>
      </x:c>
      <x:c r="B1999" s="8" t="str">
        <x:v>Proseware Screen 85in E1010 Black</x:v>
      </x:c>
      <x:c r="C1999" s="8" t="n">
        <x:v>39</x:v>
      </x:c>
      <x:c r="D1999" s="9" t="n">
        <x:v>139</x:v>
      </x:c>
      <x:c r="E1999" s="9" t="n">
        <x:v>70.87</x:v>
      </x:c>
      <x:c r="F1999" s="8" t="n">
        <x:f>C1999*D1999</x:f>
        <x:v>5421</x:v>
      </x:c>
      <x:c r="G1999" s="8" t="n">
        <x:f>C1999*E1999</x:f>
        <x:v>2763.9300000000003</x:v>
      </x:c>
      <x:c r="H1999" s="8" t="n">
        <x:f>F1999-G1999</x:f>
        <x:v>2657.0699999999997</x:v>
      </x:c>
      <x:c r="I1999" s="10" t="n">
        <x:f>H1999/F1999</x:f>
        <x:v>0.49014388489208627</x:v>
      </x:c>
    </x:row>
    <x:row r="2000" ht="22" customHeight="1">
      <x:c r="A2000" s="11" t="str">
        <x:v>55</x:v>
      </x:c>
      <x:c r="B2000" s="8" t="str">
        <x:v>WWI 4GB Video Recording Pen X200 Pink</x:v>
      </x:c>
      <x:c r="C2000" s="8" t="n">
        <x:v>304</x:v>
      </x:c>
      <x:c r="D2000" s="9" t="n">
        <x:v>296</x:v>
      </x:c>
      <x:c r="E2000" s="9" t="n">
        <x:v>98.07</x:v>
      </x:c>
      <x:c r="F2000" s="8" t="n">
        <x:f>C2000*D2000</x:f>
        <x:v>89984</x:v>
      </x:c>
      <x:c r="G2000" s="8" t="n">
        <x:f>C2000*E2000</x:f>
        <x:v>29813.28</x:v>
      </x:c>
      <x:c r="H2000" s="8" t="n">
        <x:f>F2000-G2000</x:f>
        <x:v>60170.72</x:v>
      </x:c>
      <x:c r="I2000" s="10" t="n">
        <x:f>H2000/F2000</x:f>
        <x:v>0.6686824324324324</x:v>
      </x:c>
    </x:row>
    <x:row r="2001" ht="22" customHeight="1">
      <x:c r="A2001" s="11" t="str">
        <x:v>550</x:v>
      </x:c>
      <x:c r="B2001" s="8" t="str">
        <x:v>Proseware Screen 80in E1010 Black</x:v>
      </x:c>
      <x:c r="C2001" s="8" t="n">
        <x:v>36</x:v>
      </x:c>
      <x:c r="D2001" s="9" t="n">
        <x:v>109</x:v>
      </x:c>
      <x:c r="E2001" s="9" t="n">
        <x:v>55.57</x:v>
      </x:c>
      <x:c r="F2001" s="8" t="n">
        <x:f>C2001*D2001</x:f>
        <x:v>3924</x:v>
      </x:c>
      <x:c r="G2001" s="8" t="n">
        <x:f>C2001*E2001</x:f>
        <x:v>2000.52</x:v>
      </x:c>
      <x:c r="H2001" s="8" t="n">
        <x:f>F2001-G2001</x:f>
        <x:v>1923.48</x:v>
      </x:c>
      <x:c r="I2001" s="10" t="n">
        <x:f>H2001/F2001</x:f>
        <x:v>0.49018348623853214</x:v>
      </x:c>
    </x:row>
    <x:row r="2002" ht="22" customHeight="1">
      <x:c r="A2002" s="11" t="str">
        <x:v>551</x:v>
      </x:c>
      <x:c r="B2002" s="8" t="str">
        <x:v>Proseware Projector 1080p LCD86 White</x:v>
      </x:c>
      <x:c r="C2002" s="8" t="n">
        <x:v>64</x:v>
      </x:c>
      <x:c r="D2002" s="9" t="n">
        <x:v>2295</x:v>
      </x:c>
      <x:c r="E2002" s="9" t="n">
        <x:v>760.38</x:v>
      </x:c>
      <x:c r="F2002" s="8" t="n">
        <x:f>C2002*D2002</x:f>
        <x:v>146880</x:v>
      </x:c>
      <x:c r="G2002" s="8" t="n">
        <x:f>C2002*E2002</x:f>
        <x:v>48664.32</x:v>
      </x:c>
      <x:c r="H2002" s="8" t="n">
        <x:f>F2002-G2002</x:f>
        <x:v>98215.68</x:v>
      </x:c>
      <x:c r="I2002" s="10" t="n">
        <x:f>H2002/F2002</x:f>
        <x:v>0.6686797385620915</x:v>
      </x:c>
    </x:row>
    <x:row r="2003" ht="22" customHeight="1">
      <x:c r="A2003" s="11" t="str">
        <x:v>552</x:v>
      </x:c>
      <x:c r="B2003" s="8" t="str">
        <x:v>Proseware Projector 1080p DLP86 White</x:v>
      </x:c>
      <x:c r="C2003" s="8" t="n">
        <x:v>43</x:v>
      </x:c>
      <x:c r="D2003" s="9" t="n">
        <x:v>2499</x:v>
      </x:c>
      <x:c r="E2003" s="9" t="n">
        <x:v>827.97</x:v>
      </x:c>
      <x:c r="F2003" s="8" t="n">
        <x:f>C2003*D2003</x:f>
        <x:v>107457</x:v>
      </x:c>
      <x:c r="G2003" s="8" t="n">
        <x:f>C2003*E2003</x:f>
        <x:v>35602.71</x:v>
      </x:c>
      <x:c r="H2003" s="8" t="n">
        <x:f>F2003-G2003</x:f>
        <x:v>71854.29000000001</x:v>
      </x:c>
      <x:c r="I2003" s="10" t="n">
        <x:f>H2003/F2003</x:f>
        <x:v>0.6686794717887156</x:v>
      </x:c>
    </x:row>
    <x:row r="2004" ht="22" customHeight="1">
      <x:c r="A2004" s="11" t="str">
        <x:v>553</x:v>
      </x:c>
      <x:c r="B2004" s="8" t="str">
        <x:v>Proseware Projector 720p LCD56 White</x:v>
      </x:c>
      <x:c r="C2004" s="8" t="n">
        <x:v>43</x:v>
      </x:c>
      <x:c r="D2004" s="9" t="n">
        <x:v>699</x:v>
      </x:c>
      <x:c r="E2004" s="9" t="n">
        <x:v>321.44</x:v>
      </x:c>
      <x:c r="F2004" s="8" t="n">
        <x:f>C2004*D2004</x:f>
        <x:v>30057</x:v>
      </x:c>
      <x:c r="G2004" s="8" t="n">
        <x:f>C2004*E2004</x:f>
        <x:v>13821.92</x:v>
      </x:c>
      <x:c r="H2004" s="8" t="n">
        <x:f>F2004-G2004</x:f>
        <x:v>16235.08</x:v>
      </x:c>
      <x:c r="I2004" s="10" t="n">
        <x:f>H2004/F2004</x:f>
        <x:v>0.5401430615164521</x:v>
      </x:c>
    </x:row>
    <x:row r="2005" ht="22" customHeight="1">
      <x:c r="A2005" s="11" t="str">
        <x:v>554</x:v>
      </x:c>
      <x:c r="B2005" s="8" t="str">
        <x:v>Proseware Projector 720p DLP56 White</x:v>
      </x:c>
      <x:c r="C2005" s="8" t="n">
        <x:v>34</x:v>
      </x:c>
      <x:c r="D2005" s="9" t="n">
        <x:v>999</x:v>
      </x:c>
      <x:c r="E2005" s="9" t="n">
        <x:v>459.4</x:v>
      </x:c>
      <x:c r="F2005" s="8" t="n">
        <x:f>C2005*D2005</x:f>
        <x:v>33966</x:v>
      </x:c>
      <x:c r="G2005" s="8" t="n">
        <x:f>C2005*E2005</x:f>
        <x:v>15619.599999999999</x:v>
      </x:c>
      <x:c r="H2005" s="8" t="n">
        <x:f>F2005-G2005</x:f>
        <x:v>18346.4</x:v>
      </x:c>
      <x:c r="I2005" s="10" t="n">
        <x:f>H2005/F2005</x:f>
        <x:v>0.5401401401401402</x:v>
      </x:c>
    </x:row>
    <x:row r="2006" ht="22" customHeight="1">
      <x:c r="A2006" s="11" t="str">
        <x:v>555</x:v>
      </x:c>
      <x:c r="B2006" s="8" t="str">
        <x:v>Proseware Projector 480p LCD12 White</x:v>
      </x:c>
      <x:c r="C2006" s="8" t="n">
        <x:v>46</x:v>
      </x:c>
      <x:c r="D2006" s="9" t="n">
        <x:v>229</x:v>
      </x:c>
      <x:c r="E2006" s="9" t="n">
        <x:v>116.75</x:v>
      </x:c>
      <x:c r="F2006" s="8" t="n">
        <x:f>C2006*D2006</x:f>
        <x:v>10534</x:v>
      </x:c>
      <x:c r="G2006" s="8" t="n">
        <x:f>C2006*E2006</x:f>
        <x:v>5370.5</x:v>
      </x:c>
      <x:c r="H2006" s="8" t="n">
        <x:f>F2006-G2006</x:f>
        <x:v>5163.5</x:v>
      </x:c>
      <x:c r="I2006" s="10" t="n">
        <x:f>H2006/F2006</x:f>
        <x:v>0.490174672489083</x:v>
      </x:c>
    </x:row>
    <x:row r="2007" ht="22" customHeight="1">
      <x:c r="A2007" s="11" t="str">
        <x:v>556</x:v>
      </x:c>
      <x:c r="B2007" s="8" t="str">
        <x:v>Proseware Projector 480p DLP12 White</x:v>
      </x:c>
      <x:c r="C2007" s="8" t="n">
        <x:v>47</x:v>
      </x:c>
      <x:c r="D2007" s="9" t="n">
        <x:v>499</x:v>
      </x:c>
      <x:c r="E2007" s="9" t="n">
        <x:v>254.4</x:v>
      </x:c>
      <x:c r="F2007" s="8" t="n">
        <x:f>C2007*D2007</x:f>
        <x:v>23453</x:v>
      </x:c>
      <x:c r="G2007" s="8" t="n">
        <x:f>C2007*E2007</x:f>
        <x:v>11956.800000000001</x:v>
      </x:c>
      <x:c r="H2007" s="8" t="n">
        <x:f>F2007-G2007</x:f>
        <x:v>11496.199999999999</x:v>
      </x:c>
      <x:c r="I2007" s="10" t="n">
        <x:f>H2007/F2007</x:f>
        <x:v>0.49018036072144283</x:v>
      </x:c>
    </x:row>
    <x:row r="2008" ht="22" customHeight="1">
      <x:c r="A2008" s="11" t="str">
        <x:v>557</x:v>
      </x:c>
      <x:c r="B2008" s="8" t="str">
        <x:v>Proseware Screen 125in X1609 White</x:v>
      </x:c>
      <x:c r="C2008" s="8" t="n">
        <x:v>41</x:v>
      </x:c>
      <x:c r="D2008" s="9" t="n">
        <x:v>459</x:v>
      </x:c>
      <x:c r="E2008" s="9" t="n">
        <x:v>152.08</x:v>
      </x:c>
      <x:c r="F2008" s="8" t="n">
        <x:f>C2008*D2008</x:f>
        <x:v>18819</x:v>
      </x:c>
      <x:c r="G2008" s="8" t="n">
        <x:f>C2008*E2008</x:f>
        <x:v>6235.280000000001</x:v>
      </x:c>
      <x:c r="H2008" s="8" t="n">
        <x:f>F2008-G2008</x:f>
        <x:v>12583.72</x:v>
      </x:c>
      <x:c r="I2008" s="10" t="n">
        <x:f>H2008/F2008</x:f>
        <x:v>0.6686710239651416</x:v>
      </x:c>
    </x:row>
    <x:row r="2009" ht="22" customHeight="1">
      <x:c r="A2009" s="11" t="str">
        <x:v>558</x:v>
      </x:c>
      <x:c r="B2009" s="8" t="str">
        <x:v>Proseware Screen 113in X1609 White</x:v>
      </x:c>
      <x:c r="C2009" s="8" t="n">
        <x:v>38</x:v>
      </x:c>
      <x:c r="D2009" s="9" t="n">
        <x:v>299</x:v>
      </x:c>
      <x:c r="E2009" s="9" t="n">
        <x:v>99.06</x:v>
      </x:c>
      <x:c r="F2009" s="8" t="n">
        <x:f>C2009*D2009</x:f>
        <x:v>11362</x:v>
      </x:c>
      <x:c r="G2009" s="8" t="n">
        <x:f>C2009*E2009</x:f>
        <x:v>3764.28</x:v>
      </x:c>
      <x:c r="H2009" s="8" t="n">
        <x:f>F2009-G2009</x:f>
        <x:v>7597.719999999999</x:v>
      </x:c>
      <x:c r="I2009" s="10" t="n">
        <x:f>H2009/F2009</x:f>
        <x:v>0.668695652173913</x:v>
      </x:c>
    </x:row>
    <x:row r="2010" ht="22" customHeight="1">
      <x:c r="A2010" s="11" t="str">
        <x:v>559</x:v>
      </x:c>
      <x:c r="B2010" s="8" t="str">
        <x:v>Proseware Screen 106in M1609 White</x:v>
      </x:c>
      <x:c r="C2010" s="8" t="n">
        <x:v>25</x:v>
      </x:c>
      <x:c r="D2010" s="9" t="n">
        <x:v>251</x:v>
      </x:c>
      <x:c r="E2010" s="9" t="n">
        <x:v>115.43</x:v>
      </x:c>
      <x:c r="F2010" s="8" t="n">
        <x:f>C2010*D2010</x:f>
        <x:v>6275</x:v>
      </x:c>
      <x:c r="G2010" s="8" t="n">
        <x:f>C2010*E2010</x:f>
        <x:v>2885.75</x:v>
      </x:c>
      <x:c r="H2010" s="8" t="n">
        <x:f>F2010-G2010</x:f>
        <x:v>3389.25</x:v>
      </x:c>
      <x:c r="I2010" s="10" t="n">
        <x:f>H2010/F2010</x:f>
        <x:v>0.5401195219123506</x:v>
      </x:c>
    </x:row>
    <x:row r="2011" ht="22" customHeight="1">
      <x:c r="A2011" s="11" t="str">
        <x:v>56</x:v>
      </x:c>
      <x:c r="B2011" s="8" t="str">
        <x:v>WWI 4GB Video Recording Pen X200 Yellow</x:v>
      </x:c>
      <x:c r="C2011" s="8" t="n">
        <x:v>370</x:v>
      </x:c>
      <x:c r="D2011" s="9" t="n">
        <x:v>296</x:v>
      </x:c>
      <x:c r="E2011" s="9" t="n">
        <x:v>98.07</x:v>
      </x:c>
      <x:c r="F2011" s="8" t="n">
        <x:f>C2011*D2011</x:f>
        <x:v>109520</x:v>
      </x:c>
      <x:c r="G2011" s="8" t="n">
        <x:f>C2011*E2011</x:f>
        <x:v>36285.899999999994</x:v>
      </x:c>
      <x:c r="H2011" s="8" t="n">
        <x:f>F2011-G2011</x:f>
        <x:v>73234.1</x:v>
      </x:c>
      <x:c r="I2011" s="10" t="n">
        <x:f>H2011/F2011</x:f>
        <x:v>0.6686824324324325</x:v>
      </x:c>
    </x:row>
    <x:row r="2012" ht="22" customHeight="1">
      <x:c r="A2012" s="11" t="str">
        <x:v>560</x:v>
      </x:c>
      <x:c r="B2012" s="8" t="str">
        <x:v>Proseware Screen 100in M1609 White</x:v>
      </x:c>
      <x:c r="C2012" s="8" t="n">
        <x:v>54</x:v>
      </x:c>
      <x:c r="D2012" s="9" t="n">
        <x:v>190</x:v>
      </x:c>
      <x:c r="E2012" s="9" t="n">
        <x:v>87.37</x:v>
      </x:c>
      <x:c r="F2012" s="8" t="n">
        <x:f>C2012*D2012</x:f>
        <x:v>10260</x:v>
      </x:c>
      <x:c r="G2012" s="8" t="n">
        <x:f>C2012*E2012</x:f>
        <x:v>4717.9800000000005</x:v>
      </x:c>
      <x:c r="H2012" s="8" t="n">
        <x:f>F2012-G2012</x:f>
        <x:v>5542.0199999999995</x:v>
      </x:c>
      <x:c r="I2012" s="10" t="n">
        <x:f>H2012/F2012</x:f>
        <x:v>0.5401578947368421</x:v>
      </x:c>
    </x:row>
    <x:row r="2013" ht="22" customHeight="1">
      <x:c r="A2013" s="11" t="str">
        <x:v>561</x:v>
      </x:c>
      <x:c r="B2013" s="8" t="str">
        <x:v>Proseware Screen 85in E1010 White</x:v>
      </x:c>
      <x:c r="C2013" s="8" t="n">
        <x:v>54</x:v>
      </x:c>
      <x:c r="D2013" s="9" t="n">
        <x:v>139</x:v>
      </x:c>
      <x:c r="E2013" s="9" t="n">
        <x:v>70.87</x:v>
      </x:c>
      <x:c r="F2013" s="8" t="n">
        <x:f>C2013*D2013</x:f>
        <x:v>7506</x:v>
      </x:c>
      <x:c r="G2013" s="8" t="n">
        <x:f>C2013*E2013</x:f>
        <x:v>3826.9800000000005</x:v>
      </x:c>
      <x:c r="H2013" s="8" t="n">
        <x:f>F2013-G2013</x:f>
        <x:v>3679.0199999999995</x:v>
      </x:c>
      <x:c r="I2013" s="10" t="n">
        <x:f>H2013/F2013</x:f>
        <x:v>0.49014388489208627</x:v>
      </x:c>
    </x:row>
    <x:row r="2014" ht="22" customHeight="1">
      <x:c r="A2014" s="11" t="str">
        <x:v>562</x:v>
      </x:c>
      <x:c r="B2014" s="8" t="str">
        <x:v>Proseware Screen 80in E1010 White</x:v>
      </x:c>
      <x:c r="C2014" s="8" t="n">
        <x:v>50</x:v>
      </x:c>
      <x:c r="D2014" s="9" t="n">
        <x:v>109</x:v>
      </x:c>
      <x:c r="E2014" s="9" t="n">
        <x:v>55.57</x:v>
      </x:c>
      <x:c r="F2014" s="8" t="n">
        <x:f>C2014*D2014</x:f>
        <x:v>5450</x:v>
      </x:c>
      <x:c r="G2014" s="8" t="n">
        <x:f>C2014*E2014</x:f>
        <x:v>2778.5</x:v>
      </x:c>
      <x:c r="H2014" s="8" t="n">
        <x:f>F2014-G2014</x:f>
        <x:v>2671.5</x:v>
      </x:c>
      <x:c r="I2014" s="10" t="n">
        <x:f>H2014/F2014</x:f>
        <x:v>0.4901834862385321</x:v>
      </x:c>
    </x:row>
    <x:row r="2015" ht="22" customHeight="1">
      <x:c r="A2015" s="11" t="str">
        <x:v>563</x:v>
      </x:c>
      <x:c r="B2015" s="8" t="str">
        <x:v>Proseware Projector 1080p LCD86 Silver</x:v>
      </x:c>
      <x:c r="C2015" s="8" t="n">
        <x:v>43</x:v>
      </x:c>
      <x:c r="D2015" s="9" t="n">
        <x:v>2295</x:v>
      </x:c>
      <x:c r="E2015" s="9" t="n">
        <x:v>760.38</x:v>
      </x:c>
      <x:c r="F2015" s="8" t="n">
        <x:f>C2015*D2015</x:f>
        <x:v>98685</x:v>
      </x:c>
      <x:c r="G2015" s="8" t="n">
        <x:f>C2015*E2015</x:f>
        <x:v>32696.34</x:v>
      </x:c>
      <x:c r="H2015" s="8" t="n">
        <x:f>F2015-G2015</x:f>
        <x:v>65988.66</x:v>
      </x:c>
      <x:c r="I2015" s="10" t="n">
        <x:f>H2015/F2015</x:f>
        <x:v>0.6686797385620915</x:v>
      </x:c>
    </x:row>
    <x:row r="2016" ht="22" customHeight="1">
      <x:c r="A2016" s="11" t="str">
        <x:v>564</x:v>
      </x:c>
      <x:c r="B2016" s="8" t="str">
        <x:v>Proseware Projector 1080p DLP86 Silver</x:v>
      </x:c>
      <x:c r="C2016" s="8" t="n">
        <x:v>27</x:v>
      </x:c>
      <x:c r="D2016" s="9" t="n">
        <x:v>2499</x:v>
      </x:c>
      <x:c r="E2016" s="9" t="n">
        <x:v>827.97</x:v>
      </x:c>
      <x:c r="F2016" s="8" t="n">
        <x:f>C2016*D2016</x:f>
        <x:v>67473</x:v>
      </x:c>
      <x:c r="G2016" s="8" t="n">
        <x:f>C2016*E2016</x:f>
        <x:v>22355.190000000002</x:v>
      </x:c>
      <x:c r="H2016" s="8" t="n">
        <x:f>F2016-G2016</x:f>
        <x:v>45117.81</x:v>
      </x:c>
      <x:c r="I2016" s="10" t="n">
        <x:f>H2016/F2016</x:f>
        <x:v>0.6686794717887155</x:v>
      </x:c>
    </x:row>
    <x:row r="2017" ht="22" customHeight="1">
      <x:c r="A2017" s="11" t="str">
        <x:v>565</x:v>
      </x:c>
      <x:c r="B2017" s="8" t="str">
        <x:v>Proseware Projector 720p LCD56 Silver</x:v>
      </x:c>
      <x:c r="C2017" s="8" t="n">
        <x:v>48</x:v>
      </x:c>
      <x:c r="D2017" s="9" t="n">
        <x:v>699</x:v>
      </x:c>
      <x:c r="E2017" s="9" t="n">
        <x:v>321.44</x:v>
      </x:c>
      <x:c r="F2017" s="8" t="n">
        <x:f>C2017*D2017</x:f>
        <x:v>33552</x:v>
      </x:c>
      <x:c r="G2017" s="8" t="n">
        <x:f>C2017*E2017</x:f>
        <x:v>15429.119999999999</x:v>
      </x:c>
      <x:c r="H2017" s="8" t="n">
        <x:f>F2017-G2017</x:f>
        <x:v>18122.88</x:v>
      </x:c>
      <x:c r="I2017" s="10" t="n">
        <x:f>H2017/F2017</x:f>
        <x:v>0.5401430615164521</x:v>
      </x:c>
    </x:row>
    <x:row r="2018" ht="22" customHeight="1">
      <x:c r="A2018" s="11" t="str">
        <x:v>566</x:v>
      </x:c>
      <x:c r="B2018" s="8" t="str">
        <x:v>Proseware Projector 720p DLP56 Silver</x:v>
      </x:c>
      <x:c r="C2018" s="8" t="n">
        <x:v>31</x:v>
      </x:c>
      <x:c r="D2018" s="9" t="n">
        <x:v>999</x:v>
      </x:c>
      <x:c r="E2018" s="9" t="n">
        <x:v>459.4</x:v>
      </x:c>
      <x:c r="F2018" s="8" t="n">
        <x:f>C2018*D2018</x:f>
        <x:v>30969</x:v>
      </x:c>
      <x:c r="G2018" s="8" t="n">
        <x:f>C2018*E2018</x:f>
        <x:v>14241.4</x:v>
      </x:c>
      <x:c r="H2018" s="8" t="n">
        <x:f>F2018-G2018</x:f>
        <x:v>16727.6</x:v>
      </x:c>
      <x:c r="I2018" s="10" t="n">
        <x:f>H2018/F2018</x:f>
        <x:v>0.5401401401401401</x:v>
      </x:c>
    </x:row>
    <x:row r="2019" ht="22" customHeight="1">
      <x:c r="A2019" s="11" t="str">
        <x:v>567</x:v>
      </x:c>
      <x:c r="B2019" s="8" t="str">
        <x:v>Proseware Projector 480p LCD12 Silver</x:v>
      </x:c>
      <x:c r="C2019" s="8" t="n">
        <x:v>19</x:v>
      </x:c>
      <x:c r="D2019" s="9" t="n">
        <x:v>229</x:v>
      </x:c>
      <x:c r="E2019" s="9" t="n">
        <x:v>116.75</x:v>
      </x:c>
      <x:c r="F2019" s="8" t="n">
        <x:f>C2019*D2019</x:f>
        <x:v>4351</x:v>
      </x:c>
      <x:c r="G2019" s="8" t="n">
        <x:f>C2019*E2019</x:f>
        <x:v>2218.25</x:v>
      </x:c>
      <x:c r="H2019" s="8" t="n">
        <x:f>F2019-G2019</x:f>
        <x:v>2132.75</x:v>
      </x:c>
      <x:c r="I2019" s="10" t="n">
        <x:f>H2019/F2019</x:f>
        <x:v>0.490174672489083</x:v>
      </x:c>
    </x:row>
    <x:row r="2020" ht="22" customHeight="1">
      <x:c r="A2020" s="11" t="str">
        <x:v>568</x:v>
      </x:c>
      <x:c r="B2020" s="8" t="str">
        <x:v>Proseware Projector 480p DLP12 Silver</x:v>
      </x:c>
      <x:c r="C2020" s="8" t="n">
        <x:v>48</x:v>
      </x:c>
      <x:c r="D2020" s="9" t="n">
        <x:v>499</x:v>
      </x:c>
      <x:c r="E2020" s="9" t="n">
        <x:v>254.4</x:v>
      </x:c>
      <x:c r="F2020" s="8" t="n">
        <x:f>C2020*D2020</x:f>
        <x:v>23952</x:v>
      </x:c>
      <x:c r="G2020" s="8" t="n">
        <x:f>C2020*E2020</x:f>
        <x:v>12211.2</x:v>
      </x:c>
      <x:c r="H2020" s="8" t="n">
        <x:f>F2020-G2020</x:f>
        <x:v>11740.8</x:v>
      </x:c>
      <x:c r="I2020" s="10" t="n">
        <x:f>H2020/F2020</x:f>
        <x:v>0.49018036072144283</x:v>
      </x:c>
    </x:row>
    <x:row r="2021" ht="22" customHeight="1">
      <x:c r="A2021" s="11" t="str">
        <x:v>569</x:v>
      </x:c>
      <x:c r="B2021" s="8" t="str">
        <x:v>Proseware Screen 125in X1609 Silver</x:v>
      </x:c>
      <x:c r="C2021" s="8" t="n">
        <x:v>32</x:v>
      </x:c>
      <x:c r="D2021" s="9" t="n">
        <x:v>459</x:v>
      </x:c>
      <x:c r="E2021" s="9" t="n">
        <x:v>152.08</x:v>
      </x:c>
      <x:c r="F2021" s="8" t="n">
        <x:f>C2021*D2021</x:f>
        <x:v>14688</x:v>
      </x:c>
      <x:c r="G2021" s="8" t="n">
        <x:f>C2021*E2021</x:f>
        <x:v>4866.56</x:v>
      </x:c>
      <x:c r="H2021" s="8" t="n">
        <x:f>F2021-G2021</x:f>
        <x:v>9821.439999999999</x:v>
      </x:c>
      <x:c r="I2021" s="10" t="n">
        <x:f>H2021/F2021</x:f>
        <x:v>0.6686710239651416</x:v>
      </x:c>
    </x:row>
    <x:row r="2022" ht="22" customHeight="1">
      <x:c r="A2022" s="11" t="str">
        <x:v>57</x:v>
      </x:c>
      <x:c r="B2022" s="8" t="str">
        <x:v>WWI 1GB Digital Voice Recorder Pen E100 Black</x:v>
      </x:c>
      <x:c r="C2022" s="8" t="n">
        <x:v>431</x:v>
      </x:c>
      <x:c r="D2022" s="9" t="n">
        <x:v>156</x:v>
      </x:c>
      <x:c r="E2022" s="9" t="n">
        <x:v>79.53</x:v>
      </x:c>
      <x:c r="F2022" s="8" t="n">
        <x:f>C2022*D2022</x:f>
        <x:v>67236</x:v>
      </x:c>
      <x:c r="G2022" s="8" t="n">
        <x:f>C2022*E2022</x:f>
        <x:v>34277.43</x:v>
      </x:c>
      <x:c r="H2022" s="8" t="n">
        <x:f>F2022-G2022</x:f>
        <x:v>32958.57</x:v>
      </x:c>
      <x:c r="I2022" s="10" t="n">
        <x:f>H2022/F2022</x:f>
        <x:v>0.4901923076923077</x:v>
      </x:c>
    </x:row>
    <x:row r="2023" ht="22" customHeight="1">
      <x:c r="A2023" s="11" t="str">
        <x:v>570</x:v>
      </x:c>
      <x:c r="B2023" s="8" t="str">
        <x:v>Proseware Screen 113in X1609 Silver</x:v>
      </x:c>
      <x:c r="C2023" s="8" t="n">
        <x:v>39</x:v>
      </x:c>
      <x:c r="D2023" s="9" t="n">
        <x:v>299</x:v>
      </x:c>
      <x:c r="E2023" s="9" t="n">
        <x:v>99.06</x:v>
      </x:c>
      <x:c r="F2023" s="8" t="n">
        <x:f>C2023*D2023</x:f>
        <x:v>11661</x:v>
      </x:c>
      <x:c r="G2023" s="8" t="n">
        <x:f>C2023*E2023</x:f>
        <x:v>3863.34</x:v>
      </x:c>
      <x:c r="H2023" s="8" t="n">
        <x:f>F2023-G2023</x:f>
        <x:v>7797.66</x:v>
      </x:c>
      <x:c r="I2023" s="10" t="n">
        <x:f>H2023/F2023</x:f>
        <x:v>0.668695652173913</x:v>
      </x:c>
    </x:row>
    <x:row r="2024" ht="22" customHeight="1">
      <x:c r="A2024" s="11" t="str">
        <x:v>571</x:v>
      </x:c>
      <x:c r="B2024" s="8" t="str">
        <x:v>Proseware Screen 106in M1609 Silver</x:v>
      </x:c>
      <x:c r="C2024" s="8" t="n">
        <x:v>41</x:v>
      </x:c>
      <x:c r="D2024" s="9" t="n">
        <x:v>251</x:v>
      </x:c>
      <x:c r="E2024" s="9" t="n">
        <x:v>115.43</x:v>
      </x:c>
      <x:c r="F2024" s="8" t="n">
        <x:f>C2024*D2024</x:f>
        <x:v>10291</x:v>
      </x:c>
      <x:c r="G2024" s="8" t="n">
        <x:f>C2024*E2024</x:f>
        <x:v>4732.63</x:v>
      </x:c>
      <x:c r="H2024" s="8" t="n">
        <x:f>F2024-G2024</x:f>
        <x:v>5558.37</x:v>
      </x:c>
      <x:c r="I2024" s="10" t="n">
        <x:f>H2024/F2024</x:f>
        <x:v>0.5401195219123506</x:v>
      </x:c>
    </x:row>
    <x:row r="2025" ht="22" customHeight="1">
      <x:c r="A2025" s="11" t="str">
        <x:v>572</x:v>
      </x:c>
      <x:c r="B2025" s="8" t="str">
        <x:v>Proseware Screen 100in M1609 Silver</x:v>
      </x:c>
      <x:c r="C2025" s="8" t="n">
        <x:v>66</x:v>
      </x:c>
      <x:c r="D2025" s="9" t="n">
        <x:v>190</x:v>
      </x:c>
      <x:c r="E2025" s="9" t="n">
        <x:v>87.37</x:v>
      </x:c>
      <x:c r="F2025" s="8" t="n">
        <x:f>C2025*D2025</x:f>
        <x:v>12540</x:v>
      </x:c>
      <x:c r="G2025" s="8" t="n">
        <x:f>C2025*E2025</x:f>
        <x:v>5766.42</x:v>
      </x:c>
      <x:c r="H2025" s="8" t="n">
        <x:f>F2025-G2025</x:f>
        <x:v>6773.58</x:v>
      </x:c>
      <x:c r="I2025" s="10" t="n">
        <x:f>H2025/F2025</x:f>
        <x:v>0.5401578947368421</x:v>
      </x:c>
    </x:row>
    <x:row r="2026" ht="22" customHeight="1">
      <x:c r="A2026" s="11" t="str">
        <x:v>573</x:v>
      </x:c>
      <x:c r="B2026" s="8" t="str">
        <x:v>Proseware Screen 85in E1010 Silver</x:v>
      </x:c>
      <x:c r="C2026" s="8" t="n">
        <x:v>57</x:v>
      </x:c>
      <x:c r="D2026" s="9" t="n">
        <x:v>139</x:v>
      </x:c>
      <x:c r="E2026" s="9" t="n">
        <x:v>70.87</x:v>
      </x:c>
      <x:c r="F2026" s="8" t="n">
        <x:f>C2026*D2026</x:f>
        <x:v>7923</x:v>
      </x:c>
      <x:c r="G2026" s="8" t="n">
        <x:f>C2026*E2026</x:f>
        <x:v>4039.59</x:v>
      </x:c>
      <x:c r="H2026" s="8" t="n">
        <x:f>F2026-G2026</x:f>
        <x:v>3883.41</x:v>
      </x:c>
      <x:c r="I2026" s="10" t="n">
        <x:f>H2026/F2026</x:f>
        <x:v>0.4901438848920863</x:v>
      </x:c>
    </x:row>
    <x:row r="2027" ht="22" customHeight="1">
      <x:c r="A2027" s="11" t="str">
        <x:v>574</x:v>
      </x:c>
      <x:c r="B2027" s="8" t="str">
        <x:v>Proseware Screen 80in E1010 Silver</x:v>
      </x:c>
      <x:c r="C2027" s="8" t="n">
        <x:v>29</x:v>
      </x:c>
      <x:c r="D2027" s="9" t="n">
        <x:v>109</x:v>
      </x:c>
      <x:c r="E2027" s="9" t="n">
        <x:v>55.57</x:v>
      </x:c>
      <x:c r="F2027" s="8" t="n">
        <x:f>C2027*D2027</x:f>
        <x:v>3161</x:v>
      </x:c>
      <x:c r="G2027" s="8" t="n">
        <x:f>C2027*E2027</x:f>
        <x:v>1611.53</x:v>
      </x:c>
      <x:c r="H2027" s="8" t="n">
        <x:f>F2027-G2027</x:f>
        <x:v>1549.47</x:v>
      </x:c>
      <x:c r="I2027" s="10" t="n">
        <x:f>H2027/F2027</x:f>
        <x:v>0.49018348623853214</x:v>
      </x:c>
    </x:row>
    <x:row r="2028" ht="22" customHeight="1">
      <x:c r="A2028" s="11" t="str">
        <x:v>575</x:v>
      </x:c>
      <x:c r="B2028" s="8" t="str">
        <x:v>Contoso Projector 1080p X980 Black</x:v>
      </x:c>
      <x:c r="C2028" s="8" t="n">
        <x:v>28</x:v>
      </x:c>
      <x:c r="D2028" s="9" t="n">
        <x:v>2295</x:v>
      </x:c>
      <x:c r="E2028" s="9" t="n">
        <x:v>760.38</x:v>
      </x:c>
      <x:c r="F2028" s="8" t="n">
        <x:f>C2028*D2028</x:f>
        <x:v>64260</x:v>
      </x:c>
      <x:c r="G2028" s="8" t="n">
        <x:f>C2028*E2028</x:f>
        <x:v>21290.64</x:v>
      </x:c>
      <x:c r="H2028" s="8" t="n">
        <x:f>F2028-G2028</x:f>
        <x:v>42969.36</x:v>
      </x:c>
      <x:c r="I2028" s="10" t="n">
        <x:f>H2028/F2028</x:f>
        <x:v>0.6686797385620915</x:v>
      </x:c>
    </x:row>
    <x:row r="2029" ht="22" customHeight="1">
      <x:c r="A2029" s="11" t="str">
        <x:v>576</x:v>
      </x:c>
      <x:c r="B2029" s="8" t="str">
        <x:v>Contoso Projector 1080p X981 Black</x:v>
      </x:c>
      <x:c r="C2029" s="8" t="n">
        <x:v>57</x:v>
      </x:c>
      <x:c r="D2029" s="9" t="n">
        <x:v>2499</x:v>
      </x:c>
      <x:c r="E2029" s="9" t="n">
        <x:v>827.97</x:v>
      </x:c>
      <x:c r="F2029" s="8" t="n">
        <x:f>C2029*D2029</x:f>
        <x:v>142443</x:v>
      </x:c>
      <x:c r="G2029" s="8" t="n">
        <x:f>C2029*E2029</x:f>
        <x:v>47194.29</x:v>
      </x:c>
      <x:c r="H2029" s="8" t="n">
        <x:f>F2029-G2029</x:f>
        <x:v>95248.70999999999</x:v>
      </x:c>
      <x:c r="I2029" s="10" t="n">
        <x:f>H2029/F2029</x:f>
        <x:v>0.6686794717887155</x:v>
      </x:c>
    </x:row>
    <x:row r="2030" ht="22" customHeight="1">
      <x:c r="A2030" s="11" t="str">
        <x:v>577</x:v>
      </x:c>
      <x:c r="B2030" s="8" t="str">
        <x:v>Contoso Projector 720p M620 Black</x:v>
      </x:c>
      <x:c r="C2030" s="8" t="n">
        <x:v>36</x:v>
      </x:c>
      <x:c r="D2030" s="9" t="n">
        <x:v>699</x:v>
      </x:c>
      <x:c r="E2030" s="9" t="n">
        <x:v>321.44</x:v>
      </x:c>
      <x:c r="F2030" s="8" t="n">
        <x:f>C2030*D2030</x:f>
        <x:v>25164</x:v>
      </x:c>
      <x:c r="G2030" s="8" t="n">
        <x:f>C2030*E2030</x:f>
        <x:v>11571.84</x:v>
      </x:c>
      <x:c r="H2030" s="8" t="n">
        <x:f>F2030-G2030</x:f>
        <x:v>13592.16</x:v>
      </x:c>
      <x:c r="I2030" s="10" t="n">
        <x:f>H2030/F2030</x:f>
        <x:v>0.5401430615164521</x:v>
      </x:c>
    </x:row>
    <x:row r="2031" ht="22" customHeight="1">
      <x:c r="A2031" s="11" t="str">
        <x:v>578</x:v>
      </x:c>
      <x:c r="B2031" s="8" t="str">
        <x:v>Contoso Projector 720p M621 Black</x:v>
      </x:c>
      <x:c r="C2031" s="8" t="n">
        <x:v>54</x:v>
      </x:c>
      <x:c r="D2031" s="9" t="n">
        <x:v>999</x:v>
      </x:c>
      <x:c r="E2031" s="9" t="n">
        <x:v>459.4</x:v>
      </x:c>
      <x:c r="F2031" s="8" t="n">
        <x:f>C2031*D2031</x:f>
        <x:v>53946</x:v>
      </x:c>
      <x:c r="G2031" s="8" t="n">
        <x:f>C2031*E2031</x:f>
        <x:v>24807.6</x:v>
      </x:c>
      <x:c r="H2031" s="8" t="n">
        <x:f>F2031-G2031</x:f>
        <x:v>29138.4</x:v>
      </x:c>
      <x:c r="I2031" s="10" t="n">
        <x:f>H2031/F2031</x:f>
        <x:v>0.5401401401401401</x:v>
      </x:c>
    </x:row>
    <x:row r="2032" ht="22" customHeight="1">
      <x:c r="A2032" s="11" t="str">
        <x:v>579</x:v>
      </x:c>
      <x:c r="B2032" s="8" t="str">
        <x:v>Contoso Projector 480p M480 Black</x:v>
      </x:c>
      <x:c r="C2032" s="8" t="n">
        <x:v>39</x:v>
      </x:c>
      <x:c r="D2032" s="9" t="n">
        <x:v>229</x:v>
      </x:c>
      <x:c r="E2032" s="9" t="n">
        <x:v>116.75</x:v>
      </x:c>
      <x:c r="F2032" s="8" t="n">
        <x:f>C2032*D2032</x:f>
        <x:v>8931</x:v>
      </x:c>
      <x:c r="G2032" s="8" t="n">
        <x:f>C2032*E2032</x:f>
        <x:v>4553.25</x:v>
      </x:c>
      <x:c r="H2032" s="8" t="n">
        <x:f>F2032-G2032</x:f>
        <x:v>4377.75</x:v>
      </x:c>
      <x:c r="I2032" s="10" t="n">
        <x:f>H2032/F2032</x:f>
        <x:v>0.490174672489083</x:v>
      </x:c>
    </x:row>
    <x:row r="2033" ht="22" customHeight="1">
      <x:c r="A2033" s="11" t="str">
        <x:v>58</x:v>
      </x:c>
      <x:c r="B2033" s="8" t="str">
        <x:v>WWI 1GB Digital Voice Recorder Pen E100 Red</x:v>
      </x:c>
      <x:c r="C2033" s="8" t="n">
        <x:v>388</x:v>
      </x:c>
      <x:c r="D2033" s="9" t="n">
        <x:v>156</x:v>
      </x:c>
      <x:c r="E2033" s="9" t="n">
        <x:v>79.53</x:v>
      </x:c>
      <x:c r="F2033" s="8" t="n">
        <x:f>C2033*D2033</x:f>
        <x:v>60528</x:v>
      </x:c>
      <x:c r="G2033" s="8" t="n">
        <x:f>C2033*E2033</x:f>
        <x:v>30857.64</x:v>
      </x:c>
      <x:c r="H2033" s="8" t="n">
        <x:f>F2033-G2033</x:f>
        <x:v>29670.36</x:v>
      </x:c>
      <x:c r="I2033" s="10" t="n">
        <x:f>H2033/F2033</x:f>
        <x:v>0.4901923076923077</x:v>
      </x:c>
    </x:row>
    <x:row r="2034" ht="22" customHeight="1">
      <x:c r="A2034" s="11" t="str">
        <x:v>580</x:v>
      </x:c>
      <x:c r="B2034" s="8" t="str">
        <x:v>Contoso Projector 480p M481 Black</x:v>
      </x:c>
      <x:c r="C2034" s="8" t="n">
        <x:v>44</x:v>
      </x:c>
      <x:c r="D2034" s="9" t="n">
        <x:v>499</x:v>
      </x:c>
      <x:c r="E2034" s="9" t="n">
        <x:v>254.4</x:v>
      </x:c>
      <x:c r="F2034" s="8" t="n">
        <x:f>C2034*D2034</x:f>
        <x:v>21956</x:v>
      </x:c>
      <x:c r="G2034" s="8" t="n">
        <x:f>C2034*E2034</x:f>
        <x:v>11193.6</x:v>
      </x:c>
      <x:c r="H2034" s="8" t="n">
        <x:f>F2034-G2034</x:f>
        <x:v>10762.4</x:v>
      </x:c>
      <x:c r="I2034" s="10" t="n">
        <x:f>H2034/F2034</x:f>
        <x:v>0.4901803607214429</x:v>
      </x:c>
    </x:row>
    <x:row r="2035" ht="22" customHeight="1">
      <x:c r="A2035" s="11" t="str">
        <x:v>581</x:v>
      </x:c>
      <x:c r="B2035" s="8" t="str">
        <x:v>Contoso Screen 125in M250 Black</x:v>
      </x:c>
      <x:c r="C2035" s="8" t="n">
        <x:v>42</x:v>
      </x:c>
      <x:c r="D2035" s="9" t="n">
        <x:v>459</x:v>
      </x:c>
      <x:c r="E2035" s="9" t="n">
        <x:v>152.08</x:v>
      </x:c>
      <x:c r="F2035" s="8" t="n">
        <x:f>C2035*D2035</x:f>
        <x:v>19278</x:v>
      </x:c>
      <x:c r="G2035" s="8" t="n">
        <x:f>C2035*E2035</x:f>
        <x:v>6387.360000000001</x:v>
      </x:c>
      <x:c r="H2035" s="8" t="n">
        <x:f>F2035-G2035</x:f>
        <x:v>12890.64</x:v>
      </x:c>
      <x:c r="I2035" s="10" t="n">
        <x:f>H2035/F2035</x:f>
        <x:v>0.6686710239651416</x:v>
      </x:c>
    </x:row>
    <x:row r="2036" ht="22" customHeight="1">
      <x:c r="A2036" s="11" t="str">
        <x:v>582</x:v>
      </x:c>
      <x:c r="B2036" s="8" t="str">
        <x:v>Contoso Screen 113in M251 Black</x:v>
      </x:c>
      <x:c r="C2036" s="8" t="n">
        <x:v>25</x:v>
      </x:c>
      <x:c r="D2036" s="9" t="n">
        <x:v>299</x:v>
      </x:c>
      <x:c r="E2036" s="9" t="n">
        <x:v>137.5</x:v>
      </x:c>
      <x:c r="F2036" s="8" t="n">
        <x:f>C2036*D2036</x:f>
        <x:v>7475</x:v>
      </x:c>
      <x:c r="G2036" s="8" t="n">
        <x:f>C2036*E2036</x:f>
        <x:v>3437.5</x:v>
      </x:c>
      <x:c r="H2036" s="8" t="n">
        <x:f>F2036-G2036</x:f>
        <x:v>4037.5</x:v>
      </x:c>
      <x:c r="I2036" s="10" t="n">
        <x:f>H2036/F2036</x:f>
        <x:v>0.540133779264214</x:v>
      </x:c>
    </x:row>
    <x:row r="2037" ht="22" customHeight="1">
      <x:c r="A2037" s="11" t="str">
        <x:v>583</x:v>
      </x:c>
      <x:c r="B2037" s="8" t="str">
        <x:v>Contoso Screen 106in M060 Black</x:v>
      </x:c>
      <x:c r="C2037" s="8" t="n">
        <x:v>48</x:v>
      </x:c>
      <x:c r="D2037" s="9" t="n">
        <x:v>251</x:v>
      </x:c>
      <x:c r="E2037" s="9" t="n">
        <x:v>83.16</x:v>
      </x:c>
      <x:c r="F2037" s="8" t="n">
        <x:f>C2037*D2037</x:f>
        <x:v>12048</x:v>
      </x:c>
      <x:c r="G2037" s="8" t="n">
        <x:f>C2037*E2037</x:f>
        <x:v>3991.68</x:v>
      </x:c>
      <x:c r="H2037" s="8" t="n">
        <x:f>F2037-G2037</x:f>
        <x:v>8056.32</x:v>
      </x:c>
      <x:c r="I2037" s="10" t="n">
        <x:f>H2037/F2037</x:f>
        <x:v>0.6686852589641434</x:v>
      </x:c>
    </x:row>
    <x:row r="2038" ht="22" customHeight="1">
      <x:c r="A2038" s="11" t="str">
        <x:v>584</x:v>
      </x:c>
      <x:c r="B2038" s="8" t="str">
        <x:v>Contoso Screen 100in E010 Black</x:v>
      </x:c>
      <x:c r="C2038" s="8" t="n">
        <x:v>47</x:v>
      </x:c>
      <x:c r="D2038" s="9" t="n">
        <x:v>190</x:v>
      </x:c>
      <x:c r="E2038" s="9" t="n">
        <x:v>62.95</x:v>
      </x:c>
      <x:c r="F2038" s="8" t="n">
        <x:f>C2038*D2038</x:f>
        <x:v>8930</x:v>
      </x:c>
      <x:c r="G2038" s="8" t="n">
        <x:f>C2038*E2038</x:f>
        <x:v>2958.65</x:v>
      </x:c>
      <x:c r="H2038" s="8" t="n">
        <x:f>F2038-G2038</x:f>
        <x:v>5971.35</x:v>
      </x:c>
      <x:c r="I2038" s="10" t="n">
        <x:f>H2038/F2038</x:f>
        <x:v>0.6686842105263159</x:v>
      </x:c>
    </x:row>
    <x:row r="2039" ht="22" customHeight="1">
      <x:c r="A2039" s="11" t="str">
        <x:v>585</x:v>
      </x:c>
      <x:c r="B2039" s="8" t="str">
        <x:v>Contoso Screen 85in E085 Black</x:v>
      </x:c>
      <x:c r="C2039" s="8" t="n">
        <x:v>47</x:v>
      </x:c>
      <x:c r="D2039" s="9" t="n">
        <x:v>139</x:v>
      </x:c>
      <x:c r="E2039" s="9" t="n">
        <x:v>70.87</x:v>
      </x:c>
      <x:c r="F2039" s="8" t="n">
        <x:f>C2039*D2039</x:f>
        <x:v>6533</x:v>
      </x:c>
      <x:c r="G2039" s="8" t="n">
        <x:f>C2039*E2039</x:f>
        <x:v>3330.8900000000003</x:v>
      </x:c>
      <x:c r="H2039" s="8" t="n">
        <x:f>F2039-G2039</x:f>
        <x:v>3202.1099999999997</x:v>
      </x:c>
      <x:c r="I2039" s="10" t="n">
        <x:f>H2039/F2039</x:f>
        <x:v>0.49014388489208627</x:v>
      </x:c>
    </x:row>
    <x:row r="2040" ht="22" customHeight="1">
      <x:c r="A2040" s="11" t="str">
        <x:v>586</x:v>
      </x:c>
      <x:c r="B2040" s="8" t="str">
        <x:v>Contoso Screen 80in E080 Black</x:v>
      </x:c>
      <x:c r="C2040" s="8" t="n">
        <x:v>39</x:v>
      </x:c>
      <x:c r="D2040" s="9" t="n">
        <x:v>109</x:v>
      </x:c>
      <x:c r="E2040" s="9" t="n">
        <x:v>55.57</x:v>
      </x:c>
      <x:c r="F2040" s="8" t="n">
        <x:f>C2040*D2040</x:f>
        <x:v>4251</x:v>
      </x:c>
      <x:c r="G2040" s="8" t="n">
        <x:f>C2040*E2040</x:f>
        <x:v>2167.23</x:v>
      </x:c>
      <x:c r="H2040" s="8" t="n">
        <x:f>F2040-G2040</x:f>
        <x:v>2083.77</x:v>
      </x:c>
      <x:c r="I2040" s="10" t="n">
        <x:f>H2040/F2040</x:f>
        <x:v>0.4901834862385321</x:v>
      </x:c>
    </x:row>
    <x:row r="2041" ht="22" customHeight="1">
      <x:c r="A2041" s="11" t="str">
        <x:v>587</x:v>
      </x:c>
      <x:c r="B2041" s="8" t="str">
        <x:v>Contoso Projector 1080p X980 White</x:v>
      </x:c>
      <x:c r="C2041" s="8" t="n">
        <x:v>60</x:v>
      </x:c>
      <x:c r="D2041" s="9" t="n">
        <x:v>2295</x:v>
      </x:c>
      <x:c r="E2041" s="9" t="n">
        <x:v>760.38</x:v>
      </x:c>
      <x:c r="F2041" s="8" t="n">
        <x:f>C2041*D2041</x:f>
        <x:v>137700</x:v>
      </x:c>
      <x:c r="G2041" s="8" t="n">
        <x:f>C2041*E2041</x:f>
        <x:v>45622.8</x:v>
      </x:c>
      <x:c r="H2041" s="8" t="n">
        <x:f>F2041-G2041</x:f>
        <x:v>92077.2</x:v>
      </x:c>
      <x:c r="I2041" s="10" t="n">
        <x:f>H2041/F2041</x:f>
        <x:v>0.6686797385620915</x:v>
      </x:c>
    </x:row>
    <x:row r="2042" ht="22" customHeight="1">
      <x:c r="A2042" s="11" t="str">
        <x:v>588</x:v>
      </x:c>
      <x:c r="B2042" s="8" t="str">
        <x:v>Contoso Projector 1080p X981 White</x:v>
      </x:c>
      <x:c r="C2042" s="8" t="n">
        <x:v>32</x:v>
      </x:c>
      <x:c r="D2042" s="9" t="n">
        <x:v>2499</x:v>
      </x:c>
      <x:c r="E2042" s="9" t="n">
        <x:v>827.97</x:v>
      </x:c>
      <x:c r="F2042" s="8" t="n">
        <x:f>C2042*D2042</x:f>
        <x:v>79968</x:v>
      </x:c>
      <x:c r="G2042" s="8" t="n">
        <x:f>C2042*E2042</x:f>
        <x:v>26495.04</x:v>
      </x:c>
      <x:c r="H2042" s="8" t="n">
        <x:f>F2042-G2042</x:f>
        <x:v>53472.96</x:v>
      </x:c>
      <x:c r="I2042" s="10" t="n">
        <x:f>H2042/F2042</x:f>
        <x:v>0.6686794717887155</x:v>
      </x:c>
    </x:row>
    <x:row r="2043" ht="22" customHeight="1">
      <x:c r="A2043" s="11" t="str">
        <x:v>589</x:v>
      </x:c>
      <x:c r="B2043" s="8" t="str">
        <x:v>Contoso Projector 720p M620 White</x:v>
      </x:c>
      <x:c r="C2043" s="8" t="n">
        <x:v>42</x:v>
      </x:c>
      <x:c r="D2043" s="9" t="n">
        <x:v>699</x:v>
      </x:c>
      <x:c r="E2043" s="9" t="n">
        <x:v>321.44</x:v>
      </x:c>
      <x:c r="F2043" s="8" t="n">
        <x:f>C2043*D2043</x:f>
        <x:v>29358</x:v>
      </x:c>
      <x:c r="G2043" s="8" t="n">
        <x:f>C2043*E2043</x:f>
        <x:v>13500.48</x:v>
      </x:c>
      <x:c r="H2043" s="8" t="n">
        <x:f>F2043-G2043</x:f>
        <x:v>15857.52</x:v>
      </x:c>
      <x:c r="I2043" s="10" t="n">
        <x:f>H2043/F2043</x:f>
        <x:v>0.5401430615164521</x:v>
      </x:c>
    </x:row>
    <x:row r="2044" ht="22" customHeight="1">
      <x:c r="A2044" s="11" t="str">
        <x:v>59</x:v>
      </x:c>
      <x:c r="B2044" s="8" t="str">
        <x:v>WWI 1GB Digital Voice Recorder Pen E100 Pink</x:v>
      </x:c>
      <x:c r="C2044" s="8" t="n">
        <x:v>289</x:v>
      </x:c>
      <x:c r="D2044" s="9" t="n">
        <x:v>156</x:v>
      </x:c>
      <x:c r="E2044" s="9" t="n">
        <x:v>79.53</x:v>
      </x:c>
      <x:c r="F2044" s="8" t="n">
        <x:f>C2044*D2044</x:f>
        <x:v>45084</x:v>
      </x:c>
      <x:c r="G2044" s="8" t="n">
        <x:f>C2044*E2044</x:f>
        <x:v>22984.170000000002</x:v>
      </x:c>
      <x:c r="H2044" s="8" t="n">
        <x:f>F2044-G2044</x:f>
        <x:v>22099.829999999998</x:v>
      </x:c>
      <x:c r="I2044" s="10" t="n">
        <x:f>H2044/F2044</x:f>
        <x:v>0.49019230769230765</x:v>
      </x:c>
    </x:row>
    <x:row r="2045" ht="22" customHeight="1">
      <x:c r="A2045" s="11" t="str">
        <x:v>590</x:v>
      </x:c>
      <x:c r="B2045" s="8" t="str">
        <x:v>Contoso Projector 720p M621 White</x:v>
      </x:c>
      <x:c r="C2045" s="8" t="n">
        <x:v>35</x:v>
      </x:c>
      <x:c r="D2045" s="9" t="n">
        <x:v>999</x:v>
      </x:c>
      <x:c r="E2045" s="9" t="n">
        <x:v>459.4</x:v>
      </x:c>
      <x:c r="F2045" s="8" t="n">
        <x:f>C2045*D2045</x:f>
        <x:v>34965</x:v>
      </x:c>
      <x:c r="G2045" s="8" t="n">
        <x:f>C2045*E2045</x:f>
        <x:v>16079</x:v>
      </x:c>
      <x:c r="H2045" s="8" t="n">
        <x:f>F2045-G2045</x:f>
        <x:v>18886</x:v>
      </x:c>
      <x:c r="I2045" s="10" t="n">
        <x:f>H2045/F2045</x:f>
        <x:v>0.5401401401401401</x:v>
      </x:c>
    </x:row>
    <x:row r="2046" ht="22" customHeight="1">
      <x:c r="A2046" s="11" t="str">
        <x:v>591</x:v>
      </x:c>
      <x:c r="B2046" s="8" t="str">
        <x:v>Contoso Projector 480p M480 White</x:v>
      </x:c>
      <x:c r="C2046" s="8" t="n">
        <x:v>53</x:v>
      </x:c>
      <x:c r="D2046" s="9" t="n">
        <x:v>229</x:v>
      </x:c>
      <x:c r="E2046" s="9" t="n">
        <x:v>116.75</x:v>
      </x:c>
      <x:c r="F2046" s="8" t="n">
        <x:f>C2046*D2046</x:f>
        <x:v>12137</x:v>
      </x:c>
      <x:c r="G2046" s="8" t="n">
        <x:f>C2046*E2046</x:f>
        <x:v>6187.75</x:v>
      </x:c>
      <x:c r="H2046" s="8" t="n">
        <x:f>F2046-G2046</x:f>
        <x:v>5949.25</x:v>
      </x:c>
      <x:c r="I2046" s="10" t="n">
        <x:f>H2046/F2046</x:f>
        <x:v>0.490174672489083</x:v>
      </x:c>
    </x:row>
    <x:row r="2047" ht="22" customHeight="1">
      <x:c r="A2047" s="11" t="str">
        <x:v>592</x:v>
      </x:c>
      <x:c r="B2047" s="8" t="str">
        <x:v>Contoso Projector 480p M481 White</x:v>
      </x:c>
      <x:c r="C2047" s="8" t="n">
        <x:v>46</x:v>
      </x:c>
      <x:c r="D2047" s="9" t="n">
        <x:v>499</x:v>
      </x:c>
      <x:c r="E2047" s="9" t="n">
        <x:v>254.4</x:v>
      </x:c>
      <x:c r="F2047" s="8" t="n">
        <x:f>C2047*D2047</x:f>
        <x:v>22954</x:v>
      </x:c>
      <x:c r="G2047" s="8" t="n">
        <x:f>C2047*E2047</x:f>
        <x:v>11702.4</x:v>
      </x:c>
      <x:c r="H2047" s="8" t="n">
        <x:f>F2047-G2047</x:f>
        <x:v>11251.6</x:v>
      </x:c>
      <x:c r="I2047" s="10" t="n">
        <x:f>H2047/F2047</x:f>
        <x:v>0.4901803607214429</x:v>
      </x:c>
    </x:row>
    <x:row r="2048" ht="22" customHeight="1">
      <x:c r="A2048" s="11" t="str">
        <x:v>593</x:v>
      </x:c>
      <x:c r="B2048" s="8" t="str">
        <x:v>Contoso Screen 125in M250 White</x:v>
      </x:c>
      <x:c r="C2048" s="8" t="n">
        <x:v>63</x:v>
      </x:c>
      <x:c r="D2048" s="9" t="n">
        <x:v>459</x:v>
      </x:c>
      <x:c r="E2048" s="9" t="n">
        <x:v>152.08</x:v>
      </x:c>
      <x:c r="F2048" s="8" t="n">
        <x:f>C2048*D2048</x:f>
        <x:v>28917</x:v>
      </x:c>
      <x:c r="G2048" s="8" t="n">
        <x:f>C2048*E2048</x:f>
        <x:v>9581.04</x:v>
      </x:c>
      <x:c r="H2048" s="8" t="n">
        <x:f>F2048-G2048</x:f>
        <x:v>19335.96</x:v>
      </x:c>
      <x:c r="I2048" s="10" t="n">
        <x:f>H2048/F2048</x:f>
        <x:v>0.6686710239651416</x:v>
      </x:c>
    </x:row>
    <x:row r="2049" ht="22" customHeight="1">
      <x:c r="A2049" s="11" t="str">
        <x:v>594</x:v>
      </x:c>
      <x:c r="B2049" s="8" t="str">
        <x:v>Contoso Screen 113in M251 White</x:v>
      </x:c>
      <x:c r="C2049" s="8" t="n">
        <x:v>50</x:v>
      </x:c>
      <x:c r="D2049" s="9" t="n">
        <x:v>299</x:v>
      </x:c>
      <x:c r="E2049" s="9" t="n">
        <x:v>137.5</x:v>
      </x:c>
      <x:c r="F2049" s="8" t="n">
        <x:f>C2049*D2049</x:f>
        <x:v>14950</x:v>
      </x:c>
      <x:c r="G2049" s="8" t="n">
        <x:f>C2049*E2049</x:f>
        <x:v>6875</x:v>
      </x:c>
      <x:c r="H2049" s="8" t="n">
        <x:f>F2049-G2049</x:f>
        <x:v>8075</x:v>
      </x:c>
      <x:c r="I2049" s="10" t="n">
        <x:f>H2049/F2049</x:f>
        <x:v>0.540133779264214</x:v>
      </x:c>
    </x:row>
    <x:row r="2050" ht="22" customHeight="1">
      <x:c r="A2050" s="11" t="str">
        <x:v>595</x:v>
      </x:c>
      <x:c r="B2050" s="8" t="str">
        <x:v>Contoso Screen 106in M060 White</x:v>
      </x:c>
      <x:c r="C2050" s="8" t="n">
        <x:v>33</x:v>
      </x:c>
      <x:c r="D2050" s="9" t="n">
        <x:v>251</x:v>
      </x:c>
      <x:c r="E2050" s="9" t="n">
        <x:v>83.16</x:v>
      </x:c>
      <x:c r="F2050" s="8" t="n">
        <x:f>C2050*D2050</x:f>
        <x:v>8283</x:v>
      </x:c>
      <x:c r="G2050" s="8" t="n">
        <x:f>C2050*E2050</x:f>
        <x:v>2744.2799999999997</x:v>
      </x:c>
      <x:c r="H2050" s="8" t="n">
        <x:f>F2050-G2050</x:f>
        <x:v>5538.72</x:v>
      </x:c>
      <x:c r="I2050" s="10" t="n">
        <x:f>H2050/F2050</x:f>
        <x:v>0.6686852589641434</x:v>
      </x:c>
    </x:row>
    <x:row r="2051" ht="22" customHeight="1">
      <x:c r="A2051" s="11" t="str">
        <x:v>596</x:v>
      </x:c>
      <x:c r="B2051" s="8" t="str">
        <x:v>Contoso Screen 100in E010 White</x:v>
      </x:c>
      <x:c r="C2051" s="8" t="n">
        <x:v>45</x:v>
      </x:c>
      <x:c r="D2051" s="9" t="n">
        <x:v>190</x:v>
      </x:c>
      <x:c r="E2051" s="9" t="n">
        <x:v>62.95</x:v>
      </x:c>
      <x:c r="F2051" s="8" t="n">
        <x:f>C2051*D2051</x:f>
        <x:v>8550</x:v>
      </x:c>
      <x:c r="G2051" s="8" t="n">
        <x:f>C2051*E2051</x:f>
        <x:v>2832.75</x:v>
      </x:c>
      <x:c r="H2051" s="8" t="n">
        <x:f>F2051-G2051</x:f>
        <x:v>5717.25</x:v>
      </x:c>
      <x:c r="I2051" s="10" t="n">
        <x:f>H2051/F2051</x:f>
        <x:v>0.6686842105263158</x:v>
      </x:c>
    </x:row>
    <x:row r="2052" ht="22" customHeight="1">
      <x:c r="A2052" s="11" t="str">
        <x:v>597</x:v>
      </x:c>
      <x:c r="B2052" s="8" t="str">
        <x:v>Contoso Screen 85in E085 White</x:v>
      </x:c>
      <x:c r="C2052" s="8" t="n">
        <x:v>44</x:v>
      </x:c>
      <x:c r="D2052" s="9" t="n">
        <x:v>139</x:v>
      </x:c>
      <x:c r="E2052" s="9" t="n">
        <x:v>70.87</x:v>
      </x:c>
      <x:c r="F2052" s="8" t="n">
        <x:f>C2052*D2052</x:f>
        <x:v>6116</x:v>
      </x:c>
      <x:c r="G2052" s="8" t="n">
        <x:f>C2052*E2052</x:f>
        <x:v>3118.28</x:v>
      </x:c>
      <x:c r="H2052" s="8" t="n">
        <x:f>F2052-G2052</x:f>
        <x:v>2997.72</x:v>
      </x:c>
      <x:c r="I2052" s="10" t="n">
        <x:f>H2052/F2052</x:f>
        <x:v>0.4901438848920863</x:v>
      </x:c>
    </x:row>
    <x:row r="2053" ht="22" customHeight="1">
      <x:c r="A2053" s="11" t="str">
        <x:v>598</x:v>
      </x:c>
      <x:c r="B2053" s="8" t="str">
        <x:v>Contoso Screen 80in E080 White</x:v>
      </x:c>
      <x:c r="C2053" s="8" t="n">
        <x:v>42</x:v>
      </x:c>
      <x:c r="D2053" s="9" t="n">
        <x:v>109</x:v>
      </x:c>
      <x:c r="E2053" s="9" t="n">
        <x:v>55.57</x:v>
      </x:c>
      <x:c r="F2053" s="8" t="n">
        <x:f>C2053*D2053</x:f>
        <x:v>4578</x:v>
      </x:c>
      <x:c r="G2053" s="8" t="n">
        <x:f>C2053*E2053</x:f>
        <x:v>2333.94</x:v>
      </x:c>
      <x:c r="H2053" s="8" t="n">
        <x:f>F2053-G2053</x:f>
        <x:v>2244.06</x:v>
      </x:c>
      <x:c r="I2053" s="10" t="n">
        <x:f>H2053/F2053</x:f>
        <x:v>0.4901834862385321</x:v>
      </x:c>
    </x:row>
    <x:row r="2054" ht="22" customHeight="1">
      <x:c r="A2054" s="11" t="str">
        <x:v>599</x:v>
      </x:c>
      <x:c r="B2054" s="8" t="str">
        <x:v>Contoso Projector 1080p X980 Silver</x:v>
      </x:c>
      <x:c r="C2054" s="8" t="n">
        <x:v>60</x:v>
      </x:c>
      <x:c r="D2054" s="9" t="n">
        <x:v>2295</x:v>
      </x:c>
      <x:c r="E2054" s="9" t="n">
        <x:v>760.38</x:v>
      </x:c>
      <x:c r="F2054" s="8" t="n">
        <x:f>C2054*D2054</x:f>
        <x:v>137700</x:v>
      </x:c>
      <x:c r="G2054" s="8" t="n">
        <x:f>C2054*E2054</x:f>
        <x:v>45622.8</x:v>
      </x:c>
      <x:c r="H2054" s="8" t="n">
        <x:f>F2054-G2054</x:f>
        <x:v>92077.2</x:v>
      </x:c>
      <x:c r="I2054" s="10" t="n">
        <x:f>H2054/F2054</x:f>
        <x:v>0.6686797385620915</x:v>
      </x:c>
    </x:row>
    <x:row r="2055" ht="22" customHeight="1">
      <x:c r="A2055" s="11" t="str">
        <x:v>6</x:v>
      </x:c>
      <x:c r="B2055" s="8" t="str">
        <x:v>Contoso 2G MP3 Player E200 Black</x:v>
      </x:c>
      <x:c r="C2055" s="8" t="n">
        <x:v>58</x:v>
      </x:c>
      <x:c r="D2055" s="9" t="n">
        <x:v>21.57</x:v>
      </x:c>
      <x:c r="E2055" s="9" t="n">
        <x:v>11</x:v>
      </x:c>
      <x:c r="F2055" s="8" t="n">
        <x:f>C2055*D2055</x:f>
        <x:v>1251.06</x:v>
      </x:c>
      <x:c r="G2055" s="8" t="n">
        <x:f>C2055*E2055</x:f>
        <x:v>638</x:v>
      </x:c>
      <x:c r="H2055" s="8" t="n">
        <x:f>F2055-G2055</x:f>
        <x:v>613.06</x:v>
      </x:c>
      <x:c r="I2055" s="10" t="n">
        <x:f>H2055/F2055</x:f>
        <x:v>0.4900324524802967</x:v>
      </x:c>
    </x:row>
    <x:row r="2056" ht="22" customHeight="1">
      <x:c r="A2056" s="11" t="str">
        <x:v>60</x:v>
      </x:c>
      <x:c r="B2056" s="8" t="str">
        <x:v>WWI 1GB Digital Voice Recorder Pen E100 White</x:v>
      </x:c>
      <x:c r="C2056" s="8" t="n">
        <x:v>357</x:v>
      </x:c>
      <x:c r="D2056" s="9" t="n">
        <x:v>156</x:v>
      </x:c>
      <x:c r="E2056" s="9" t="n">
        <x:v>79.53</x:v>
      </x:c>
      <x:c r="F2056" s="8" t="n">
        <x:f>C2056*D2056</x:f>
        <x:v>55692</x:v>
      </x:c>
      <x:c r="G2056" s="8" t="n">
        <x:f>C2056*E2056</x:f>
        <x:v>28392.21</x:v>
      </x:c>
      <x:c r="H2056" s="8" t="n">
        <x:f>F2056-G2056</x:f>
        <x:v>27299.79</x:v>
      </x:c>
      <x:c r="I2056" s="10" t="n">
        <x:f>H2056/F2056</x:f>
        <x:v>0.4901923076923077</x:v>
      </x:c>
    </x:row>
    <x:row r="2057" ht="22" customHeight="1">
      <x:c r="A2057" s="11" t="str">
        <x:v>600</x:v>
      </x:c>
      <x:c r="B2057" s="8" t="str">
        <x:v>Contoso Projector 1080p X981 Silver</x:v>
      </x:c>
      <x:c r="C2057" s="8" t="n">
        <x:v>56</x:v>
      </x:c>
      <x:c r="D2057" s="9" t="n">
        <x:v>2499</x:v>
      </x:c>
      <x:c r="E2057" s="9" t="n">
        <x:v>827.97</x:v>
      </x:c>
      <x:c r="F2057" s="8" t="n">
        <x:f>C2057*D2057</x:f>
        <x:v>139944</x:v>
      </x:c>
      <x:c r="G2057" s="8" t="n">
        <x:f>C2057*E2057</x:f>
        <x:v>46366.32</x:v>
      </x:c>
      <x:c r="H2057" s="8" t="n">
        <x:f>F2057-G2057</x:f>
        <x:v>93577.68</x:v>
      </x:c>
      <x:c r="I2057" s="10" t="n">
        <x:f>H2057/F2057</x:f>
        <x:v>0.6686794717887155</x:v>
      </x:c>
    </x:row>
    <x:row r="2058" ht="22" customHeight="1">
      <x:c r="A2058" s="11" t="str">
        <x:v>601</x:v>
      </x:c>
      <x:c r="B2058" s="8" t="str">
        <x:v>Contoso Projector 720p M620 Silver</x:v>
      </x:c>
      <x:c r="C2058" s="8" t="n">
        <x:v>19</x:v>
      </x:c>
      <x:c r="D2058" s="9" t="n">
        <x:v>699</x:v>
      </x:c>
      <x:c r="E2058" s="9" t="n">
        <x:v>321.44</x:v>
      </x:c>
      <x:c r="F2058" s="8" t="n">
        <x:f>C2058*D2058</x:f>
        <x:v>13281</x:v>
      </x:c>
      <x:c r="G2058" s="8" t="n">
        <x:f>C2058*E2058</x:f>
        <x:v>6107.36</x:v>
      </x:c>
      <x:c r="H2058" s="8" t="n">
        <x:f>F2058-G2058</x:f>
        <x:v>7173.64</x:v>
      </x:c>
      <x:c r="I2058" s="10" t="n">
        <x:f>H2058/F2058</x:f>
        <x:v>0.5401430615164521</x:v>
      </x:c>
    </x:row>
    <x:row r="2059" ht="22" customHeight="1">
      <x:c r="A2059" s="11" t="str">
        <x:v>602</x:v>
      </x:c>
      <x:c r="B2059" s="8" t="str">
        <x:v>Contoso Projector 720p M621 Silver</x:v>
      </x:c>
      <x:c r="C2059" s="8" t="n">
        <x:v>52</x:v>
      </x:c>
      <x:c r="D2059" s="9" t="n">
        <x:v>999</x:v>
      </x:c>
      <x:c r="E2059" s="9" t="n">
        <x:v>459.4</x:v>
      </x:c>
      <x:c r="F2059" s="8" t="n">
        <x:f>C2059*D2059</x:f>
        <x:v>51948</x:v>
      </x:c>
      <x:c r="G2059" s="8" t="n">
        <x:f>C2059*E2059</x:f>
        <x:v>23888.8</x:v>
      </x:c>
      <x:c r="H2059" s="8" t="n">
        <x:f>F2059-G2059</x:f>
        <x:v>28059.2</x:v>
      </x:c>
      <x:c r="I2059" s="10" t="n">
        <x:f>H2059/F2059</x:f>
        <x:v>0.5401401401401401</x:v>
      </x:c>
    </x:row>
    <x:row r="2060" ht="22" customHeight="1">
      <x:c r="A2060" s="11" t="str">
        <x:v>603</x:v>
      </x:c>
      <x:c r="B2060" s="8" t="str">
        <x:v>Contoso Projector 480p M480 Silver</x:v>
      </x:c>
      <x:c r="C2060" s="8" t="n">
        <x:v>65</x:v>
      </x:c>
      <x:c r="D2060" s="9" t="n">
        <x:v>229</x:v>
      </x:c>
      <x:c r="E2060" s="9" t="n">
        <x:v>116.75</x:v>
      </x:c>
      <x:c r="F2060" s="8" t="n">
        <x:f>C2060*D2060</x:f>
        <x:v>14885</x:v>
      </x:c>
      <x:c r="G2060" s="8" t="n">
        <x:f>C2060*E2060</x:f>
        <x:v>7588.75</x:v>
      </x:c>
      <x:c r="H2060" s="8" t="n">
        <x:f>F2060-G2060</x:f>
        <x:v>7296.25</x:v>
      </x:c>
      <x:c r="I2060" s="10" t="n">
        <x:f>H2060/F2060</x:f>
        <x:v>0.490174672489083</x:v>
      </x:c>
    </x:row>
    <x:row r="2061" ht="22" customHeight="1">
      <x:c r="A2061" s="11" t="str">
        <x:v>604</x:v>
      </x:c>
      <x:c r="B2061" s="8" t="str">
        <x:v>Contoso Projector 480p M481 Silver</x:v>
      </x:c>
      <x:c r="C2061" s="8" t="n">
        <x:v>21</x:v>
      </x:c>
      <x:c r="D2061" s="9" t="n">
        <x:v>499</x:v>
      </x:c>
      <x:c r="E2061" s="9" t="n">
        <x:v>254.4</x:v>
      </x:c>
      <x:c r="F2061" s="8" t="n">
        <x:f>C2061*D2061</x:f>
        <x:v>10479</x:v>
      </x:c>
      <x:c r="G2061" s="8" t="n">
        <x:f>C2061*E2061</x:f>
        <x:v>5342.400000000001</x:v>
      </x:c>
      <x:c r="H2061" s="8" t="n">
        <x:f>F2061-G2061</x:f>
        <x:v>5136.599999999999</x:v>
      </x:c>
      <x:c r="I2061" s="10" t="n">
        <x:f>H2061/F2061</x:f>
        <x:v>0.49018036072144283</x:v>
      </x:c>
    </x:row>
    <x:row r="2062" ht="22" customHeight="1">
      <x:c r="A2062" s="11" t="str">
        <x:v>605</x:v>
      </x:c>
      <x:c r="B2062" s="8" t="str">
        <x:v>Contoso Screen 125in M250 Silver</x:v>
      </x:c>
      <x:c r="C2062" s="8" t="n">
        <x:v>46</x:v>
      </x:c>
      <x:c r="D2062" s="9" t="n">
        <x:v>459</x:v>
      </x:c>
      <x:c r="E2062" s="9" t="n">
        <x:v>152.08</x:v>
      </x:c>
      <x:c r="F2062" s="8" t="n">
        <x:f>C2062*D2062</x:f>
        <x:v>21114</x:v>
      </x:c>
      <x:c r="G2062" s="8" t="n">
        <x:f>C2062*E2062</x:f>
        <x:v>6995.68</x:v>
      </x:c>
      <x:c r="H2062" s="8" t="n">
        <x:f>F2062-G2062</x:f>
        <x:v>14118.32</x:v>
      </x:c>
      <x:c r="I2062" s="10" t="n">
        <x:f>H2062/F2062</x:f>
        <x:v>0.6686710239651416</x:v>
      </x:c>
    </x:row>
    <x:row r="2063" ht="22" customHeight="1">
      <x:c r="A2063" s="11" t="str">
        <x:v>606</x:v>
      </x:c>
      <x:c r="B2063" s="8" t="str">
        <x:v>Contoso Screen 113in M251 Silver</x:v>
      </x:c>
      <x:c r="C2063" s="8" t="n">
        <x:v>32</x:v>
      </x:c>
      <x:c r="D2063" s="9" t="n">
        <x:v>299</x:v>
      </x:c>
      <x:c r="E2063" s="9" t="n">
        <x:v>137.5</x:v>
      </x:c>
      <x:c r="F2063" s="8" t="n">
        <x:f>C2063*D2063</x:f>
        <x:v>9568</x:v>
      </x:c>
      <x:c r="G2063" s="8" t="n">
        <x:f>C2063*E2063</x:f>
        <x:v>4400</x:v>
      </x:c>
      <x:c r="H2063" s="8" t="n">
        <x:f>F2063-G2063</x:f>
        <x:v>5168</x:v>
      </x:c>
      <x:c r="I2063" s="10" t="n">
        <x:f>H2063/F2063</x:f>
        <x:v>0.540133779264214</x:v>
      </x:c>
    </x:row>
    <x:row r="2064" ht="22" customHeight="1">
      <x:c r="A2064" s="11" t="str">
        <x:v>607</x:v>
      </x:c>
      <x:c r="B2064" s="8" t="str">
        <x:v>Contoso Screen 106in M060 Silver</x:v>
      </x:c>
      <x:c r="C2064" s="8" t="n">
        <x:v>38</x:v>
      </x:c>
      <x:c r="D2064" s="9" t="n">
        <x:v>251</x:v>
      </x:c>
      <x:c r="E2064" s="9" t="n">
        <x:v>83.16</x:v>
      </x:c>
      <x:c r="F2064" s="8" t="n">
        <x:f>C2064*D2064</x:f>
        <x:v>9538</x:v>
      </x:c>
      <x:c r="G2064" s="8" t="n">
        <x:f>C2064*E2064</x:f>
        <x:v>3160.08</x:v>
      </x:c>
      <x:c r="H2064" s="8" t="n">
        <x:f>F2064-G2064</x:f>
        <x:v>6377.92</x:v>
      </x:c>
      <x:c r="I2064" s="10" t="n">
        <x:f>H2064/F2064</x:f>
        <x:v>0.6686852589641434</x:v>
      </x:c>
    </x:row>
    <x:row r="2065" ht="22" customHeight="1">
      <x:c r="A2065" s="11" t="str">
        <x:v>608</x:v>
      </x:c>
      <x:c r="B2065" s="8" t="str">
        <x:v>Contoso Screen 100in E010 Silver</x:v>
      </x:c>
      <x:c r="C2065" s="8" t="n">
        <x:v>109</x:v>
      </x:c>
      <x:c r="D2065" s="9" t="n">
        <x:v>190</x:v>
      </x:c>
      <x:c r="E2065" s="9" t="n">
        <x:v>62.95</x:v>
      </x:c>
      <x:c r="F2065" s="8" t="n">
        <x:f>C2065*D2065</x:f>
        <x:v>20710</x:v>
      </x:c>
      <x:c r="G2065" s="8" t="n">
        <x:f>C2065*E2065</x:f>
        <x:v>6861.55</x:v>
      </x:c>
      <x:c r="H2065" s="8" t="n">
        <x:f>F2065-G2065</x:f>
        <x:v>13848.45</x:v>
      </x:c>
      <x:c r="I2065" s="10" t="n">
        <x:f>H2065/F2065</x:f>
        <x:v>0.6686842105263158</x:v>
      </x:c>
    </x:row>
    <x:row r="2066" ht="22" customHeight="1">
      <x:c r="A2066" s="11" t="str">
        <x:v>609</x:v>
      </x:c>
      <x:c r="B2066" s="8" t="str">
        <x:v>Contoso Screen 85in E085 Silver</x:v>
      </x:c>
      <x:c r="C2066" s="8" t="n">
        <x:v>40</x:v>
      </x:c>
      <x:c r="D2066" s="9" t="n">
        <x:v>139</x:v>
      </x:c>
      <x:c r="E2066" s="9" t="n">
        <x:v>70.87</x:v>
      </x:c>
      <x:c r="F2066" s="8" t="n">
        <x:f>C2066*D2066</x:f>
        <x:v>5560</x:v>
      </x:c>
      <x:c r="G2066" s="8" t="n">
        <x:f>C2066*E2066</x:f>
        <x:v>2834.8</x:v>
      </x:c>
      <x:c r="H2066" s="8" t="n">
        <x:f>F2066-G2066</x:f>
        <x:v>2725.2</x:v>
      </x:c>
      <x:c r="I2066" s="10" t="n">
        <x:f>H2066/F2066</x:f>
        <x:v>0.4901438848920863</x:v>
      </x:c>
    </x:row>
    <x:row r="2067" ht="22" customHeight="1">
      <x:c r="A2067" s="11" t="str">
        <x:v>61</x:v>
      </x:c>
      <x:c r="B2067" s="8" t="str">
        <x:v>WWI 2GB Spy Video Recorder Pen M300 Black</x:v>
      </x:c>
      <x:c r="C2067" s="8" t="n">
        <x:v>340</x:v>
      </x:c>
      <x:c r="D2067" s="9" t="n">
        <x:v>181</x:v>
      </x:c>
      <x:c r="E2067" s="9" t="n">
        <x:v>83.24</x:v>
      </x:c>
      <x:c r="F2067" s="8" t="n">
        <x:f>C2067*D2067</x:f>
        <x:v>61540</x:v>
      </x:c>
      <x:c r="G2067" s="8" t="n">
        <x:f>C2067*E2067</x:f>
        <x:v>28301.6</x:v>
      </x:c>
      <x:c r="H2067" s="8" t="n">
        <x:f>F2067-G2067</x:f>
        <x:v>33238.4</x:v>
      </x:c>
      <x:c r="I2067" s="10" t="n">
        <x:f>H2067/F2067</x:f>
        <x:v>0.5401104972375691</x:v>
      </x:c>
    </x:row>
    <x:row r="2068" ht="22" customHeight="1">
      <x:c r="A2068" s="11" t="str">
        <x:v>610</x:v>
      </x:c>
      <x:c r="B2068" s="8" t="str">
        <x:v>Contoso Screen 80in E080 Silver</x:v>
      </x:c>
      <x:c r="C2068" s="8" t="n">
        <x:v>41</x:v>
      </x:c>
      <x:c r="D2068" s="9" t="n">
        <x:v>109</x:v>
      </x:c>
      <x:c r="E2068" s="9" t="n">
        <x:v>55.57</x:v>
      </x:c>
      <x:c r="F2068" s="8" t="n">
        <x:f>C2068*D2068</x:f>
        <x:v>4469</x:v>
      </x:c>
      <x:c r="G2068" s="8" t="n">
        <x:f>C2068*E2068</x:f>
        <x:v>2278.37</x:v>
      </x:c>
      <x:c r="H2068" s="8" t="n">
        <x:f>F2068-G2068</x:f>
        <x:v>2190.63</x:v>
      </x:c>
      <x:c r="I2068" s="10" t="n">
        <x:f>H2068/F2068</x:f>
        <x:v>0.49018348623853214</x:v>
      </x:c>
    </x:row>
    <x:row r="2069" ht="22" customHeight="1">
      <x:c r="A2069" s="11" t="str">
        <x:v>611</x:v>
      </x:c>
      <x:c r="B2069" s="8" t="str">
        <x:v>WWI Projector 1080p LCD86 Black</x:v>
      </x:c>
      <x:c r="C2069" s="8" t="n">
        <x:v>59</x:v>
      </x:c>
      <x:c r="D2069" s="9" t="n">
        <x:v>2295</x:v>
      </x:c>
      <x:c r="E2069" s="9" t="n">
        <x:v>760.38</x:v>
      </x:c>
      <x:c r="F2069" s="8" t="n">
        <x:f>C2069*D2069</x:f>
        <x:v>135405</x:v>
      </x:c>
      <x:c r="G2069" s="8" t="n">
        <x:f>C2069*E2069</x:f>
        <x:v>44862.42</x:v>
      </x:c>
      <x:c r="H2069" s="8" t="n">
        <x:f>F2069-G2069</x:f>
        <x:v>90542.58</x:v>
      </x:c>
      <x:c r="I2069" s="10" t="n">
        <x:f>H2069/F2069</x:f>
        <x:v>0.6686797385620915</x:v>
      </x:c>
    </x:row>
    <x:row r="2070" ht="22" customHeight="1">
      <x:c r="A2070" s="11" t="str">
        <x:v>612</x:v>
      </x:c>
      <x:c r="B2070" s="8" t="str">
        <x:v>WWI Projector 1080p DLP86 Black</x:v>
      </x:c>
      <x:c r="C2070" s="8" t="n">
        <x:v>57</x:v>
      </x:c>
      <x:c r="D2070" s="9" t="n">
        <x:v>2499</x:v>
      </x:c>
      <x:c r="E2070" s="9" t="n">
        <x:v>827.97</x:v>
      </x:c>
      <x:c r="F2070" s="8" t="n">
        <x:f>C2070*D2070</x:f>
        <x:v>142443</x:v>
      </x:c>
      <x:c r="G2070" s="8" t="n">
        <x:f>C2070*E2070</x:f>
        <x:v>47194.29</x:v>
      </x:c>
      <x:c r="H2070" s="8" t="n">
        <x:f>F2070-G2070</x:f>
        <x:v>95248.70999999999</x:v>
      </x:c>
      <x:c r="I2070" s="10" t="n">
        <x:f>H2070/F2070</x:f>
        <x:v>0.6686794717887155</x:v>
      </x:c>
    </x:row>
    <x:row r="2071" ht="22" customHeight="1">
      <x:c r="A2071" s="11" t="str">
        <x:v>613</x:v>
      </x:c>
      <x:c r="B2071" s="8" t="str">
        <x:v>WWI Projector 720p LCD56 Black</x:v>
      </x:c>
      <x:c r="C2071" s="8" t="n">
        <x:v>46</x:v>
      </x:c>
      <x:c r="D2071" s="9" t="n">
        <x:v>699</x:v>
      </x:c>
      <x:c r="E2071" s="9" t="n">
        <x:v>321.44</x:v>
      </x:c>
      <x:c r="F2071" s="8" t="n">
        <x:f>C2071*D2071</x:f>
        <x:v>32154</x:v>
      </x:c>
      <x:c r="G2071" s="8" t="n">
        <x:f>C2071*E2071</x:f>
        <x:v>14786.24</x:v>
      </x:c>
      <x:c r="H2071" s="8" t="n">
        <x:f>F2071-G2071</x:f>
        <x:v>17367.760000000002</x:v>
      </x:c>
      <x:c r="I2071" s="10" t="n">
        <x:f>H2071/F2071</x:f>
        <x:v>0.5401430615164521</x:v>
      </x:c>
    </x:row>
    <x:row r="2072" ht="22" customHeight="1">
      <x:c r="A2072" s="11" t="str">
        <x:v>614</x:v>
      </x:c>
      <x:c r="B2072" s="8" t="str">
        <x:v>WWI Projector 720p DLP56 Black</x:v>
      </x:c>
      <x:c r="C2072" s="8" t="n">
        <x:v>37</x:v>
      </x:c>
      <x:c r="D2072" s="9" t="n">
        <x:v>999</x:v>
      </x:c>
      <x:c r="E2072" s="9" t="n">
        <x:v>459.4</x:v>
      </x:c>
      <x:c r="F2072" s="8" t="n">
        <x:f>C2072*D2072</x:f>
        <x:v>36963</x:v>
      </x:c>
      <x:c r="G2072" s="8" t="n">
        <x:f>C2072*E2072</x:f>
        <x:v>16997.8</x:v>
      </x:c>
      <x:c r="H2072" s="8" t="n">
        <x:f>F2072-G2072</x:f>
        <x:v>19965.2</x:v>
      </x:c>
      <x:c r="I2072" s="10" t="n">
        <x:f>H2072/F2072</x:f>
        <x:v>0.5401401401401401</x:v>
      </x:c>
    </x:row>
    <x:row r="2073" ht="22" customHeight="1">
      <x:c r="A2073" s="11" t="str">
        <x:v>615</x:v>
      </x:c>
      <x:c r="B2073" s="8" t="str">
        <x:v>WWI Projector 480p LCD12 Black</x:v>
      </x:c>
      <x:c r="C2073" s="8" t="n">
        <x:v>37</x:v>
      </x:c>
      <x:c r="D2073" s="9" t="n">
        <x:v>229</x:v>
      </x:c>
      <x:c r="E2073" s="9" t="n">
        <x:v>116.75</x:v>
      </x:c>
      <x:c r="F2073" s="8" t="n">
        <x:f>C2073*D2073</x:f>
        <x:v>8473</x:v>
      </x:c>
      <x:c r="G2073" s="8" t="n">
        <x:f>C2073*E2073</x:f>
        <x:v>4319.75</x:v>
      </x:c>
      <x:c r="H2073" s="8" t="n">
        <x:f>F2073-G2073</x:f>
        <x:v>4153.25</x:v>
      </x:c>
      <x:c r="I2073" s="10" t="n">
        <x:f>H2073/F2073</x:f>
        <x:v>0.490174672489083</x:v>
      </x:c>
    </x:row>
    <x:row r="2074" ht="22" customHeight="1">
      <x:c r="A2074" s="11" t="str">
        <x:v>616</x:v>
      </x:c>
      <x:c r="B2074" s="8" t="str">
        <x:v>WWI Projector 480p DLP12 Black</x:v>
      </x:c>
      <x:c r="C2074" s="8" t="n">
        <x:v>61</x:v>
      </x:c>
      <x:c r="D2074" s="9" t="n">
        <x:v>499</x:v>
      </x:c>
      <x:c r="E2074" s="9" t="n">
        <x:v>254.4</x:v>
      </x:c>
      <x:c r="F2074" s="8" t="n">
        <x:f>C2074*D2074</x:f>
        <x:v>30439</x:v>
      </x:c>
      <x:c r="G2074" s="8" t="n">
        <x:f>C2074*E2074</x:f>
        <x:v>15518.4</x:v>
      </x:c>
      <x:c r="H2074" s="8" t="n">
        <x:f>F2074-G2074</x:f>
        <x:v>14920.6</x:v>
      </x:c>
      <x:c r="I2074" s="10" t="n">
        <x:f>H2074/F2074</x:f>
        <x:v>0.4901803607214429</x:v>
      </x:c>
    </x:row>
    <x:row r="2075" ht="22" customHeight="1">
      <x:c r="A2075" s="11" t="str">
        <x:v>617</x:v>
      </x:c>
      <x:c r="B2075" s="8" t="str">
        <x:v>WWI Screen 125in M1611 Black</x:v>
      </x:c>
      <x:c r="C2075" s="8" t="n">
        <x:v>64</x:v>
      </x:c>
      <x:c r="D2075" s="9" t="n">
        <x:v>459</x:v>
      </x:c>
      <x:c r="E2075" s="9" t="n">
        <x:v>152.08</x:v>
      </x:c>
      <x:c r="F2075" s="8" t="n">
        <x:f>C2075*D2075</x:f>
        <x:v>29376</x:v>
      </x:c>
      <x:c r="G2075" s="8" t="n">
        <x:f>C2075*E2075</x:f>
        <x:v>9733.12</x:v>
      </x:c>
      <x:c r="H2075" s="8" t="n">
        <x:f>F2075-G2075</x:f>
        <x:v>19642.879999999997</x:v>
      </x:c>
      <x:c r="I2075" s="10" t="n">
        <x:f>H2075/F2075</x:f>
        <x:v>0.6686710239651416</x:v>
      </x:c>
    </x:row>
    <x:row r="2076" ht="22" customHeight="1">
      <x:c r="A2076" s="11" t="str">
        <x:v>618</x:v>
      </x:c>
      <x:c r="B2076" s="8" t="str">
        <x:v>WWI Screen 113in M1610 Black</x:v>
      </x:c>
      <x:c r="C2076" s="8" t="n">
        <x:v>69</x:v>
      </x:c>
      <x:c r="D2076" s="9" t="n">
        <x:v>299</x:v>
      </x:c>
      <x:c r="E2076" s="9" t="n">
        <x:v>99.06</x:v>
      </x:c>
      <x:c r="F2076" s="8" t="n">
        <x:f>C2076*D2076</x:f>
        <x:v>20631</x:v>
      </x:c>
      <x:c r="G2076" s="8" t="n">
        <x:f>C2076*E2076</x:f>
        <x:v>6835.14</x:v>
      </x:c>
      <x:c r="H2076" s="8" t="n">
        <x:f>F2076-G2076</x:f>
        <x:v>13795.86</x:v>
      </x:c>
      <x:c r="I2076" s="10" t="n">
        <x:f>H2076/F2076</x:f>
        <x:v>0.668695652173913</x:v>
      </x:c>
    </x:row>
    <x:row r="2077" ht="22" customHeight="1">
      <x:c r="A2077" s="11" t="str">
        <x:v>619</x:v>
      </x:c>
      <x:c r="B2077" s="8" t="str">
        <x:v>WWI Screen 106in M1609 Black</x:v>
      </x:c>
      <x:c r="C2077" s="8" t="n">
        <x:v>51</x:v>
      </x:c>
      <x:c r="D2077" s="9" t="n">
        <x:v>251</x:v>
      </x:c>
      <x:c r="E2077" s="9" t="n">
        <x:v>115.43</x:v>
      </x:c>
      <x:c r="F2077" s="8" t="n">
        <x:f>C2077*D2077</x:f>
        <x:v>12801</x:v>
      </x:c>
      <x:c r="G2077" s="8" t="n">
        <x:f>C2077*E2077</x:f>
        <x:v>5886.93</x:v>
      </x:c>
      <x:c r="H2077" s="8" t="n">
        <x:f>F2077-G2077</x:f>
        <x:v>6914.07</x:v>
      </x:c>
      <x:c r="I2077" s="10" t="n">
        <x:f>H2077/F2077</x:f>
        <x:v>0.5401195219123506</x:v>
      </x:c>
    </x:row>
    <x:row r="2078" ht="22" customHeight="1">
      <x:c r="A2078" s="11" t="str">
        <x:v>62</x:v>
      </x:c>
      <x:c r="B2078" s="8" t="str">
        <x:v>WWI 2GB Spy Video Recorder Pen M300 White</x:v>
      </x:c>
      <x:c r="C2078" s="8" t="n">
        <x:v>284</x:v>
      </x:c>
      <x:c r="D2078" s="9" t="n">
        <x:v>181</x:v>
      </x:c>
      <x:c r="E2078" s="9" t="n">
        <x:v>83.24</x:v>
      </x:c>
      <x:c r="F2078" s="8" t="n">
        <x:f>C2078*D2078</x:f>
        <x:v>51404</x:v>
      </x:c>
      <x:c r="G2078" s="8" t="n">
        <x:f>C2078*E2078</x:f>
        <x:v>23640.16</x:v>
      </x:c>
      <x:c r="H2078" s="8" t="n">
        <x:f>F2078-G2078</x:f>
        <x:v>27763.84</x:v>
      </x:c>
      <x:c r="I2078" s="10" t="n">
        <x:f>H2078/F2078</x:f>
        <x:v>0.5401104972375691</x:v>
      </x:c>
    </x:row>
    <x:row r="2079" ht="22" customHeight="1">
      <x:c r="A2079" s="11" t="str">
        <x:v>620</x:v>
      </x:c>
      <x:c r="B2079" s="8" t="str">
        <x:v>WWI Screen 100in M1609 Black</x:v>
      </x:c>
      <x:c r="C2079" s="8" t="n">
        <x:v>54</x:v>
      </x:c>
      <x:c r="D2079" s="9" t="n">
        <x:v>190</x:v>
      </x:c>
      <x:c r="E2079" s="9" t="n">
        <x:v>87.37</x:v>
      </x:c>
      <x:c r="F2079" s="8" t="n">
        <x:f>C2079*D2079</x:f>
        <x:v>10260</x:v>
      </x:c>
      <x:c r="G2079" s="8" t="n">
        <x:f>C2079*E2079</x:f>
        <x:v>4717.9800000000005</x:v>
      </x:c>
      <x:c r="H2079" s="8" t="n">
        <x:f>F2079-G2079</x:f>
        <x:v>5542.0199999999995</x:v>
      </x:c>
      <x:c r="I2079" s="10" t="n">
        <x:f>H2079/F2079</x:f>
        <x:v>0.5401578947368421</x:v>
      </x:c>
    </x:row>
    <x:row r="2080" ht="22" customHeight="1">
      <x:c r="A2080" s="11" t="str">
        <x:v>621</x:v>
      </x:c>
      <x:c r="B2080" s="8" t="str">
        <x:v>WWI Screen 85in E1010 Black</x:v>
      </x:c>
      <x:c r="C2080" s="8" t="n">
        <x:v>52</x:v>
      </x:c>
      <x:c r="D2080" s="9" t="n">
        <x:v>139</x:v>
      </x:c>
      <x:c r="E2080" s="9" t="n">
        <x:v>70.87</x:v>
      </x:c>
      <x:c r="F2080" s="8" t="n">
        <x:f>C2080*D2080</x:f>
        <x:v>7228</x:v>
      </x:c>
      <x:c r="G2080" s="8" t="n">
        <x:f>C2080*E2080</x:f>
        <x:v>3685.2400000000002</x:v>
      </x:c>
      <x:c r="H2080" s="8" t="n">
        <x:f>F2080-G2080</x:f>
        <x:v>3542.7599999999998</x:v>
      </x:c>
      <x:c r="I2080" s="10" t="n">
        <x:f>H2080/F2080</x:f>
        <x:v>0.4901438848920863</x:v>
      </x:c>
    </x:row>
    <x:row r="2081" ht="22" customHeight="1">
      <x:c r="A2081" s="11" t="str">
        <x:v>622</x:v>
      </x:c>
      <x:c r="B2081" s="8" t="str">
        <x:v>WWI Projector 1080p LCD86 White</x:v>
      </x:c>
      <x:c r="C2081" s="8" t="n">
        <x:v>56</x:v>
      </x:c>
      <x:c r="D2081" s="9" t="n">
        <x:v>2295</x:v>
      </x:c>
      <x:c r="E2081" s="9" t="n">
        <x:v>760.38</x:v>
      </x:c>
      <x:c r="F2081" s="8" t="n">
        <x:f>C2081*D2081</x:f>
        <x:v>128520</x:v>
      </x:c>
      <x:c r="G2081" s="8" t="n">
        <x:f>C2081*E2081</x:f>
        <x:v>42581.28</x:v>
      </x:c>
      <x:c r="H2081" s="8" t="n">
        <x:f>F2081-G2081</x:f>
        <x:v>85938.72</x:v>
      </x:c>
      <x:c r="I2081" s="10" t="n">
        <x:f>H2081/F2081</x:f>
        <x:v>0.6686797385620915</x:v>
      </x:c>
    </x:row>
    <x:row r="2082" ht="22" customHeight="1">
      <x:c r="A2082" s="11" t="str">
        <x:v>623</x:v>
      </x:c>
      <x:c r="B2082" s="8" t="str">
        <x:v>WWI Projector 1080p DLP86 White</x:v>
      </x:c>
      <x:c r="C2082" s="8" t="n">
        <x:v>59</x:v>
      </x:c>
      <x:c r="D2082" s="9" t="n">
        <x:v>2499</x:v>
      </x:c>
      <x:c r="E2082" s="9" t="n">
        <x:v>827.97</x:v>
      </x:c>
      <x:c r="F2082" s="8" t="n">
        <x:f>C2082*D2082</x:f>
        <x:v>147441</x:v>
      </x:c>
      <x:c r="G2082" s="8" t="n">
        <x:f>C2082*E2082</x:f>
        <x:v>48850.23</x:v>
      </x:c>
      <x:c r="H2082" s="8" t="n">
        <x:f>F2082-G2082</x:f>
        <x:v>98590.76999999999</x:v>
      </x:c>
      <x:c r="I2082" s="10" t="n">
        <x:f>H2082/F2082</x:f>
        <x:v>0.6686794717887155</x:v>
      </x:c>
    </x:row>
    <x:row r="2083" ht="22" customHeight="1">
      <x:c r="A2083" s="11" t="str">
        <x:v>624</x:v>
      </x:c>
      <x:c r="B2083" s="8" t="str">
        <x:v>WWI Projector 720p LCD56 White</x:v>
      </x:c>
      <x:c r="C2083" s="8" t="n">
        <x:v>34</x:v>
      </x:c>
      <x:c r="D2083" s="9" t="n">
        <x:v>699</x:v>
      </x:c>
      <x:c r="E2083" s="9" t="n">
        <x:v>321.44</x:v>
      </x:c>
      <x:c r="F2083" s="8" t="n">
        <x:f>C2083*D2083</x:f>
        <x:v>23766</x:v>
      </x:c>
      <x:c r="G2083" s="8" t="n">
        <x:f>C2083*E2083</x:f>
        <x:v>10928.96</x:v>
      </x:c>
      <x:c r="H2083" s="8" t="n">
        <x:f>F2083-G2083</x:f>
        <x:v>12837.04</x:v>
      </x:c>
      <x:c r="I2083" s="10" t="n">
        <x:f>H2083/F2083</x:f>
        <x:v>0.5401430615164521</x:v>
      </x:c>
    </x:row>
    <x:row r="2084" ht="22" customHeight="1">
      <x:c r="A2084" s="11" t="str">
        <x:v>625</x:v>
      </x:c>
      <x:c r="B2084" s="8" t="str">
        <x:v>WWI Projector 720p DLP56 White</x:v>
      </x:c>
      <x:c r="C2084" s="8" t="n">
        <x:v>37</x:v>
      </x:c>
      <x:c r="D2084" s="9" t="n">
        <x:v>999</x:v>
      </x:c>
      <x:c r="E2084" s="9" t="n">
        <x:v>459.4</x:v>
      </x:c>
      <x:c r="F2084" s="8" t="n">
        <x:f>C2084*D2084</x:f>
        <x:v>36963</x:v>
      </x:c>
      <x:c r="G2084" s="8" t="n">
        <x:f>C2084*E2084</x:f>
        <x:v>16997.8</x:v>
      </x:c>
      <x:c r="H2084" s="8" t="n">
        <x:f>F2084-G2084</x:f>
        <x:v>19965.2</x:v>
      </x:c>
      <x:c r="I2084" s="10" t="n">
        <x:f>H2084/F2084</x:f>
        <x:v>0.5401401401401401</x:v>
      </x:c>
    </x:row>
    <x:row r="2085" ht="22" customHeight="1">
      <x:c r="A2085" s="11" t="str">
        <x:v>626</x:v>
      </x:c>
      <x:c r="B2085" s="8" t="str">
        <x:v>WWI Projector 480p LCD12 White</x:v>
      </x:c>
      <x:c r="C2085" s="8" t="n">
        <x:v>33</x:v>
      </x:c>
      <x:c r="D2085" s="9" t="n">
        <x:v>229</x:v>
      </x:c>
      <x:c r="E2085" s="9" t="n">
        <x:v>116.75</x:v>
      </x:c>
      <x:c r="F2085" s="8" t="n">
        <x:f>C2085*D2085</x:f>
        <x:v>7557</x:v>
      </x:c>
      <x:c r="G2085" s="8" t="n">
        <x:f>C2085*E2085</x:f>
        <x:v>3852.75</x:v>
      </x:c>
      <x:c r="H2085" s="8" t="n">
        <x:f>F2085-G2085</x:f>
        <x:v>3704.25</x:v>
      </x:c>
      <x:c r="I2085" s="10" t="n">
        <x:f>H2085/F2085</x:f>
        <x:v>0.490174672489083</x:v>
      </x:c>
    </x:row>
    <x:row r="2086" ht="22" customHeight="1">
      <x:c r="A2086" s="11" t="str">
        <x:v>627</x:v>
      </x:c>
      <x:c r="B2086" s="8" t="str">
        <x:v>WWI Projector 480p DLP12 White</x:v>
      </x:c>
      <x:c r="C2086" s="8" t="n">
        <x:v>26</x:v>
      </x:c>
      <x:c r="D2086" s="9" t="n">
        <x:v>499</x:v>
      </x:c>
      <x:c r="E2086" s="9" t="n">
        <x:v>254.4</x:v>
      </x:c>
      <x:c r="F2086" s="8" t="n">
        <x:f>C2086*D2086</x:f>
        <x:v>12974</x:v>
      </x:c>
      <x:c r="G2086" s="8" t="n">
        <x:f>C2086*E2086</x:f>
        <x:v>6614.400000000001</x:v>
      </x:c>
      <x:c r="H2086" s="8" t="n">
        <x:f>F2086-G2086</x:f>
        <x:v>6359.599999999999</x:v>
      </x:c>
      <x:c r="I2086" s="10" t="n">
        <x:f>H2086/F2086</x:f>
        <x:v>0.49018036072144283</x:v>
      </x:c>
    </x:row>
    <x:row r="2087" ht="22" customHeight="1">
      <x:c r="A2087" s="11" t="str">
        <x:v>628</x:v>
      </x:c>
      <x:c r="B2087" s="8" t="str">
        <x:v>WWI Screen 125in M1611 White</x:v>
      </x:c>
      <x:c r="C2087" s="8" t="n">
        <x:v>42</x:v>
      </x:c>
      <x:c r="D2087" s="9" t="n">
        <x:v>459</x:v>
      </x:c>
      <x:c r="E2087" s="9" t="n">
        <x:v>152.08</x:v>
      </x:c>
      <x:c r="F2087" s="8" t="n">
        <x:f>C2087*D2087</x:f>
        <x:v>19278</x:v>
      </x:c>
      <x:c r="G2087" s="8" t="n">
        <x:f>C2087*E2087</x:f>
        <x:v>6387.360000000001</x:v>
      </x:c>
      <x:c r="H2087" s="8" t="n">
        <x:f>F2087-G2087</x:f>
        <x:v>12890.64</x:v>
      </x:c>
      <x:c r="I2087" s="10" t="n">
        <x:f>H2087/F2087</x:f>
        <x:v>0.6686710239651416</x:v>
      </x:c>
    </x:row>
    <x:row r="2088" ht="22" customHeight="1">
      <x:c r="A2088" s="11" t="str">
        <x:v>629</x:v>
      </x:c>
      <x:c r="B2088" s="8" t="str">
        <x:v>WWI Screen 113in M1610 White</x:v>
      </x:c>
      <x:c r="C2088" s="8" t="n">
        <x:v>30</x:v>
      </x:c>
      <x:c r="D2088" s="9" t="n">
        <x:v>299</x:v>
      </x:c>
      <x:c r="E2088" s="9" t="n">
        <x:v>99.06</x:v>
      </x:c>
      <x:c r="F2088" s="8" t="n">
        <x:f>C2088*D2088</x:f>
        <x:v>8970</x:v>
      </x:c>
      <x:c r="G2088" s="8" t="n">
        <x:f>C2088*E2088</x:f>
        <x:v>2971.8</x:v>
      </x:c>
      <x:c r="H2088" s="8" t="n">
        <x:f>F2088-G2088</x:f>
        <x:v>5998.2</x:v>
      </x:c>
      <x:c r="I2088" s="10" t="n">
        <x:f>H2088/F2088</x:f>
        <x:v>0.668695652173913</x:v>
      </x:c>
    </x:row>
    <x:row r="2089" ht="22" customHeight="1">
      <x:c r="A2089" s="11" t="str">
        <x:v>63</x:v>
      </x:c>
      <x:c r="B2089" s="8" t="str">
        <x:v>WWI 2GB Spy Video Recorder Pen M300 Blue</x:v>
      </x:c>
      <x:c r="C2089" s="8" t="n">
        <x:v>314</x:v>
      </x:c>
      <x:c r="D2089" s="9" t="n">
        <x:v>181</x:v>
      </x:c>
      <x:c r="E2089" s="9" t="n">
        <x:v>83.24</x:v>
      </x:c>
      <x:c r="F2089" s="8" t="n">
        <x:f>C2089*D2089</x:f>
        <x:v>56834</x:v>
      </x:c>
      <x:c r="G2089" s="8" t="n">
        <x:f>C2089*E2089</x:f>
        <x:v>26137.359999999997</x:v>
      </x:c>
      <x:c r="H2089" s="8" t="n">
        <x:f>F2089-G2089</x:f>
        <x:v>30696.640000000003</x:v>
      </x:c>
      <x:c r="I2089" s="10" t="n">
        <x:f>H2089/F2089</x:f>
        <x:v>0.5401104972375691</x:v>
      </x:c>
    </x:row>
    <x:row r="2090" ht="22" customHeight="1">
      <x:c r="A2090" s="11" t="str">
        <x:v>630</x:v>
      </x:c>
      <x:c r="B2090" s="8" t="str">
        <x:v>WWI Screen 106in M1609 White</x:v>
      </x:c>
      <x:c r="C2090" s="8" t="n">
        <x:v>52</x:v>
      </x:c>
      <x:c r="D2090" s="9" t="n">
        <x:v>251</x:v>
      </x:c>
      <x:c r="E2090" s="9" t="n">
        <x:v>115.43</x:v>
      </x:c>
      <x:c r="F2090" s="8" t="n">
        <x:f>C2090*D2090</x:f>
        <x:v>13052</x:v>
      </x:c>
      <x:c r="G2090" s="8" t="n">
        <x:f>C2090*E2090</x:f>
        <x:v>6002.360000000001</x:v>
      </x:c>
      <x:c r="H2090" s="8" t="n">
        <x:f>F2090-G2090</x:f>
        <x:v>7049.639999999999</x:v>
      </x:c>
      <x:c r="I2090" s="10" t="n">
        <x:f>H2090/F2090</x:f>
        <x:v>0.5401195219123506</x:v>
      </x:c>
    </x:row>
    <x:row r="2091" ht="22" customHeight="1">
      <x:c r="A2091" s="11" t="str">
        <x:v>631</x:v>
      </x:c>
      <x:c r="B2091" s="8" t="str">
        <x:v>WWI Screen 100in M1609 White</x:v>
      </x:c>
      <x:c r="C2091" s="8" t="n">
        <x:v>47</x:v>
      </x:c>
      <x:c r="D2091" s="9" t="n">
        <x:v>190</x:v>
      </x:c>
      <x:c r="E2091" s="9" t="n">
        <x:v>87.37</x:v>
      </x:c>
      <x:c r="F2091" s="8" t="n">
        <x:f>C2091*D2091</x:f>
        <x:v>8930</x:v>
      </x:c>
      <x:c r="G2091" s="8" t="n">
        <x:f>C2091*E2091</x:f>
        <x:v>4106.39</x:v>
      </x:c>
      <x:c r="H2091" s="8" t="n">
        <x:f>F2091-G2091</x:f>
        <x:v>4823.61</x:v>
      </x:c>
      <x:c r="I2091" s="10" t="n">
        <x:f>H2091/F2091</x:f>
        <x:v>0.5401578947368421</x:v>
      </x:c>
    </x:row>
    <x:row r="2092" ht="22" customHeight="1">
      <x:c r="A2092" s="11" t="str">
        <x:v>632</x:v>
      </x:c>
      <x:c r="B2092" s="8" t="str">
        <x:v>WWI Screen 85in E1010 White</x:v>
      </x:c>
      <x:c r="C2092" s="8" t="n">
        <x:v>57</x:v>
      </x:c>
      <x:c r="D2092" s="9" t="n">
        <x:v>139</x:v>
      </x:c>
      <x:c r="E2092" s="9" t="n">
        <x:v>70.87</x:v>
      </x:c>
      <x:c r="F2092" s="8" t="n">
        <x:f>C2092*D2092</x:f>
        <x:v>7923</x:v>
      </x:c>
      <x:c r="G2092" s="8" t="n">
        <x:f>C2092*E2092</x:f>
        <x:v>4039.59</x:v>
      </x:c>
      <x:c r="H2092" s="8" t="n">
        <x:f>F2092-G2092</x:f>
        <x:v>3883.41</x:v>
      </x:c>
      <x:c r="I2092" s="10" t="n">
        <x:f>H2092/F2092</x:f>
        <x:v>0.4901438848920863</x:v>
      </x:c>
    </x:row>
    <x:row r="2093" ht="22" customHeight="1">
      <x:c r="A2093" s="11" t="str">
        <x:v>633</x:v>
      </x:c>
      <x:c r="B2093" s="8" t="str">
        <x:v>WWI Projector 1080p LCD86 Silver</x:v>
      </x:c>
      <x:c r="C2093" s="8" t="n">
        <x:v>58</x:v>
      </x:c>
      <x:c r="D2093" s="9" t="n">
        <x:v>2295</x:v>
      </x:c>
      <x:c r="E2093" s="9" t="n">
        <x:v>760.38</x:v>
      </x:c>
      <x:c r="F2093" s="8" t="n">
        <x:f>C2093*D2093</x:f>
        <x:v>133110</x:v>
      </x:c>
      <x:c r="G2093" s="8" t="n">
        <x:f>C2093*E2093</x:f>
        <x:v>44102.04</x:v>
      </x:c>
      <x:c r="H2093" s="8" t="n">
        <x:f>F2093-G2093</x:f>
        <x:v>89007.95999999999</x:v>
      </x:c>
      <x:c r="I2093" s="10" t="n">
        <x:f>H2093/F2093</x:f>
        <x:v>0.6686797385620914</x:v>
      </x:c>
    </x:row>
    <x:row r="2094" ht="22" customHeight="1">
      <x:c r="A2094" s="11" t="str">
        <x:v>634</x:v>
      </x:c>
      <x:c r="B2094" s="8" t="str">
        <x:v>WWI Projector 1080p DLP86 Silver</x:v>
      </x:c>
      <x:c r="C2094" s="8" t="n">
        <x:v>54</x:v>
      </x:c>
      <x:c r="D2094" s="9" t="n">
        <x:v>2499</x:v>
      </x:c>
      <x:c r="E2094" s="9" t="n">
        <x:v>827.97</x:v>
      </x:c>
      <x:c r="F2094" s="8" t="n">
        <x:f>C2094*D2094</x:f>
        <x:v>134946</x:v>
      </x:c>
      <x:c r="G2094" s="8" t="n">
        <x:f>C2094*E2094</x:f>
        <x:v>44710.380000000005</x:v>
      </x:c>
      <x:c r="H2094" s="8" t="n">
        <x:f>F2094-G2094</x:f>
        <x:v>90235.62</x:v>
      </x:c>
      <x:c r="I2094" s="10" t="n">
        <x:f>H2094/F2094</x:f>
        <x:v>0.6686794717887155</x:v>
      </x:c>
    </x:row>
    <x:row r="2095" ht="22" customHeight="1">
      <x:c r="A2095" s="11" t="str">
        <x:v>635</x:v>
      </x:c>
      <x:c r="B2095" s="8" t="str">
        <x:v>WWI Projector 720p LCD56 Silver</x:v>
      </x:c>
      <x:c r="C2095" s="8" t="n">
        <x:v>54</x:v>
      </x:c>
      <x:c r="D2095" s="9" t="n">
        <x:v>699</x:v>
      </x:c>
      <x:c r="E2095" s="9" t="n">
        <x:v>321.44</x:v>
      </x:c>
      <x:c r="F2095" s="8" t="n">
        <x:f>C2095*D2095</x:f>
        <x:v>37746</x:v>
      </x:c>
      <x:c r="G2095" s="8" t="n">
        <x:f>C2095*E2095</x:f>
        <x:v>17357.76</x:v>
      </x:c>
      <x:c r="H2095" s="8" t="n">
        <x:f>F2095-G2095</x:f>
        <x:v>20388.24</x:v>
      </x:c>
      <x:c r="I2095" s="10" t="n">
        <x:f>H2095/F2095</x:f>
        <x:v>0.5401430615164521</x:v>
      </x:c>
    </x:row>
    <x:row r="2096" ht="22" customHeight="1">
      <x:c r="A2096" s="11" t="str">
        <x:v>636</x:v>
      </x:c>
      <x:c r="B2096" s="8" t="str">
        <x:v>WWI Projector 720p DLP56 Silver</x:v>
      </x:c>
      <x:c r="C2096" s="8" t="n">
        <x:v>52</x:v>
      </x:c>
      <x:c r="D2096" s="9" t="n">
        <x:v>999</x:v>
      </x:c>
      <x:c r="E2096" s="9" t="n">
        <x:v>459.4</x:v>
      </x:c>
      <x:c r="F2096" s="8" t="n">
        <x:f>C2096*D2096</x:f>
        <x:v>51948</x:v>
      </x:c>
      <x:c r="G2096" s="8" t="n">
        <x:f>C2096*E2096</x:f>
        <x:v>23888.8</x:v>
      </x:c>
      <x:c r="H2096" s="8" t="n">
        <x:f>F2096-G2096</x:f>
        <x:v>28059.2</x:v>
      </x:c>
      <x:c r="I2096" s="10" t="n">
        <x:f>H2096/F2096</x:f>
        <x:v>0.5401401401401401</x:v>
      </x:c>
    </x:row>
    <x:row r="2097" ht="22" customHeight="1">
      <x:c r="A2097" s="11" t="str">
        <x:v>637</x:v>
      </x:c>
      <x:c r="B2097" s="8" t="str">
        <x:v>WWI Projector 480p LCD12 Silver</x:v>
      </x:c>
      <x:c r="C2097" s="8" t="n">
        <x:v>35</x:v>
      </x:c>
      <x:c r="D2097" s="9" t="n">
        <x:v>229</x:v>
      </x:c>
      <x:c r="E2097" s="9" t="n">
        <x:v>116.75</x:v>
      </x:c>
      <x:c r="F2097" s="8" t="n">
        <x:f>C2097*D2097</x:f>
        <x:v>8015</x:v>
      </x:c>
      <x:c r="G2097" s="8" t="n">
        <x:f>C2097*E2097</x:f>
        <x:v>4086.25</x:v>
      </x:c>
      <x:c r="H2097" s="8" t="n">
        <x:f>F2097-G2097</x:f>
        <x:v>3928.75</x:v>
      </x:c>
      <x:c r="I2097" s="10" t="n">
        <x:f>H2097/F2097</x:f>
        <x:v>0.490174672489083</x:v>
      </x:c>
    </x:row>
    <x:row r="2098" ht="22" customHeight="1">
      <x:c r="A2098" s="11" t="str">
        <x:v>638</x:v>
      </x:c>
      <x:c r="B2098" s="8" t="str">
        <x:v>WWI Projector 480p DLP12 Silver</x:v>
      </x:c>
      <x:c r="C2098" s="8" t="n">
        <x:v>45</x:v>
      </x:c>
      <x:c r="D2098" s="9" t="n">
        <x:v>499</x:v>
      </x:c>
      <x:c r="E2098" s="9" t="n">
        <x:v>254.4</x:v>
      </x:c>
      <x:c r="F2098" s="8" t="n">
        <x:f>C2098*D2098</x:f>
        <x:v>22455</x:v>
      </x:c>
      <x:c r="G2098" s="8" t="n">
        <x:f>C2098*E2098</x:f>
        <x:v>11448</x:v>
      </x:c>
      <x:c r="H2098" s="8" t="n">
        <x:f>F2098-G2098</x:f>
        <x:v>11007</x:v>
      </x:c>
      <x:c r="I2098" s="10" t="n">
        <x:f>H2098/F2098</x:f>
        <x:v>0.4901803607214429</x:v>
      </x:c>
    </x:row>
    <x:row r="2099" ht="22" customHeight="1">
      <x:c r="A2099" s="11" t="str">
        <x:v>639</x:v>
      </x:c>
      <x:c r="B2099" s="8" t="str">
        <x:v>WWI Screen 125in M1611 Silver</x:v>
      </x:c>
      <x:c r="C2099" s="8" t="n">
        <x:v>57</x:v>
      </x:c>
      <x:c r="D2099" s="9" t="n">
        <x:v>459</x:v>
      </x:c>
      <x:c r="E2099" s="9" t="n">
        <x:v>152.08</x:v>
      </x:c>
      <x:c r="F2099" s="8" t="n">
        <x:f>C2099*D2099</x:f>
        <x:v>26163</x:v>
      </x:c>
      <x:c r="G2099" s="8" t="n">
        <x:f>C2099*E2099</x:f>
        <x:v>8668.560000000001</x:v>
      </x:c>
      <x:c r="H2099" s="8" t="n">
        <x:f>F2099-G2099</x:f>
        <x:v>17494.44</x:v>
      </x:c>
      <x:c r="I2099" s="10" t="n">
        <x:f>H2099/F2099</x:f>
        <x:v>0.6686710239651416</x:v>
      </x:c>
    </x:row>
    <x:row r="2100" ht="22" customHeight="1">
      <x:c r="A2100" s="11" t="str">
        <x:v>64</x:v>
      </x:c>
      <x:c r="B2100" s="8" t="str">
        <x:v>WWI 2GB Spy Video Recorder Pen M300 Silver</x:v>
      </x:c>
      <x:c r="C2100" s="8" t="n">
        <x:v>324</x:v>
      </x:c>
      <x:c r="D2100" s="9" t="n">
        <x:v>181</x:v>
      </x:c>
      <x:c r="E2100" s="9" t="n">
        <x:v>83.24</x:v>
      </x:c>
      <x:c r="F2100" s="8" t="n">
        <x:f>C2100*D2100</x:f>
        <x:v>58644</x:v>
      </x:c>
      <x:c r="G2100" s="8" t="n">
        <x:f>C2100*E2100</x:f>
        <x:v>26969.76</x:v>
      </x:c>
      <x:c r="H2100" s="8" t="n">
        <x:f>F2100-G2100</x:f>
        <x:v>31674.24</x:v>
      </x:c>
      <x:c r="I2100" s="10" t="n">
        <x:f>H2100/F2100</x:f>
        <x:v>0.5401104972375691</x:v>
      </x:c>
    </x:row>
    <x:row r="2101" ht="22" customHeight="1">
      <x:c r="A2101" s="11" t="str">
        <x:v>640</x:v>
      </x:c>
      <x:c r="B2101" s="8" t="str">
        <x:v>WWI Screen 113in M1610 Silver</x:v>
      </x:c>
      <x:c r="C2101" s="8" t="n">
        <x:v>43</x:v>
      </x:c>
      <x:c r="D2101" s="9" t="n">
        <x:v>299</x:v>
      </x:c>
      <x:c r="E2101" s="9" t="n">
        <x:v>99.06</x:v>
      </x:c>
      <x:c r="F2101" s="8" t="n">
        <x:f>C2101*D2101</x:f>
        <x:v>12857</x:v>
      </x:c>
      <x:c r="G2101" s="8" t="n">
        <x:f>C2101*E2101</x:f>
        <x:v>4259.58</x:v>
      </x:c>
      <x:c r="H2101" s="8" t="n">
        <x:f>F2101-G2101</x:f>
        <x:v>8597.42</x:v>
      </x:c>
      <x:c r="I2101" s="10" t="n">
        <x:f>H2101/F2101</x:f>
        <x:v>0.668695652173913</x:v>
      </x:c>
    </x:row>
    <x:row r="2102" ht="22" customHeight="1">
      <x:c r="A2102" s="11" t="str">
        <x:v>641</x:v>
      </x:c>
      <x:c r="B2102" s="8" t="str">
        <x:v>WWI Screen 106in M1609 Silver</x:v>
      </x:c>
      <x:c r="C2102" s="8" t="n">
        <x:v>38</x:v>
      </x:c>
      <x:c r="D2102" s="9" t="n">
        <x:v>251</x:v>
      </x:c>
      <x:c r="E2102" s="9" t="n">
        <x:v>115.43</x:v>
      </x:c>
      <x:c r="F2102" s="8" t="n">
        <x:f>C2102*D2102</x:f>
        <x:v>9538</x:v>
      </x:c>
      <x:c r="G2102" s="8" t="n">
        <x:f>C2102*E2102</x:f>
        <x:v>4386.34</x:v>
      </x:c>
      <x:c r="H2102" s="8" t="n">
        <x:f>F2102-G2102</x:f>
        <x:v>5151.66</x:v>
      </x:c>
      <x:c r="I2102" s="10" t="n">
        <x:f>H2102/F2102</x:f>
        <x:v>0.5401195219123506</x:v>
      </x:c>
    </x:row>
    <x:row r="2103" ht="22" customHeight="1">
      <x:c r="A2103" s="11" t="str">
        <x:v>642</x:v>
      </x:c>
      <x:c r="B2103" s="8" t="str">
        <x:v>Proseware Photo Ink Jet Printer M100 Black</x:v>
      </x:c>
      <x:c r="C2103" s="8" t="n">
        <x:v>35</x:v>
      </x:c>
      <x:c r="D2103" s="9" t="n">
        <x:v>159</x:v>
      </x:c>
      <x:c r="E2103" s="9" t="n">
        <x:v>73.12</x:v>
      </x:c>
      <x:c r="F2103" s="8" t="n">
        <x:f>C2103*D2103</x:f>
        <x:v>5565</x:v>
      </x:c>
      <x:c r="G2103" s="8" t="n">
        <x:f>C2103*E2103</x:f>
        <x:v>2559.2000000000003</x:v>
      </x:c>
      <x:c r="H2103" s="8" t="n">
        <x:f>F2103-G2103</x:f>
        <x:v>3005.7999999999997</x:v>
      </x:c>
      <x:c r="I2103" s="10" t="n">
        <x:f>H2103/F2103</x:f>
        <x:v>0.5401257861635219</x:v>
      </x:c>
    </x:row>
    <x:row r="2104" ht="22" customHeight="1">
      <x:c r="A2104" s="11" t="str">
        <x:v>643</x:v>
      </x:c>
      <x:c r="B2104" s="8" t="str">
        <x:v>Proseware Ink Jet All in one M300 Black</x:v>
      </x:c>
      <x:c r="C2104" s="8" t="n">
        <x:v>43</x:v>
      </x:c>
      <x:c r="D2104" s="9" t="n">
        <x:v>169</x:v>
      </x:c>
      <x:c r="E2104" s="9" t="n">
        <x:v>77.72</x:v>
      </x:c>
      <x:c r="F2104" s="8" t="n">
        <x:f>C2104*D2104</x:f>
        <x:v>7267</x:v>
      </x:c>
      <x:c r="G2104" s="8" t="n">
        <x:f>C2104*E2104</x:f>
        <x:v>3341.96</x:v>
      </x:c>
      <x:c r="H2104" s="8" t="n">
        <x:f>F2104-G2104</x:f>
        <x:v>3925.04</x:v>
      </x:c>
      <x:c r="I2104" s="10" t="n">
        <x:f>H2104/F2104</x:f>
        <x:v>0.5401183431952663</x:v>
      </x:c>
    </x:row>
    <x:row r="2105" ht="22" customHeight="1">
      <x:c r="A2105" s="11" t="str">
        <x:v>644</x:v>
      </x:c>
      <x:c r="B2105" s="8" t="str">
        <x:v>Proseware Laser Jet Printer E100 Black</x:v>
      </x:c>
      <x:c r="C2105" s="8" t="n">
        <x:v>65</x:v>
      </x:c>
      <x:c r="D2105" s="9" t="n">
        <x:v>79</x:v>
      </x:c>
      <x:c r="E2105" s="9" t="n">
        <x:v>40.28</x:v>
      </x:c>
      <x:c r="F2105" s="8" t="n">
        <x:f>C2105*D2105</x:f>
        <x:v>5135</x:v>
      </x:c>
      <x:c r="G2105" s="8" t="n">
        <x:f>C2105*E2105</x:f>
        <x:v>2618.2000000000003</x:v>
      </x:c>
      <x:c r="H2105" s="8" t="n">
        <x:f>F2105-G2105</x:f>
        <x:v>2516.7999999999997</x:v>
      </x:c>
      <x:c r="I2105" s="10" t="n">
        <x:f>H2105/F2105</x:f>
        <x:v>0.49012658227848094</x:v>
      </x:c>
    </x:row>
    <x:row r="2106" ht="22" customHeight="1">
      <x:c r="A2106" s="11" t="str">
        <x:v>645</x:v>
      </x:c>
      <x:c r="B2106" s="8" t="str">
        <x:v>Proseware Laser Jet Color Printer X300 Black</x:v>
      </x:c>
      <x:c r="C2106" s="8" t="n">
        <x:v>57</x:v>
      </x:c>
      <x:c r="D2106" s="9" t="n">
        <x:v>209</x:v>
      </x:c>
      <x:c r="E2106" s="9" t="n">
        <x:v>69.25</x:v>
      </x:c>
      <x:c r="F2106" s="8" t="n">
        <x:f>C2106*D2106</x:f>
        <x:v>11913</x:v>
      </x:c>
      <x:c r="G2106" s="8" t="n">
        <x:f>C2106*E2106</x:f>
        <x:v>3947.25</x:v>
      </x:c>
      <x:c r="H2106" s="8" t="n">
        <x:f>F2106-G2106</x:f>
        <x:v>7965.75</x:v>
      </x:c>
      <x:c r="I2106" s="10" t="n">
        <x:f>H2106/F2106</x:f>
        <x:v>0.6686602870813397</x:v>
      </x:c>
    </x:row>
    <x:row r="2107" ht="22" customHeight="1">
      <x:c r="A2107" s="11" t="str">
        <x:v>646</x:v>
      </x:c>
      <x:c r="B2107" s="8" t="str">
        <x:v>Proseware Laser Jet All in one X300 Black</x:v>
      </x:c>
      <x:c r="C2107" s="8" t="n">
        <x:v>31</x:v>
      </x:c>
      <x:c r="D2107" s="9" t="n">
        <x:v>219</x:v>
      </x:c>
      <x:c r="E2107" s="9" t="n">
        <x:v>72.56</x:v>
      </x:c>
      <x:c r="F2107" s="8" t="n">
        <x:f>C2107*D2107</x:f>
        <x:v>6789</x:v>
      </x:c>
      <x:c r="G2107" s="8" t="n">
        <x:f>C2107*E2107</x:f>
        <x:v>2249.36</x:v>
      </x:c>
      <x:c r="H2107" s="8" t="n">
        <x:f>F2107-G2107</x:f>
        <x:v>4539.639999999999</x:v>
      </x:c>
      <x:c r="I2107" s="10" t="n">
        <x:f>H2107/F2107</x:f>
        <x:v>0.6686757990867579</x:v>
      </x:c>
    </x:row>
    <x:row r="2108" ht="22" customHeight="1">
      <x:c r="A2108" s="11" t="str">
        <x:v>647</x:v>
      </x:c>
      <x:c r="B2108" s="8" t="str">
        <x:v>Proseware Fax phone E100 Black</x:v>
      </x:c>
      <x:c r="C2108" s="8" t="n">
        <x:v>46</x:v>
      </x:c>
      <x:c r="D2108" s="9" t="n">
        <x:v>87</x:v>
      </x:c>
      <x:c r="E2108" s="9" t="n">
        <x:v>44.36</x:v>
      </x:c>
      <x:c r="F2108" s="8" t="n">
        <x:f>C2108*D2108</x:f>
        <x:v>4002</x:v>
      </x:c>
      <x:c r="G2108" s="8" t="n">
        <x:f>C2108*E2108</x:f>
        <x:v>2040.56</x:v>
      </x:c>
      <x:c r="H2108" s="8" t="n">
        <x:f>F2108-G2108</x:f>
        <x:v>1961.44</x:v>
      </x:c>
      <x:c r="I2108" s="10" t="n">
        <x:f>H2108/F2108</x:f>
        <x:v>0.49011494252873566</x:v>
      </x:c>
    </x:row>
    <x:row r="2109" ht="22" customHeight="1">
      <x:c r="A2109" s="11" t="str">
        <x:v>648</x:v>
      </x:c>
      <x:c r="B2109" s="8" t="str">
        <x:v>Proseware Fax Machine E100 Black</x:v>
      </x:c>
      <x:c r="C2109" s="8" t="n">
        <x:v>50</x:v>
      </x:c>
      <x:c r="D2109" s="9" t="n">
        <x:v>79</x:v>
      </x:c>
      <x:c r="E2109" s="9" t="n">
        <x:v>40.28</x:v>
      </x:c>
      <x:c r="F2109" s="8" t="n">
        <x:f>C2109*D2109</x:f>
        <x:v>3950</x:v>
      </x:c>
      <x:c r="G2109" s="8" t="n">
        <x:f>C2109*E2109</x:f>
        <x:v>2014</x:v>
      </x:c>
      <x:c r="H2109" s="8" t="n">
        <x:f>F2109-G2109</x:f>
        <x:v>1936</x:v>
      </x:c>
      <x:c r="I2109" s="10" t="n">
        <x:f>H2109/F2109</x:f>
        <x:v>0.490126582278481</x:v>
      </x:c>
    </x:row>
    <x:row r="2110" ht="22" customHeight="1">
      <x:c r="A2110" s="11" t="str">
        <x:v>649</x:v>
      </x:c>
      <x:c r="B2110" s="8" t="str">
        <x:v>Proseware Laser Fax Printer E100 Black</x:v>
      </x:c>
      <x:c r="C2110" s="8" t="n">
        <x:v>42</x:v>
      </x:c>
      <x:c r="D2110" s="9" t="n">
        <x:v>91</x:v>
      </x:c>
      <x:c r="E2110" s="9" t="n">
        <x:v>46.39</x:v>
      </x:c>
      <x:c r="F2110" s="8" t="n">
        <x:f>C2110*D2110</x:f>
        <x:v>3822</x:v>
      </x:c>
      <x:c r="G2110" s="8" t="n">
        <x:f>C2110*E2110</x:f>
        <x:v>1948.38</x:v>
      </x:c>
      <x:c r="H2110" s="8" t="n">
        <x:f>F2110-G2110</x:f>
        <x:v>1873.62</x:v>
      </x:c>
      <x:c r="I2110" s="10" t="n">
        <x:f>H2110/F2110</x:f>
        <x:v>0.4902197802197802</x:v>
      </x:c>
    </x:row>
    <x:row r="2111" ht="22" customHeight="1">
      <x:c r="A2111" s="11" t="str">
        <x:v>65</x:v>
      </x:c>
      <x:c r="B2111" s="8" t="str">
        <x:v>WWI 2GB Spy Video Recorder Pen M300 Purple</x:v>
      </x:c>
      <x:c r="C2111" s="8" t="n">
        <x:v>353</x:v>
      </x:c>
      <x:c r="D2111" s="9" t="n">
        <x:v>181</x:v>
      </x:c>
      <x:c r="E2111" s="9" t="n">
        <x:v>83.24</x:v>
      </x:c>
      <x:c r="F2111" s="8" t="n">
        <x:f>C2111*D2111</x:f>
        <x:v>63893</x:v>
      </x:c>
      <x:c r="G2111" s="8" t="n">
        <x:f>C2111*E2111</x:f>
        <x:v>29383.719999999998</x:v>
      </x:c>
      <x:c r="H2111" s="8" t="n">
        <x:f>F2111-G2111</x:f>
        <x:v>34509.28</x:v>
      </x:c>
      <x:c r="I2111" s="10" t="n">
        <x:f>H2111/F2111</x:f>
        <x:v>0.540110497237569</x:v>
      </x:c>
    </x:row>
    <x:row r="2112" ht="22" customHeight="1">
      <x:c r="A2112" s="11" t="str">
        <x:v>650</x:v>
      </x:c>
      <x:c r="B2112" s="8" t="str">
        <x:v>Proseware Ink Jet Fax Machine E100 Black</x:v>
      </x:c>
      <x:c r="C2112" s="8" t="n">
        <x:v>42</x:v>
      </x:c>
      <x:c r="D2112" s="9" t="n">
        <x:v>78</x:v>
      </x:c>
      <x:c r="E2112" s="9" t="n">
        <x:v>39.77</x:v>
      </x:c>
      <x:c r="F2112" s="8" t="n">
        <x:f>C2112*D2112</x:f>
        <x:v>3276</x:v>
      </x:c>
      <x:c r="G2112" s="8" t="n">
        <x:f>C2112*E2112</x:f>
        <x:v>1670.3400000000001</x:v>
      </x:c>
      <x:c r="H2112" s="8" t="n">
        <x:f>F2112-G2112</x:f>
        <x:v>1605.6599999999999</x:v>
      </x:c>
      <x:c r="I2112" s="10" t="n">
        <x:f>H2112/F2112</x:f>
        <x:v>0.4901282051282051</x:v>
      </x:c>
    </x:row>
    <x:row r="2113" ht="22" customHeight="1">
      <x:c r="A2113" s="11" t="str">
        <x:v>651</x:v>
      </x:c>
      <x:c r="B2113" s="8" t="str">
        <x:v>Proseware Mobile Receipt and Document Scanner M200 Black</x:v>
      </x:c>
      <x:c r="C2113" s="8" t="n">
        <x:v>48</x:v>
      </x:c>
      <x:c r="D2113" s="9" t="n">
        <x:v>116</x:v>
      </x:c>
      <x:c r="E2113" s="9" t="n">
        <x:v>53.34</x:v>
      </x:c>
      <x:c r="F2113" s="8" t="n">
        <x:f>C2113*D2113</x:f>
        <x:v>5568</x:v>
      </x:c>
      <x:c r="G2113" s="8" t="n">
        <x:f>C2113*E2113</x:f>
        <x:v>2560.32</x:v>
      </x:c>
      <x:c r="H2113" s="8" t="n">
        <x:f>F2113-G2113</x:f>
        <x:v>3007.68</x:v>
      </x:c>
      <x:c r="I2113" s="10" t="n">
        <x:f>H2113/F2113</x:f>
        <x:v>0.5401724137931034</x:v>
      </x:c>
    </x:row>
    <x:row r="2114" ht="22" customHeight="1">
      <x:c r="A2114" s="11" t="str">
        <x:v>652</x:v>
      </x:c>
      <x:c r="B2114" s="8" t="str">
        <x:v>Proseware Scan Jet Digital Flat Bed Scanner M300 Black</x:v>
      </x:c>
      <x:c r="C2114" s="8" t="n">
        <x:v>32</x:v>
      </x:c>
      <x:c r="D2114" s="9" t="n">
        <x:v>121</x:v>
      </x:c>
      <x:c r="E2114" s="9" t="n">
        <x:v>55.64</x:v>
      </x:c>
      <x:c r="F2114" s="8" t="n">
        <x:f>C2114*D2114</x:f>
        <x:v>3872</x:v>
      </x:c>
      <x:c r="G2114" s="8" t="n">
        <x:f>C2114*E2114</x:f>
        <x:v>1780.48</x:v>
      </x:c>
      <x:c r="H2114" s="8" t="n">
        <x:f>F2114-G2114</x:f>
        <x:v>2091.52</x:v>
      </x:c>
      <x:c r="I2114" s="10" t="n">
        <x:f>H2114/F2114</x:f>
        <x:v>0.5401652892561983</x:v>
      </x:c>
    </x:row>
    <x:row r="2115" ht="22" customHeight="1">
      <x:c r="A2115" s="11" t="str">
        <x:v>653</x:v>
      </x:c>
      <x:c r="B2115" s="8" t="str">
        <x:v>Proseware All-In-One Photo Printer M200 Black</x:v>
      </x:c>
      <x:c r="C2115" s="8" t="n">
        <x:v>33</x:v>
      </x:c>
      <x:c r="D2115" s="9" t="n">
        <x:v>136</x:v>
      </x:c>
      <x:c r="E2115" s="9" t="n">
        <x:v>62.54</x:v>
      </x:c>
      <x:c r="F2115" s="8" t="n">
        <x:f>C2115*D2115</x:f>
        <x:v>4488</x:v>
      </x:c>
      <x:c r="G2115" s="8" t="n">
        <x:f>C2115*E2115</x:f>
        <x:v>2063.82</x:v>
      </x:c>
      <x:c r="H2115" s="8" t="n">
        <x:f>F2115-G2115</x:f>
        <x:v>2424.18</x:v>
      </x:c>
      <x:c r="I2115" s="10" t="n">
        <x:f>H2115/F2115</x:f>
        <x:v>0.5401470588235294</x:v>
      </x:c>
    </x:row>
    <x:row r="2116" ht="22" customHeight="1">
      <x:c r="A2116" s="11" t="str">
        <x:v>654</x:v>
      </x:c>
      <x:c r="B2116" s="8" t="str">
        <x:v>Proseware Ink Jet Wireless All-In-One Printer M400 Black</x:v>
      </x:c>
      <x:c r="C2116" s="8" t="n">
        <x:v>57</x:v>
      </x:c>
      <x:c r="D2116" s="9" t="n">
        <x:v>129</x:v>
      </x:c>
      <x:c r="E2116" s="9" t="n">
        <x:v>59.32</x:v>
      </x:c>
      <x:c r="F2116" s="8" t="n">
        <x:f>C2116*D2116</x:f>
        <x:v>7353</x:v>
      </x:c>
      <x:c r="G2116" s="8" t="n">
        <x:f>C2116*E2116</x:f>
        <x:v>3381.2400000000002</x:v>
      </x:c>
      <x:c r="H2116" s="8" t="n">
        <x:f>F2116-G2116</x:f>
        <x:v>3971.7599999999998</x:v>
      </x:c>
      <x:c r="I2116" s="10" t="n">
        <x:f>H2116/F2116</x:f>
        <x:v>0.5401550387596898</x:v>
      </x:c>
    </x:row>
    <x:row r="2117" ht="22" customHeight="1">
      <x:c r="A2117" s="11" t="str">
        <x:v>655</x:v>
      </x:c>
      <x:c r="B2117" s="8" t="str">
        <x:v>Proseware Ink Jet Instant PDF Sheet-Fed Scanner M300 Black</x:v>
      </x:c>
      <x:c r="C2117" s="8" t="n">
        <x:v>57</x:v>
      </x:c>
      <x:c r="D2117" s="9" t="n">
        <x:v>160</x:v>
      </x:c>
      <x:c r="E2117" s="9" t="n">
        <x:v>73.58</x:v>
      </x:c>
      <x:c r="F2117" s="8" t="n">
        <x:f>C2117*D2117</x:f>
        <x:v>9120</x:v>
      </x:c>
      <x:c r="G2117" s="8" t="n">
        <x:f>C2117*E2117</x:f>
        <x:v>4194.0599999999995</x:v>
      </x:c>
      <x:c r="H2117" s="8" t="n">
        <x:f>F2117-G2117</x:f>
        <x:v>4925.9400000000005</x:v>
      </x:c>
      <x:c r="I2117" s="10" t="n">
        <x:f>H2117/F2117</x:f>
        <x:v>0.5401250000000001</x:v>
      </x:c>
    </x:row>
    <x:row r="2118" ht="22" customHeight="1">
      <x:c r="A2118" s="11" t="str">
        <x:v>656</x:v>
      </x:c>
      <x:c r="B2118" s="8" t="str">
        <x:v>Proseware Desk Jet All-in-One Printer, Scanner, Copier M350 Black</x:v>
      </x:c>
      <x:c r="C2118" s="8" t="n">
        <x:v>63</x:v>
      </x:c>
      <x:c r="D2118" s="9" t="n">
        <x:v>158</x:v>
      </x:c>
      <x:c r="E2118" s="9" t="n">
        <x:v>72.66</x:v>
      </x:c>
      <x:c r="F2118" s="8" t="n">
        <x:f>C2118*D2118</x:f>
        <x:v>9954</x:v>
      </x:c>
      <x:c r="G2118" s="8" t="n">
        <x:f>C2118*E2118</x:f>
        <x:v>4577.58</x:v>
      </x:c>
      <x:c r="H2118" s="8" t="n">
        <x:f>F2118-G2118</x:f>
        <x:v>5376.42</x:v>
      </x:c>
      <x:c r="I2118" s="10" t="n">
        <x:f>H2118/F2118</x:f>
        <x:v>0.540126582278481</x:v>
      </x:c>
    </x:row>
    <x:row r="2119" ht="22" customHeight="1">
      <x:c r="A2119" s="11" t="str">
        <x:v>657</x:v>
      </x:c>
      <x:c r="B2119" s="8" t="str">
        <x:v>Proseware Duplex Scanner M200 Black</x:v>
      </x:c>
      <x:c r="C2119" s="8" t="n">
        <x:v>49</x:v>
      </x:c>
      <x:c r="D2119" s="9" t="n">
        <x:v>149</x:v>
      </x:c>
      <x:c r="E2119" s="9" t="n">
        <x:v>68.52</x:v>
      </x:c>
      <x:c r="F2119" s="8" t="n">
        <x:f>C2119*D2119</x:f>
        <x:v>7301</x:v>
      </x:c>
      <x:c r="G2119" s="8" t="n">
        <x:f>C2119*E2119</x:f>
        <x:v>3357.48</x:v>
      </x:c>
      <x:c r="H2119" s="8" t="n">
        <x:f>F2119-G2119</x:f>
        <x:v>3943.52</x:v>
      </x:c>
      <x:c r="I2119" s="10" t="n">
        <x:f>H2119/F2119</x:f>
        <x:v>0.5401342281879195</x:v>
      </x:c>
    </x:row>
    <x:row r="2120" ht="22" customHeight="1">
      <x:c r="A2120" s="11" t="str">
        <x:v>658</x:v>
      </x:c>
      <x:c r="B2120" s="8" t="str">
        <x:v>Proseware High Speed Laser M2000 Black</x:v>
      </x:c>
      <x:c r="C2120" s="8" t="n">
        <x:v>33</x:v>
      </x:c>
      <x:c r="D2120" s="9" t="n">
        <x:v>209</x:v>
      </x:c>
      <x:c r="E2120" s="9" t="n">
        <x:v>69.25</x:v>
      </x:c>
      <x:c r="F2120" s="8" t="n">
        <x:f>C2120*D2120</x:f>
        <x:v>6897</x:v>
      </x:c>
      <x:c r="G2120" s="8" t="n">
        <x:f>C2120*E2120</x:f>
        <x:v>2285.25</x:v>
      </x:c>
      <x:c r="H2120" s="8" t="n">
        <x:f>F2120-G2120</x:f>
        <x:v>4611.75</x:v>
      </x:c>
      <x:c r="I2120" s="10" t="n">
        <x:f>H2120/F2120</x:f>
        <x:v>0.6686602870813397</x:v>
      </x:c>
    </x:row>
    <x:row r="2121" ht="22" customHeight="1">
      <x:c r="A2121" s="11" t="str">
        <x:v>659</x:v>
      </x:c>
      <x:c r="B2121" s="8" t="str">
        <x:v>Proseware Laser Fax Printer M250 Black</x:v>
      </x:c>
      <x:c r="C2121" s="8" t="n">
        <x:v>51</x:v>
      </x:c>
      <x:c r="D2121" s="9" t="n">
        <x:v>118</x:v>
      </x:c>
      <x:c r="E2121" s="9" t="n">
        <x:v>54.26</x:v>
      </x:c>
      <x:c r="F2121" s="8" t="n">
        <x:f>C2121*D2121</x:f>
        <x:v>6018</x:v>
      </x:c>
      <x:c r="G2121" s="8" t="n">
        <x:f>C2121*E2121</x:f>
        <x:v>2767.2599999999998</x:v>
      </x:c>
      <x:c r="H2121" s="8" t="n">
        <x:f>F2121-G2121</x:f>
        <x:v>3250.7400000000002</x:v>
      </x:c>
      <x:c r="I2121" s="10" t="n">
        <x:f>H2121/F2121</x:f>
        <x:v>0.5401694915254238</x:v>
      </x:c>
    </x:row>
    <x:row r="2122" ht="22" customHeight="1">
      <x:c r="A2122" s="11" t="str">
        <x:v>66</x:v>
      </x:c>
      <x:c r="B2122" s="8" t="str">
        <x:v>NT Bluetooth Stereo Headphones E52 Blue</x:v>
      </x:c>
      <x:c r="C2122" s="8" t="n">
        <x:v>307</x:v>
      </x:c>
      <x:c r="D2122" s="9" t="n">
        <x:v>25.69</x:v>
      </x:c>
      <x:c r="E2122" s="9" t="n">
        <x:v>13.1</x:v>
      </x:c>
      <x:c r="F2122" s="8" t="n">
        <x:f>C2122*D2122</x:f>
        <x:v>7886.830000000001</x:v>
      </x:c>
      <x:c r="G2122" s="8" t="n">
        <x:f>C2122*E2122</x:f>
        <x:v>4021.7</x:v>
      </x:c>
      <x:c r="H2122" s="8" t="n">
        <x:f>F2122-G2122</x:f>
        <x:v>3865.130000000001</x:v>
      </x:c>
      <x:c r="I2122" s="10" t="n">
        <x:f>H2122/F2122</x:f>
        <x:v>0.49007395873880893</x:v>
      </x:c>
    </x:row>
    <x:row r="2123" ht="22" customHeight="1">
      <x:c r="A2123" s="11" t="str">
        <x:v>660</x:v>
      </x:c>
      <x:c r="B2123" s="8" t="str">
        <x:v>Proseware Color Ink Jet Fax, Copier, Phone M250 Black</x:v>
      </x:c>
      <x:c r="C2123" s="8" t="n">
        <x:v>37</x:v>
      </x:c>
      <x:c r="D2123" s="9" t="n">
        <x:v>159</x:v>
      </x:c>
      <x:c r="E2123" s="9" t="n">
        <x:v>73.12</x:v>
      </x:c>
      <x:c r="F2123" s="8" t="n">
        <x:f>C2123*D2123</x:f>
        <x:v>5883</x:v>
      </x:c>
      <x:c r="G2123" s="8" t="n">
        <x:f>C2123*E2123</x:f>
        <x:v>2705.44</x:v>
      </x:c>
      <x:c r="H2123" s="8" t="n">
        <x:f>F2123-G2123</x:f>
        <x:v>3177.56</x:v>
      </x:c>
      <x:c r="I2123" s="10" t="n">
        <x:f>H2123/F2123</x:f>
        <x:v>0.540125786163522</x:v>
      </x:c>
    </x:row>
    <x:row r="2124" ht="22" customHeight="1">
      <x:c r="A2124" s="11" t="str">
        <x:v>661</x:v>
      </x:c>
      <x:c r="B2124" s="8" t="str">
        <x:v>Proseware Color Inkjet Fax with 5.8 GHz Cordless Handset X250 Black</x:v>
      </x:c>
      <x:c r="C2124" s="8" t="n">
        <x:v>74</x:v>
      </x:c>
      <x:c r="D2124" s="9" t="n">
        <x:v>228</x:v>
      </x:c>
      <x:c r="E2124" s="9" t="n">
        <x:v>75.54</x:v>
      </x:c>
      <x:c r="F2124" s="8" t="n">
        <x:f>C2124*D2124</x:f>
        <x:v>16872</x:v>
      </x:c>
      <x:c r="G2124" s="8" t="n">
        <x:f>C2124*E2124</x:f>
        <x:v>5589.96</x:v>
      </x:c>
      <x:c r="H2124" s="8" t="n">
        <x:f>F2124-G2124</x:f>
        <x:v>11282.04</x:v>
      </x:c>
      <x:c r="I2124" s="10" t="n">
        <x:f>H2124/F2124</x:f>
        <x:v>0.6686842105263159</x:v>
      </x:c>
    </x:row>
    <x:row r="2125" ht="22" customHeight="1">
      <x:c r="A2125" s="11" t="str">
        <x:v>662</x:v>
      </x:c>
      <x:c r="B2125" s="8" t="str">
        <x:v>Proseware Slim-Design Fax Machine with Answering System X180 Black</x:v>
      </x:c>
      <x:c r="C2125" s="8" t="n">
        <x:v>74</x:v>
      </x:c>
      <x:c r="D2125" s="9" t="n">
        <x:v>236</x:v>
      </x:c>
      <x:c r="E2125" s="9" t="n">
        <x:v>78.19</x:v>
      </x:c>
      <x:c r="F2125" s="8" t="n">
        <x:f>C2125*D2125</x:f>
        <x:v>17464</x:v>
      </x:c>
      <x:c r="G2125" s="8" t="n">
        <x:f>C2125*E2125</x:f>
        <x:v>5786.0599999999995</x:v>
      </x:c>
      <x:c r="H2125" s="8" t="n">
        <x:f>F2125-G2125</x:f>
        <x:v>11677.94</x:v>
      </x:c>
      <x:c r="I2125" s="10" t="n">
        <x:f>H2125/F2125</x:f>
        <x:v>0.6686864406779661</x:v>
      </x:c>
    </x:row>
    <x:row r="2126" ht="22" customHeight="1">
      <x:c r="A2126" s="11" t="str">
        <x:v>663</x:v>
      </x:c>
      <x:c r="B2126" s="8" t="str">
        <x:v>Proseware High-Performance Business-Class Laser Fax X200 Black</x:v>
      </x:c>
      <x:c r="C2126" s="8" t="n">
        <x:v>33</x:v>
      </x:c>
      <x:c r="D2126" s="9" t="n">
        <x:v>248</x:v>
      </x:c>
      <x:c r="E2126" s="9" t="n">
        <x:v>82.17</x:v>
      </x:c>
      <x:c r="F2126" s="8" t="n">
        <x:f>C2126*D2126</x:f>
        <x:v>8184</x:v>
      </x:c>
      <x:c r="G2126" s="8" t="n">
        <x:f>C2126*E2126</x:f>
        <x:v>2711.61</x:v>
      </x:c>
      <x:c r="H2126" s="8" t="n">
        <x:f>F2126-G2126</x:f>
        <x:v>5472.389999999999</x:v>
      </x:c>
      <x:c r="I2126" s="10" t="n">
        <x:f>H2126/F2126</x:f>
        <x:v>0.6686693548387096</x:v>
      </x:c>
    </x:row>
    <x:row r="2127" ht="22" customHeight="1">
      <x:c r="A2127" s="11" t="str">
        <x:v>664</x:v>
      </x:c>
      <x:c r="B2127" s="8" t="str">
        <x:v>Proseware Professional Quality Plain-Paper Fax and Copier X100 Black</x:v>
      </x:c>
      <x:c r="C2127" s="8" t="n">
        <x:v>50</x:v>
      </x:c>
      <x:c r="D2127" s="9" t="n">
        <x:v>229</x:v>
      </x:c>
      <x:c r="E2127" s="9" t="n">
        <x:v>75.87</x:v>
      </x:c>
      <x:c r="F2127" s="8" t="n">
        <x:f>C2127*D2127</x:f>
        <x:v>11450</x:v>
      </x:c>
      <x:c r="G2127" s="8" t="n">
        <x:f>C2127*E2127</x:f>
        <x:v>3793.5</x:v>
      </x:c>
      <x:c r="H2127" s="8" t="n">
        <x:f>F2127-G2127</x:f>
        <x:v>7656.5</x:v>
      </x:c>
      <x:c r="I2127" s="10" t="n">
        <x:f>H2127/F2127</x:f>
        <x:v>0.6686899563318778</x:v>
      </x:c>
    </x:row>
    <x:row r="2128" ht="22" customHeight="1">
      <x:c r="A2128" s="11" t="str">
        <x:v>665</x:v>
      </x:c>
      <x:c r="B2128" s="8" t="str">
        <x:v>Proseware Photo Inkjet Printer E290 Black</x:v>
      </x:c>
      <x:c r="C2128" s="8" t="n">
        <x:v>42</x:v>
      </x:c>
      <x:c r="D2128" s="9" t="n">
        <x:v>102</x:v>
      </x:c>
      <x:c r="E2128" s="9" t="n">
        <x:v>52</x:v>
      </x:c>
      <x:c r="F2128" s="8" t="n">
        <x:f>C2128*D2128</x:f>
        <x:v>4284</x:v>
      </x:c>
      <x:c r="G2128" s="8" t="n">
        <x:f>C2128*E2128</x:f>
        <x:v>2184</x:v>
      </x:c>
      <x:c r="H2128" s="8" t="n">
        <x:f>F2128-G2128</x:f>
        <x:v>2100</x:v>
      </x:c>
      <x:c r="I2128" s="10" t="n">
        <x:f>H2128/F2128</x:f>
        <x:v>0.49019607843137253</x:v>
      </x:c>
    </x:row>
    <x:row r="2129" ht="22" customHeight="1">
      <x:c r="A2129" s="11" t="str">
        <x:v>666</x:v>
      </x:c>
      <x:c r="B2129" s="8" t="str">
        <x:v>Proseware Office Jet All-in-One Printer M500 Black</x:v>
      </x:c>
      <x:c r="C2129" s="8" t="n">
        <x:v>44</x:v>
      </x:c>
      <x:c r="D2129" s="9" t="n">
        <x:v>163</x:v>
      </x:c>
      <x:c r="E2129" s="9" t="n">
        <x:v>74.96</x:v>
      </x:c>
      <x:c r="F2129" s="8" t="n">
        <x:f>C2129*D2129</x:f>
        <x:v>7172</x:v>
      </x:c>
      <x:c r="G2129" s="8" t="n">
        <x:f>C2129*E2129</x:f>
        <x:v>3298.24</x:v>
      </x:c>
      <x:c r="H2129" s="8" t="n">
        <x:f>F2129-G2129</x:f>
        <x:v>3873.76</x:v>
      </x:c>
      <x:c r="I2129" s="10" t="n">
        <x:f>H2129/F2129</x:f>
        <x:v>0.5401226993865031</x:v>
      </x:c>
    </x:row>
    <x:row r="2130" ht="22" customHeight="1">
      <x:c r="A2130" s="11" t="str">
        <x:v>667</x:v>
      </x:c>
      <x:c r="B2130" s="8" t="str">
        <x:v>Proseware Office Jet Wireless All-in-One Inkjet Printer M600 Black</x:v>
      </x:c>
      <x:c r="C2130" s="8" t="n">
        <x:v>67</x:v>
      </x:c>
      <x:c r="D2130" s="9" t="n">
        <x:v>190</x:v>
      </x:c>
      <x:c r="E2130" s="9" t="n">
        <x:v>87.37</x:v>
      </x:c>
      <x:c r="F2130" s="8" t="n">
        <x:f>C2130*D2130</x:f>
        <x:v>12730</x:v>
      </x:c>
      <x:c r="G2130" s="8" t="n">
        <x:f>C2130*E2130</x:f>
        <x:v>5853.79</x:v>
      </x:c>
      <x:c r="H2130" s="8" t="n">
        <x:f>F2130-G2130</x:f>
        <x:v>6876.21</x:v>
      </x:c>
      <x:c r="I2130" s="10" t="n">
        <x:f>H2130/F2130</x:f>
        <x:v>0.5401578947368421</x:v>
      </x:c>
    </x:row>
    <x:row r="2131" ht="22" customHeight="1">
      <x:c r="A2131" s="11" t="str">
        <x:v>668</x:v>
      </x:c>
      <x:c r="B2131" s="8" t="str">
        <x:v>Proseware Photo smart All-in-One Printer M380 Black</x:v>
      </x:c>
      <x:c r="C2131" s="8" t="n">
        <x:v>56</x:v>
      </x:c>
      <x:c r="D2131" s="9" t="n">
        <x:v>147</x:v>
      </x:c>
      <x:c r="E2131" s="9" t="n">
        <x:v>67.6</x:v>
      </x:c>
      <x:c r="F2131" s="8" t="n">
        <x:f>C2131*D2131</x:f>
        <x:v>8232</x:v>
      </x:c>
      <x:c r="G2131" s="8" t="n">
        <x:f>C2131*E2131</x:f>
        <x:v>3785.5999999999995</x:v>
      </x:c>
      <x:c r="H2131" s="8" t="n">
        <x:f>F2131-G2131</x:f>
        <x:v>4446.400000000001</x:v>
      </x:c>
      <x:c r="I2131" s="10" t="n">
        <x:f>H2131/F2131</x:f>
        <x:v>0.5401360544217688</x:v>
      </x:c>
    </x:row>
    <x:row r="2132" ht="22" customHeight="1">
      <x:c r="A2132" s="11" t="str">
        <x:v>669</x:v>
      </x:c>
      <x:c r="B2132" s="8" t="str">
        <x:v>Proseware Wireless Photo All-in-One Printer M390 Black</x:v>
      </x:c>
      <x:c r="C2132" s="8" t="n">
        <x:v>35</x:v>
      </x:c>
      <x:c r="D2132" s="9" t="n">
        <x:v>188</x:v>
      </x:c>
      <x:c r="E2132" s="9" t="n">
        <x:v>86.45</x:v>
      </x:c>
      <x:c r="F2132" s="8" t="n">
        <x:f>C2132*D2132</x:f>
        <x:v>6580</x:v>
      </x:c>
      <x:c r="G2132" s="8" t="n">
        <x:f>C2132*E2132</x:f>
        <x:v>3025.75</x:v>
      </x:c>
      <x:c r="H2132" s="8" t="n">
        <x:f>F2132-G2132</x:f>
        <x:v>3554.25</x:v>
      </x:c>
      <x:c r="I2132" s="10" t="n">
        <x:f>H2132/F2132</x:f>
        <x:v>0.5401595744680852</x:v>
      </x:c>
    </x:row>
    <x:row r="2133" ht="22" customHeight="1">
      <x:c r="A2133" s="11" t="str">
        <x:v>67</x:v>
      </x:c>
      <x:c r="B2133" s="8" t="str">
        <x:v>NT Bluetooth Stereo Headphones E52 Black</x:v>
      </x:c>
      <x:c r="C2133" s="8" t="n">
        <x:v>254</x:v>
      </x:c>
      <x:c r="D2133" s="9" t="n">
        <x:v>25.69</x:v>
      </x:c>
      <x:c r="E2133" s="9" t="n">
        <x:v>13.1</x:v>
      </x:c>
      <x:c r="F2133" s="8" t="n">
        <x:f>C2133*D2133</x:f>
        <x:v>6525.26</x:v>
      </x:c>
      <x:c r="G2133" s="8" t="n">
        <x:f>C2133*E2133</x:f>
        <x:v>3327.4</x:v>
      </x:c>
      <x:c r="H2133" s="8" t="n">
        <x:f>F2133-G2133</x:f>
        <x:v>3197.86</x:v>
      </x:c>
      <x:c r="I2133" s="10" t="n">
        <x:f>H2133/F2133</x:f>
        <x:v>0.4900739587388089</x:v>
      </x:c>
    </x:row>
    <x:row r="2134" ht="22" customHeight="1">
      <x:c r="A2134" s="11" t="str">
        <x:v>670</x:v>
      </x:c>
      <x:c r="B2134" s="8" t="str">
        <x:v>Proseware 23ppm Laser Printer with Wireless and Wired Network Interfaces M680 Black</x:v>
      </x:c>
      <x:c r="C2134" s="8" t="n">
        <x:v>34</x:v>
      </x:c>
      <x:c r="D2134" s="9" t="n">
        <x:v>196</x:v>
      </x:c>
      <x:c r="E2134" s="9" t="n">
        <x:v>90.13</x:v>
      </x:c>
      <x:c r="F2134" s="8" t="n">
        <x:f>C2134*D2134</x:f>
        <x:v>6664</x:v>
      </x:c>
      <x:c r="G2134" s="8" t="n">
        <x:f>C2134*E2134</x:f>
        <x:v>3064.42</x:v>
      </x:c>
      <x:c r="H2134" s="8" t="n">
        <x:f>F2134-G2134</x:f>
        <x:v>3599.58</x:v>
      </x:c>
      <x:c r="I2134" s="10" t="n">
        <x:f>H2134/F2134</x:f>
        <x:v>0.5401530612244898</x:v>
      </x:c>
    </x:row>
    <x:row r="2135" ht="22" customHeight="1">
      <x:c r="A2135" s="11" t="str">
        <x:v>671</x:v>
      </x:c>
      <x:c r="B2135" s="8" t="str">
        <x:v>Proseware Photo Inkjet Printer M100 Grey</x:v>
      </x:c>
      <x:c r="C2135" s="8" t="n">
        <x:v>42</x:v>
      </x:c>
      <x:c r="D2135" s="9" t="n">
        <x:v>159</x:v>
      </x:c>
      <x:c r="E2135" s="9" t="n">
        <x:v>73.12</x:v>
      </x:c>
      <x:c r="F2135" s="8" t="n">
        <x:f>C2135*D2135</x:f>
        <x:v>6678</x:v>
      </x:c>
      <x:c r="G2135" s="8" t="n">
        <x:f>C2135*E2135</x:f>
        <x:v>3071.04</x:v>
      </x:c>
      <x:c r="H2135" s="8" t="n">
        <x:f>F2135-G2135</x:f>
        <x:v>3606.96</x:v>
      </x:c>
      <x:c r="I2135" s="10" t="n">
        <x:f>H2135/F2135</x:f>
        <x:v>0.540125786163522</x:v>
      </x:c>
    </x:row>
    <x:row r="2136" ht="22" customHeight="1">
      <x:c r="A2136" s="11" t="str">
        <x:v>672</x:v>
      </x:c>
      <x:c r="B2136" s="8" t="str">
        <x:v>Proseware Ink Jet All in one M300 Grey</x:v>
      </x:c>
      <x:c r="C2136" s="8" t="n">
        <x:v>33</x:v>
      </x:c>
      <x:c r="D2136" s="9" t="n">
        <x:v>169</x:v>
      </x:c>
      <x:c r="E2136" s="9" t="n">
        <x:v>77.72</x:v>
      </x:c>
      <x:c r="F2136" s="8" t="n">
        <x:f>C2136*D2136</x:f>
        <x:v>5577</x:v>
      </x:c>
      <x:c r="G2136" s="8" t="n">
        <x:f>C2136*E2136</x:f>
        <x:v>2564.7599999999998</x:v>
      </x:c>
      <x:c r="H2136" s="8" t="n">
        <x:f>F2136-G2136</x:f>
        <x:v>3012.2400000000002</x:v>
      </x:c>
      <x:c r="I2136" s="10" t="n">
        <x:f>H2136/F2136</x:f>
        <x:v>0.5401183431952663</x:v>
      </x:c>
    </x:row>
    <x:row r="2137" ht="22" customHeight="1">
      <x:c r="A2137" s="11" t="str">
        <x:v>673</x:v>
      </x:c>
      <x:c r="B2137" s="8" t="str">
        <x:v>Proseware Laser Jet Printer E100 Grey</x:v>
      </x:c>
      <x:c r="C2137" s="8" t="n">
        <x:v>26</x:v>
      </x:c>
      <x:c r="D2137" s="9" t="n">
        <x:v>79</x:v>
      </x:c>
      <x:c r="E2137" s="9" t="n">
        <x:v>40.28</x:v>
      </x:c>
      <x:c r="F2137" s="8" t="n">
        <x:f>C2137*D2137</x:f>
        <x:v>2054</x:v>
      </x:c>
      <x:c r="G2137" s="8" t="n">
        <x:f>C2137*E2137</x:f>
        <x:v>1047.28</x:v>
      </x:c>
      <x:c r="H2137" s="8" t="n">
        <x:f>F2137-G2137</x:f>
        <x:v>1006.72</x:v>
      </x:c>
      <x:c r="I2137" s="10" t="n">
        <x:f>H2137/F2137</x:f>
        <x:v>0.49012658227848105</x:v>
      </x:c>
    </x:row>
    <x:row r="2138" ht="22" customHeight="1">
      <x:c r="A2138" s="11" t="str">
        <x:v>674</x:v>
      </x:c>
      <x:c r="B2138" s="8" t="str">
        <x:v>Proseware Laser Jet Color Printer X300 Grey</x:v>
      </x:c>
      <x:c r="C2138" s="8" t="n">
        <x:v>35</x:v>
      </x:c>
      <x:c r="D2138" s="9" t="n">
        <x:v>209</x:v>
      </x:c>
      <x:c r="E2138" s="9" t="n">
        <x:v>69.25</x:v>
      </x:c>
      <x:c r="F2138" s="8" t="n">
        <x:f>C2138*D2138</x:f>
        <x:v>7315</x:v>
      </x:c>
      <x:c r="G2138" s="8" t="n">
        <x:f>C2138*E2138</x:f>
        <x:v>2423.75</x:v>
      </x:c>
      <x:c r="H2138" s="8" t="n">
        <x:f>F2138-G2138</x:f>
        <x:v>4891.25</x:v>
      </x:c>
      <x:c r="I2138" s="10" t="n">
        <x:f>H2138/F2138</x:f>
        <x:v>0.6686602870813397</x:v>
      </x:c>
    </x:row>
    <x:row r="2139" ht="22" customHeight="1">
      <x:c r="A2139" s="11" t="str">
        <x:v>675</x:v>
      </x:c>
      <x:c r="B2139" s="8" t="str">
        <x:v>Proseware Laser Jet All in one X300 Grey</x:v>
      </x:c>
      <x:c r="C2139" s="8" t="n">
        <x:v>56</x:v>
      </x:c>
      <x:c r="D2139" s="9" t="n">
        <x:v>219</x:v>
      </x:c>
      <x:c r="E2139" s="9" t="n">
        <x:v>72.56</x:v>
      </x:c>
      <x:c r="F2139" s="8" t="n">
        <x:f>C2139*D2139</x:f>
        <x:v>12264</x:v>
      </x:c>
      <x:c r="G2139" s="8" t="n">
        <x:f>C2139*E2139</x:f>
        <x:v>4063.36</x:v>
      </x:c>
      <x:c r="H2139" s="8" t="n">
        <x:f>F2139-G2139</x:f>
        <x:v>8200.64</x:v>
      </x:c>
      <x:c r="I2139" s="10" t="n">
        <x:f>H2139/F2139</x:f>
        <x:v>0.6686757990867579</x:v>
      </x:c>
    </x:row>
    <x:row r="2140" ht="22" customHeight="1">
      <x:c r="A2140" s="11" t="str">
        <x:v>676</x:v>
      </x:c>
      <x:c r="B2140" s="8" t="str">
        <x:v>Proseware Fax phone E100 Grey</x:v>
      </x:c>
      <x:c r="C2140" s="8" t="n">
        <x:v>17</x:v>
      </x:c>
      <x:c r="D2140" s="9" t="n">
        <x:v>87</x:v>
      </x:c>
      <x:c r="E2140" s="9" t="n">
        <x:v>44.36</x:v>
      </x:c>
      <x:c r="F2140" s="8" t="n">
        <x:f>C2140*D2140</x:f>
        <x:v>1479</x:v>
      </x:c>
      <x:c r="G2140" s="8" t="n">
        <x:f>C2140*E2140</x:f>
        <x:v>754.12</x:v>
      </x:c>
      <x:c r="H2140" s="8" t="n">
        <x:f>F2140-G2140</x:f>
        <x:v>724.88</x:v>
      </x:c>
      <x:c r="I2140" s="10" t="n">
        <x:f>H2140/F2140</x:f>
        <x:v>0.4901149425287356</x:v>
      </x:c>
    </x:row>
    <x:row r="2141" ht="22" customHeight="1">
      <x:c r="A2141" s="11" t="str">
        <x:v>677</x:v>
      </x:c>
      <x:c r="B2141" s="8" t="str">
        <x:v>Proseware Fax Machine E100 Grey</x:v>
      </x:c>
      <x:c r="C2141" s="8" t="n">
        <x:v>65</x:v>
      </x:c>
      <x:c r="D2141" s="9" t="n">
        <x:v>79</x:v>
      </x:c>
      <x:c r="E2141" s="9" t="n">
        <x:v>40.28</x:v>
      </x:c>
      <x:c r="F2141" s="8" t="n">
        <x:f>C2141*D2141</x:f>
        <x:v>5135</x:v>
      </x:c>
      <x:c r="G2141" s="8" t="n">
        <x:f>C2141*E2141</x:f>
        <x:v>2618.2000000000003</x:v>
      </x:c>
      <x:c r="H2141" s="8" t="n">
        <x:f>F2141-G2141</x:f>
        <x:v>2516.7999999999997</x:v>
      </x:c>
      <x:c r="I2141" s="10" t="n">
        <x:f>H2141/F2141</x:f>
        <x:v>0.49012658227848094</x:v>
      </x:c>
    </x:row>
    <x:row r="2142" ht="22" customHeight="1">
      <x:c r="A2142" s="11" t="str">
        <x:v>678</x:v>
      </x:c>
      <x:c r="B2142" s="8" t="str">
        <x:v>Proseware Laser Fax Printer E100 Grey</x:v>
      </x:c>
      <x:c r="C2142" s="8" t="n">
        <x:v>50</x:v>
      </x:c>
      <x:c r="D2142" s="9" t="n">
        <x:v>91</x:v>
      </x:c>
      <x:c r="E2142" s="9" t="n">
        <x:v>46.39</x:v>
      </x:c>
      <x:c r="F2142" s="8" t="n">
        <x:f>C2142*D2142</x:f>
        <x:v>4550</x:v>
      </x:c>
      <x:c r="G2142" s="8" t="n">
        <x:f>C2142*E2142</x:f>
        <x:v>2319.5</x:v>
      </x:c>
      <x:c r="H2142" s="8" t="n">
        <x:f>F2142-G2142</x:f>
        <x:v>2230.5</x:v>
      </x:c>
      <x:c r="I2142" s="10" t="n">
        <x:f>H2142/F2142</x:f>
        <x:v>0.49021978021978024</x:v>
      </x:c>
    </x:row>
    <x:row r="2143" ht="22" customHeight="1">
      <x:c r="A2143" s="11" t="str">
        <x:v>679</x:v>
      </x:c>
      <x:c r="B2143" s="8" t="str">
        <x:v>Proseware Ink Jet Fax Machine E100 Grey</x:v>
      </x:c>
      <x:c r="C2143" s="8" t="n">
        <x:v>26</x:v>
      </x:c>
      <x:c r="D2143" s="9" t="n">
        <x:v>78</x:v>
      </x:c>
      <x:c r="E2143" s="9" t="n">
        <x:v>39.77</x:v>
      </x:c>
      <x:c r="F2143" s="8" t="n">
        <x:f>C2143*D2143</x:f>
        <x:v>2028</x:v>
      </x:c>
      <x:c r="G2143" s="8" t="n">
        <x:f>C2143*E2143</x:f>
        <x:v>1034.02</x:v>
      </x:c>
      <x:c r="H2143" s="8" t="n">
        <x:f>F2143-G2143</x:f>
        <x:v>993.98</x:v>
      </x:c>
      <x:c r="I2143" s="10" t="n">
        <x:f>H2143/F2143</x:f>
        <x:v>0.49012820512820515</x:v>
      </x:c>
    </x:row>
    <x:row r="2144" ht="22" customHeight="1">
      <x:c r="A2144" s="11" t="str">
        <x:v>68</x:v>
      </x:c>
      <x:c r="B2144" s="8" t="str">
        <x:v>NT Bluetooth Stereo Headphones E52 Yellow</x:v>
      </x:c>
      <x:c r="C2144" s="8" t="n">
        <x:v>204</x:v>
      </x:c>
      <x:c r="D2144" s="9" t="n">
        <x:v>25.69</x:v>
      </x:c>
      <x:c r="E2144" s="9" t="n">
        <x:v>13.1</x:v>
      </x:c>
      <x:c r="F2144" s="8" t="n">
        <x:f>C2144*D2144</x:f>
        <x:v>5240.76</x:v>
      </x:c>
      <x:c r="G2144" s="8" t="n">
        <x:f>C2144*E2144</x:f>
        <x:v>2672.4</x:v>
      </x:c>
      <x:c r="H2144" s="8" t="n">
        <x:f>F2144-G2144</x:f>
        <x:v>2568.36</x:v>
      </x:c>
      <x:c r="I2144" s="10" t="n">
        <x:f>H2144/F2144</x:f>
        <x:v>0.4900739587388089</x:v>
      </x:c>
    </x:row>
    <x:row r="2145" ht="22" customHeight="1">
      <x:c r="A2145" s="11" t="str">
        <x:v>680</x:v>
      </x:c>
      <x:c r="B2145" s="8" t="str">
        <x:v>Proseware Mobile Receipt and Document Scanner M200 Grey</x:v>
      </x:c>
      <x:c r="C2145" s="8" t="n">
        <x:v>67</x:v>
      </x:c>
      <x:c r="D2145" s="9" t="n">
        <x:v>116</x:v>
      </x:c>
      <x:c r="E2145" s="9" t="n">
        <x:v>53.34</x:v>
      </x:c>
      <x:c r="F2145" s="8" t="n">
        <x:f>C2145*D2145</x:f>
        <x:v>7772</x:v>
      </x:c>
      <x:c r="G2145" s="8" t="n">
        <x:f>C2145*E2145</x:f>
        <x:v>3573.78</x:v>
      </x:c>
      <x:c r="H2145" s="8" t="n">
        <x:f>F2145-G2145</x:f>
        <x:v>4198.219999999999</x:v>
      </x:c>
      <x:c r="I2145" s="10" t="n">
        <x:f>H2145/F2145</x:f>
        <x:v>0.5401724137931033</x:v>
      </x:c>
    </x:row>
    <x:row r="2146" ht="22" customHeight="1">
      <x:c r="A2146" s="11" t="str">
        <x:v>681</x:v>
      </x:c>
      <x:c r="B2146" s="8" t="str">
        <x:v>Proseware Scan Jet Digital Flat Bed Scanner M300 Grey</x:v>
      </x:c>
      <x:c r="C2146" s="8" t="n">
        <x:v>59</x:v>
      </x:c>
      <x:c r="D2146" s="9" t="n">
        <x:v>121</x:v>
      </x:c>
      <x:c r="E2146" s="9" t="n">
        <x:v>55.64</x:v>
      </x:c>
      <x:c r="F2146" s="8" t="n">
        <x:f>C2146*D2146</x:f>
        <x:v>7139</x:v>
      </x:c>
      <x:c r="G2146" s="8" t="n">
        <x:f>C2146*E2146</x:f>
        <x:v>3282.76</x:v>
      </x:c>
      <x:c r="H2146" s="8" t="n">
        <x:f>F2146-G2146</x:f>
        <x:v>3856.24</x:v>
      </x:c>
      <x:c r="I2146" s="10" t="n">
        <x:f>H2146/F2146</x:f>
        <x:v>0.5401652892561983</x:v>
      </x:c>
    </x:row>
    <x:row r="2147" ht="22" customHeight="1">
      <x:c r="A2147" s="11" t="str">
        <x:v>682</x:v>
      </x:c>
      <x:c r="B2147" s="8" t="str">
        <x:v>Proseware All-In-One Photo Printer M200 Grey</x:v>
      </x:c>
      <x:c r="C2147" s="8" t="n">
        <x:v>28</x:v>
      </x:c>
      <x:c r="D2147" s="9" t="n">
        <x:v>136</x:v>
      </x:c>
      <x:c r="E2147" s="9" t="n">
        <x:v>62.54</x:v>
      </x:c>
      <x:c r="F2147" s="8" t="n">
        <x:f>C2147*D2147</x:f>
        <x:v>3808</x:v>
      </x:c>
      <x:c r="G2147" s="8" t="n">
        <x:f>C2147*E2147</x:f>
        <x:v>1751.12</x:v>
      </x:c>
      <x:c r="H2147" s="8" t="n">
        <x:f>F2147-G2147</x:f>
        <x:v>2056.88</x:v>
      </x:c>
      <x:c r="I2147" s="10" t="n">
        <x:f>H2147/F2147</x:f>
        <x:v>0.5401470588235294</x:v>
      </x:c>
    </x:row>
    <x:row r="2148" ht="22" customHeight="1">
      <x:c r="A2148" s="11" t="str">
        <x:v>683</x:v>
      </x:c>
      <x:c r="B2148" s="8" t="str">
        <x:v>Proseware Ink Jet Wireless All-In-One Printer M400 Grey</x:v>
      </x:c>
      <x:c r="C2148" s="8" t="n">
        <x:v>80</x:v>
      </x:c>
      <x:c r="D2148" s="9" t="n">
        <x:v>129</x:v>
      </x:c>
      <x:c r="E2148" s="9" t="n">
        <x:v>59.32</x:v>
      </x:c>
      <x:c r="F2148" s="8" t="n">
        <x:f>C2148*D2148</x:f>
        <x:v>10320</x:v>
      </x:c>
      <x:c r="G2148" s="8" t="n">
        <x:f>C2148*E2148</x:f>
        <x:v>4745.6</x:v>
      </x:c>
      <x:c r="H2148" s="8" t="n">
        <x:f>F2148-G2148</x:f>
        <x:v>5574.4</x:v>
      </x:c>
      <x:c r="I2148" s="10" t="n">
        <x:f>H2148/F2148</x:f>
        <x:v>0.5401550387596898</x:v>
      </x:c>
    </x:row>
    <x:row r="2149" ht="22" customHeight="1">
      <x:c r="A2149" s="11" t="str">
        <x:v>684</x:v>
      </x:c>
      <x:c r="B2149" s="8" t="str">
        <x:v>Proseware Ink Jet Instant PDF Sheet-Fed Scanner M300 Grey</x:v>
      </x:c>
      <x:c r="C2149" s="8" t="n">
        <x:v>16</x:v>
      </x:c>
      <x:c r="D2149" s="9" t="n">
        <x:v>160</x:v>
      </x:c>
      <x:c r="E2149" s="9" t="n">
        <x:v>73.58</x:v>
      </x:c>
      <x:c r="F2149" s="8" t="n">
        <x:f>C2149*D2149</x:f>
        <x:v>2560</x:v>
      </x:c>
      <x:c r="G2149" s="8" t="n">
        <x:f>C2149*E2149</x:f>
        <x:v>1177.28</x:v>
      </x:c>
      <x:c r="H2149" s="8" t="n">
        <x:f>F2149-G2149</x:f>
        <x:v>1382.72</x:v>
      </x:c>
      <x:c r="I2149" s="10" t="n">
        <x:f>H2149/F2149</x:f>
        <x:v>0.540125</x:v>
      </x:c>
    </x:row>
    <x:row r="2150" ht="22" customHeight="1">
      <x:c r="A2150" s="11" t="str">
        <x:v>685</x:v>
      </x:c>
      <x:c r="B2150" s="8" t="str">
        <x:v>Proseware Desk Jet All-in-One Printer, Scanner, Copier M350 Grey</x:v>
      </x:c>
      <x:c r="C2150" s="8" t="n">
        <x:v>23</x:v>
      </x:c>
      <x:c r="D2150" s="9" t="n">
        <x:v>158</x:v>
      </x:c>
      <x:c r="E2150" s="9" t="n">
        <x:v>72.66</x:v>
      </x:c>
      <x:c r="F2150" s="8" t="n">
        <x:f>C2150*D2150</x:f>
        <x:v>3634</x:v>
      </x:c>
      <x:c r="G2150" s="8" t="n">
        <x:f>C2150*E2150</x:f>
        <x:v>1671.1799999999998</x:v>
      </x:c>
      <x:c r="H2150" s="8" t="n">
        <x:f>F2150-G2150</x:f>
        <x:v>1962.8200000000002</x:v>
      </x:c>
      <x:c r="I2150" s="10" t="n">
        <x:f>H2150/F2150</x:f>
        <x:v>0.5401265822784811</x:v>
      </x:c>
    </x:row>
    <x:row r="2151" ht="22" customHeight="1">
      <x:c r="A2151" s="11" t="str">
        <x:v>686</x:v>
      </x:c>
      <x:c r="B2151" s="8" t="str">
        <x:v>Proseware Duplex Scanner M200 Grey</x:v>
      </x:c>
      <x:c r="C2151" s="8" t="n">
        <x:v>37</x:v>
      </x:c>
      <x:c r="D2151" s="9" t="n">
        <x:v>149</x:v>
      </x:c>
      <x:c r="E2151" s="9" t="n">
        <x:v>68.52</x:v>
      </x:c>
      <x:c r="F2151" s="8" t="n">
        <x:f>C2151*D2151</x:f>
        <x:v>5513</x:v>
      </x:c>
      <x:c r="G2151" s="8" t="n">
        <x:f>C2151*E2151</x:f>
        <x:v>2535.24</x:v>
      </x:c>
      <x:c r="H2151" s="8" t="n">
        <x:f>F2151-G2151</x:f>
        <x:v>2977.76</x:v>
      </x:c>
      <x:c r="I2151" s="10" t="n">
        <x:f>H2151/F2151</x:f>
        <x:v>0.5401342281879195</x:v>
      </x:c>
    </x:row>
    <x:row r="2152" ht="22" customHeight="1">
      <x:c r="A2152" s="11" t="str">
        <x:v>687</x:v>
      </x:c>
      <x:c r="B2152" s="8" t="str">
        <x:v>Proseware High Speed Laser Fax M2000 Grey</x:v>
      </x:c>
      <x:c r="C2152" s="8" t="n">
        <x:v>47</x:v>
      </x:c>
      <x:c r="D2152" s="9" t="n">
        <x:v>209</x:v>
      </x:c>
      <x:c r="E2152" s="9" t="n">
        <x:v>69.25</x:v>
      </x:c>
      <x:c r="F2152" s="8" t="n">
        <x:f>C2152*D2152</x:f>
        <x:v>9823</x:v>
      </x:c>
      <x:c r="G2152" s="8" t="n">
        <x:f>C2152*E2152</x:f>
        <x:v>3254.75</x:v>
      </x:c>
      <x:c r="H2152" s="8" t="n">
        <x:f>F2152-G2152</x:f>
        <x:v>6568.25</x:v>
      </x:c>
      <x:c r="I2152" s="10" t="n">
        <x:f>H2152/F2152</x:f>
        <x:v>0.6686602870813397</x:v>
      </x:c>
    </x:row>
    <x:row r="2153" ht="22" customHeight="1">
      <x:c r="A2153" s="11" t="str">
        <x:v>688</x:v>
      </x:c>
      <x:c r="B2153" s="8" t="str">
        <x:v>Proseware Laser Fax Printer M250 Grey</x:v>
      </x:c>
      <x:c r="C2153" s="8" t="n">
        <x:v>47</x:v>
      </x:c>
      <x:c r="D2153" s="9" t="n">
        <x:v>118</x:v>
      </x:c>
      <x:c r="E2153" s="9" t="n">
        <x:v>54.26</x:v>
      </x:c>
      <x:c r="F2153" s="8" t="n">
        <x:f>C2153*D2153</x:f>
        <x:v>5546</x:v>
      </x:c>
      <x:c r="G2153" s="8" t="n">
        <x:f>C2153*E2153</x:f>
        <x:v>2550.22</x:v>
      </x:c>
      <x:c r="H2153" s="8" t="n">
        <x:f>F2153-G2153</x:f>
        <x:v>2995.78</x:v>
      </x:c>
      <x:c r="I2153" s="10" t="n">
        <x:f>H2153/F2153</x:f>
        <x:v>0.5401694915254238</x:v>
      </x:c>
    </x:row>
    <x:row r="2154" ht="22" customHeight="1">
      <x:c r="A2154" s="11" t="str">
        <x:v>689</x:v>
      </x:c>
      <x:c r="B2154" s="8" t="str">
        <x:v>Proseware Color Ink Jet Fax, Copier, Phone M250 Grey</x:v>
      </x:c>
      <x:c r="C2154" s="8" t="n">
        <x:v>26</x:v>
      </x:c>
      <x:c r="D2154" s="9" t="n">
        <x:v>159</x:v>
      </x:c>
      <x:c r="E2154" s="9" t="n">
        <x:v>73.12</x:v>
      </x:c>
      <x:c r="F2154" s="8" t="n">
        <x:f>C2154*D2154</x:f>
        <x:v>4134</x:v>
      </x:c>
      <x:c r="G2154" s="8" t="n">
        <x:f>C2154*E2154</x:f>
        <x:v>1901.1200000000001</x:v>
      </x:c>
      <x:c r="H2154" s="8" t="n">
        <x:f>F2154-G2154</x:f>
        <x:v>2232.88</x:v>
      </x:c>
      <x:c r="I2154" s="10" t="n">
        <x:f>H2154/F2154</x:f>
        <x:v>0.540125786163522</x:v>
      </x:c>
    </x:row>
    <x:row r="2155" ht="22" customHeight="1">
      <x:c r="A2155" s="11" t="str">
        <x:v>69</x:v>
      </x:c>
      <x:c r="B2155" s="8" t="str">
        <x:v>NT Bluetooth Stereo Headphones E52 Pink</x:v>
      </x:c>
      <x:c r="C2155" s="8" t="n">
        <x:v>314</x:v>
      </x:c>
      <x:c r="D2155" s="9" t="n">
        <x:v>25.69</x:v>
      </x:c>
      <x:c r="E2155" s="9" t="n">
        <x:v>13.1</x:v>
      </x:c>
      <x:c r="F2155" s="8" t="n">
        <x:f>C2155*D2155</x:f>
        <x:v>8066.660000000001</x:v>
      </x:c>
      <x:c r="G2155" s="8" t="n">
        <x:f>C2155*E2155</x:f>
        <x:v>4113.4</x:v>
      </x:c>
      <x:c r="H2155" s="8" t="n">
        <x:f>F2155-G2155</x:f>
        <x:v>3953.260000000001</x:v>
      </x:c>
      <x:c r="I2155" s="10" t="n">
        <x:f>H2155/F2155</x:f>
        <x:v>0.490073958738809</x:v>
      </x:c>
    </x:row>
    <x:row r="2156" ht="22" customHeight="1">
      <x:c r="A2156" s="11" t="str">
        <x:v>690</x:v>
      </x:c>
      <x:c r="B2156" s="8" t="str">
        <x:v>Proseware Color Ink Jet Fax with 5.8 GHz Cordless Handset X250 Grey</x:v>
      </x:c>
      <x:c r="C2156" s="8" t="n">
        <x:v>30</x:v>
      </x:c>
      <x:c r="D2156" s="9" t="n">
        <x:v>228</x:v>
      </x:c>
      <x:c r="E2156" s="9" t="n">
        <x:v>75.54</x:v>
      </x:c>
      <x:c r="F2156" s="8" t="n">
        <x:f>C2156*D2156</x:f>
        <x:v>6840</x:v>
      </x:c>
      <x:c r="G2156" s="8" t="n">
        <x:f>C2156*E2156</x:f>
        <x:v>2266.2000000000003</x:v>
      </x:c>
      <x:c r="H2156" s="8" t="n">
        <x:f>F2156-G2156</x:f>
        <x:v>4573.799999999999</x:v>
      </x:c>
      <x:c r="I2156" s="10" t="n">
        <x:f>H2156/F2156</x:f>
        <x:v>0.6686842105263157</x:v>
      </x:c>
    </x:row>
    <x:row r="2157" ht="22" customHeight="1">
      <x:c r="A2157" s="11" t="str">
        <x:v>691</x:v>
      </x:c>
      <x:c r="B2157" s="8" t="str">
        <x:v>Proseware Slim-Design Fax Machine with Answering System X180 Grey</x:v>
      </x:c>
      <x:c r="C2157" s="8" t="n">
        <x:v>64</x:v>
      </x:c>
      <x:c r="D2157" s="9" t="n">
        <x:v>236</x:v>
      </x:c>
      <x:c r="E2157" s="9" t="n">
        <x:v>78.19</x:v>
      </x:c>
      <x:c r="F2157" s="8" t="n">
        <x:f>C2157*D2157</x:f>
        <x:v>15104</x:v>
      </x:c>
      <x:c r="G2157" s="8" t="n">
        <x:f>C2157*E2157</x:f>
        <x:v>5004.16</x:v>
      </x:c>
      <x:c r="H2157" s="8" t="n">
        <x:f>F2157-G2157</x:f>
        <x:v>10099.84</x:v>
      </x:c>
      <x:c r="I2157" s="10" t="n">
        <x:f>H2157/F2157</x:f>
        <x:v>0.6686864406779661</x:v>
      </x:c>
    </x:row>
    <x:row r="2158" ht="22" customHeight="1">
      <x:c r="A2158" s="11" t="str">
        <x:v>692</x:v>
      </x:c>
      <x:c r="B2158" s="8" t="str">
        <x:v>Proseware High-Performance Business-Class Laser Fax X200 Grey</x:v>
      </x:c>
      <x:c r="C2158" s="8" t="n">
        <x:v>48</x:v>
      </x:c>
      <x:c r="D2158" s="9" t="n">
        <x:v>248</x:v>
      </x:c>
      <x:c r="E2158" s="9" t="n">
        <x:v>82.17</x:v>
      </x:c>
      <x:c r="F2158" s="8" t="n">
        <x:f>C2158*D2158</x:f>
        <x:v>11904</x:v>
      </x:c>
      <x:c r="G2158" s="8" t="n">
        <x:f>C2158*E2158</x:f>
        <x:v>3944.16</x:v>
      </x:c>
      <x:c r="H2158" s="8" t="n">
        <x:f>F2158-G2158</x:f>
        <x:v>7959.84</x:v>
      </x:c>
      <x:c r="I2158" s="10" t="n">
        <x:f>H2158/F2158</x:f>
        <x:v>0.6686693548387097</x:v>
      </x:c>
    </x:row>
    <x:row r="2159" ht="22" customHeight="1">
      <x:c r="A2159" s="11" t="str">
        <x:v>693</x:v>
      </x:c>
      <x:c r="B2159" s="8" t="str">
        <x:v>Proseware Professional Quality Plain-Paper Fax and Copier X100 Grey</x:v>
      </x:c>
      <x:c r="C2159" s="8" t="n">
        <x:v>41</x:v>
      </x:c>
      <x:c r="D2159" s="9" t="n">
        <x:v>229</x:v>
      </x:c>
      <x:c r="E2159" s="9" t="n">
        <x:v>75.87</x:v>
      </x:c>
      <x:c r="F2159" s="8" t="n">
        <x:f>C2159*D2159</x:f>
        <x:v>9389</x:v>
      </x:c>
      <x:c r="G2159" s="8" t="n">
        <x:f>C2159*E2159</x:f>
        <x:v>3110.67</x:v>
      </x:c>
      <x:c r="H2159" s="8" t="n">
        <x:f>F2159-G2159</x:f>
        <x:v>6278.33</x:v>
      </x:c>
      <x:c r="I2159" s="10" t="n">
        <x:f>H2159/F2159</x:f>
        <x:v>0.6686899563318777</x:v>
      </x:c>
    </x:row>
    <x:row r="2160" ht="22" customHeight="1">
      <x:c r="A2160" s="11" t="str">
        <x:v>694</x:v>
      </x:c>
      <x:c r="B2160" s="8" t="str">
        <x:v>Proseware Photo Ink Jet Printer E290 Grey</x:v>
      </x:c>
      <x:c r="C2160" s="8" t="n">
        <x:v>52</x:v>
      </x:c>
      <x:c r="D2160" s="9" t="n">
        <x:v>102</x:v>
      </x:c>
      <x:c r="E2160" s="9" t="n">
        <x:v>52</x:v>
      </x:c>
      <x:c r="F2160" s="8" t="n">
        <x:f>C2160*D2160</x:f>
        <x:v>5304</x:v>
      </x:c>
      <x:c r="G2160" s="8" t="n">
        <x:f>C2160*E2160</x:f>
        <x:v>2704</x:v>
      </x:c>
      <x:c r="H2160" s="8" t="n">
        <x:f>F2160-G2160</x:f>
        <x:v>2600</x:v>
      </x:c>
      <x:c r="I2160" s="10" t="n">
        <x:f>H2160/F2160</x:f>
        <x:v>0.49019607843137253</x:v>
      </x:c>
    </x:row>
    <x:row r="2161" ht="22" customHeight="1">
      <x:c r="A2161" s="11" t="str">
        <x:v>695</x:v>
      </x:c>
      <x:c r="B2161" s="8" t="str">
        <x:v>Proseware Office Jet All-in-One Printer M500 Grey</x:v>
      </x:c>
      <x:c r="C2161" s="8" t="n">
        <x:v>39</x:v>
      </x:c>
      <x:c r="D2161" s="9" t="n">
        <x:v>163</x:v>
      </x:c>
      <x:c r="E2161" s="9" t="n">
        <x:v>74.96</x:v>
      </x:c>
      <x:c r="F2161" s="8" t="n">
        <x:f>C2161*D2161</x:f>
        <x:v>6357</x:v>
      </x:c>
      <x:c r="G2161" s="8" t="n">
        <x:f>C2161*E2161</x:f>
        <x:v>2923.4399999999996</x:v>
      </x:c>
      <x:c r="H2161" s="8" t="n">
        <x:f>F2161-G2161</x:f>
        <x:v>3433.5600000000004</x:v>
      </x:c>
      <x:c r="I2161" s="10" t="n">
        <x:f>H2161/F2161</x:f>
        <x:v>0.5401226993865031</x:v>
      </x:c>
    </x:row>
    <x:row r="2162" ht="22" customHeight="1">
      <x:c r="A2162" s="11" t="str">
        <x:v>696</x:v>
      </x:c>
      <x:c r="B2162" s="8" t="str">
        <x:v>Proseware Office Jet Wireless All-in-One Inkjet Printer M600 Grey</x:v>
      </x:c>
      <x:c r="C2162" s="8" t="n">
        <x:v>47</x:v>
      </x:c>
      <x:c r="D2162" s="9" t="n">
        <x:v>190</x:v>
      </x:c>
      <x:c r="E2162" s="9" t="n">
        <x:v>87.37</x:v>
      </x:c>
      <x:c r="F2162" s="8" t="n">
        <x:f>C2162*D2162</x:f>
        <x:v>8930</x:v>
      </x:c>
      <x:c r="G2162" s="8" t="n">
        <x:f>C2162*E2162</x:f>
        <x:v>4106.39</x:v>
      </x:c>
      <x:c r="H2162" s="8" t="n">
        <x:f>F2162-G2162</x:f>
        <x:v>4823.61</x:v>
      </x:c>
      <x:c r="I2162" s="10" t="n">
        <x:f>H2162/F2162</x:f>
        <x:v>0.5401578947368421</x:v>
      </x:c>
    </x:row>
    <x:row r="2163" ht="22" customHeight="1">
      <x:c r="A2163" s="11" t="str">
        <x:v>697</x:v>
      </x:c>
      <x:c r="B2163" s="8" t="str">
        <x:v>Proseware Photo Smart All-in-One Printer M380 Grey</x:v>
      </x:c>
      <x:c r="C2163" s="8" t="n">
        <x:v>37</x:v>
      </x:c>
      <x:c r="D2163" s="9" t="n">
        <x:v>147</x:v>
      </x:c>
      <x:c r="E2163" s="9" t="n">
        <x:v>67.6</x:v>
      </x:c>
      <x:c r="F2163" s="8" t="n">
        <x:f>C2163*D2163</x:f>
        <x:v>5439</x:v>
      </x:c>
      <x:c r="G2163" s="8" t="n">
        <x:f>C2163*E2163</x:f>
        <x:v>2501.2</x:v>
      </x:c>
      <x:c r="H2163" s="8" t="n">
        <x:f>F2163-G2163</x:f>
        <x:v>2937.8</x:v>
      </x:c>
      <x:c r="I2163" s="10" t="n">
        <x:f>H2163/F2163</x:f>
        <x:v>0.5401360544217687</x:v>
      </x:c>
    </x:row>
    <x:row r="2164" ht="22" customHeight="1">
      <x:c r="A2164" s="11" t="str">
        <x:v>698</x:v>
      </x:c>
      <x:c r="B2164" s="8" t="str">
        <x:v>Proseware Wireless Photo All-in-One Printer M390 Grey</x:v>
      </x:c>
      <x:c r="C2164" s="8" t="n">
        <x:v>59</x:v>
      </x:c>
      <x:c r="D2164" s="9" t="n">
        <x:v>188</x:v>
      </x:c>
      <x:c r="E2164" s="9" t="n">
        <x:v>86.45</x:v>
      </x:c>
      <x:c r="F2164" s="8" t="n">
        <x:f>C2164*D2164</x:f>
        <x:v>11092</x:v>
      </x:c>
      <x:c r="G2164" s="8" t="n">
        <x:f>C2164*E2164</x:f>
        <x:v>5100.55</x:v>
      </x:c>
      <x:c r="H2164" s="8" t="n">
        <x:f>F2164-G2164</x:f>
        <x:v>5991.45</x:v>
      </x:c>
      <x:c r="I2164" s="10" t="n">
        <x:f>H2164/F2164</x:f>
        <x:v>0.540159574468085</x:v>
      </x:c>
    </x:row>
    <x:row r="2165" ht="22" customHeight="1">
      <x:c r="A2165" s="11" t="str">
        <x:v>699</x:v>
      </x:c>
      <x:c r="B2165" s="8" t="str">
        <x:v>Proseware 23ppm Laser Printer with Wireless and Wired Network Interfaces M680 Grey</x:v>
      </x:c>
      <x:c r="C2165" s="8" t="n">
        <x:v>31</x:v>
      </x:c>
      <x:c r="D2165" s="9" t="n">
        <x:v>196</x:v>
      </x:c>
      <x:c r="E2165" s="9" t="n">
        <x:v>90.13</x:v>
      </x:c>
      <x:c r="F2165" s="8" t="n">
        <x:f>C2165*D2165</x:f>
        <x:v>6076</x:v>
      </x:c>
      <x:c r="G2165" s="8" t="n">
        <x:f>C2165*E2165</x:f>
        <x:v>2794.0299999999997</x:v>
      </x:c>
      <x:c r="H2165" s="8" t="n">
        <x:f>F2165-G2165</x:f>
        <x:v>3281.9700000000003</x:v>
      </x:c>
      <x:c r="I2165" s="10" t="n">
        <x:f>H2165/F2165</x:f>
        <x:v>0.5401530612244898</x:v>
      </x:c>
    </x:row>
    <x:row r="2166" ht="22" customHeight="1">
      <x:c r="A2166" s="11" t="str">
        <x:v>7</x:v>
      </x:c>
      <x:c r="B2166" s="8" t="str">
        <x:v>Contoso 2G MP3 Player E200 Blue</x:v>
      </x:c>
      <x:c r="C2166" s="8" t="n">
        <x:v>101</x:v>
      </x:c>
      <x:c r="D2166" s="9" t="n">
        <x:v>21.57</x:v>
      </x:c>
      <x:c r="E2166" s="9" t="n">
        <x:v>11</x:v>
      </x:c>
      <x:c r="F2166" s="8" t="n">
        <x:f>C2166*D2166</x:f>
        <x:v>2178.57</x:v>
      </x:c>
      <x:c r="G2166" s="8" t="n">
        <x:f>C2166*E2166</x:f>
        <x:v>1111</x:v>
      </x:c>
      <x:c r="H2166" s="8" t="n">
        <x:f>F2166-G2166</x:f>
        <x:v>1067.5700000000002</x:v>
      </x:c>
      <x:c r="I2166" s="10" t="n">
        <x:f>H2166/F2166</x:f>
        <x:v>0.49003245248029675</x:v>
      </x:c>
    </x:row>
    <x:row r="2167" ht="22" customHeight="1">
      <x:c r="A2167" s="11" t="str">
        <x:v>70</x:v>
      </x:c>
      <x:c r="B2167" s="8" t="str">
        <x:v>NT Wireless Bluetooth Stereo Headphones E102 Silver</x:v>
      </x:c>
      <x:c r="C2167" s="8" t="n">
        <x:v>280</x:v>
      </x:c>
      <x:c r="D2167" s="9" t="n">
        <x:v>47.95</x:v>
      </x:c>
      <x:c r="E2167" s="9" t="n">
        <x:v>22.05</x:v>
      </x:c>
      <x:c r="F2167" s="8" t="n">
        <x:f>C2167*D2167</x:f>
        <x:v>13426</x:v>
      </x:c>
      <x:c r="G2167" s="8" t="n">
        <x:f>C2167*E2167</x:f>
        <x:v>6174</x:v>
      </x:c>
      <x:c r="H2167" s="8" t="n">
        <x:f>F2167-G2167</x:f>
        <x:v>7252</x:v>
      </x:c>
      <x:c r="I2167" s="10" t="n">
        <x:f>H2167/F2167</x:f>
        <x:v>0.5401459854014599</x:v>
      </x:c>
    </x:row>
    <x:row r="2168" ht="22" customHeight="1">
      <x:c r="A2168" s="11" t="str">
        <x:v>700</x:v>
      </x:c>
      <x:c r="B2168" s="8" t="str">
        <x:v>Proseware Photo Ink Jet Printer M100 White</x:v>
      </x:c>
      <x:c r="C2168" s="8" t="n">
        <x:v>18</x:v>
      </x:c>
      <x:c r="D2168" s="9" t="n">
        <x:v>159</x:v>
      </x:c>
      <x:c r="E2168" s="9" t="n">
        <x:v>73.12</x:v>
      </x:c>
      <x:c r="F2168" s="8" t="n">
        <x:f>C2168*D2168</x:f>
        <x:v>2862</x:v>
      </x:c>
      <x:c r="G2168" s="8" t="n">
        <x:f>C2168*E2168</x:f>
        <x:v>1316.16</x:v>
      </x:c>
      <x:c r="H2168" s="8" t="n">
        <x:f>F2168-G2168</x:f>
        <x:v>1545.84</x:v>
      </x:c>
      <x:c r="I2168" s="10" t="n">
        <x:f>H2168/F2168</x:f>
        <x:v>0.540125786163522</x:v>
      </x:c>
    </x:row>
    <x:row r="2169" ht="22" customHeight="1">
      <x:c r="A2169" s="11" t="str">
        <x:v>701</x:v>
      </x:c>
      <x:c r="B2169" s="8" t="str">
        <x:v>Proseware Ink Jet All in one M300 White</x:v>
      </x:c>
      <x:c r="C2169" s="8" t="n">
        <x:v>44</x:v>
      </x:c>
      <x:c r="D2169" s="9" t="n">
        <x:v>169</x:v>
      </x:c>
      <x:c r="E2169" s="9" t="n">
        <x:v>77.72</x:v>
      </x:c>
      <x:c r="F2169" s="8" t="n">
        <x:f>C2169*D2169</x:f>
        <x:v>7436</x:v>
      </x:c>
      <x:c r="G2169" s="8" t="n">
        <x:f>C2169*E2169</x:f>
        <x:v>3419.68</x:v>
      </x:c>
      <x:c r="H2169" s="8" t="n">
        <x:f>F2169-G2169</x:f>
        <x:v>4016.32</x:v>
      </x:c>
      <x:c r="I2169" s="10" t="n">
        <x:f>H2169/F2169</x:f>
        <x:v>0.5401183431952663</x:v>
      </x:c>
    </x:row>
    <x:row r="2170" ht="22" customHeight="1">
      <x:c r="A2170" s="11" t="str">
        <x:v>702</x:v>
      </x:c>
      <x:c r="B2170" s="8" t="str">
        <x:v>Proseware Laser Jet Printer E100 White</x:v>
      </x:c>
      <x:c r="C2170" s="8" t="n">
        <x:v>42</x:v>
      </x:c>
      <x:c r="D2170" s="9" t="n">
        <x:v>79</x:v>
      </x:c>
      <x:c r="E2170" s="9" t="n">
        <x:v>40.28</x:v>
      </x:c>
      <x:c r="F2170" s="8" t="n">
        <x:f>C2170*D2170</x:f>
        <x:v>3318</x:v>
      </x:c>
      <x:c r="G2170" s="8" t="n">
        <x:f>C2170*E2170</x:f>
        <x:v>1691.76</x:v>
      </x:c>
      <x:c r="H2170" s="8" t="n">
        <x:f>F2170-G2170</x:f>
        <x:v>1626.24</x:v>
      </x:c>
      <x:c r="I2170" s="10" t="n">
        <x:f>H2170/F2170</x:f>
        <x:v>0.490126582278481</x:v>
      </x:c>
    </x:row>
    <x:row r="2171" ht="22" customHeight="1">
      <x:c r="A2171" s="11" t="str">
        <x:v>703</x:v>
      </x:c>
      <x:c r="B2171" s="8" t="str">
        <x:v>Proseware Laser Jet Color Printer X300 White</x:v>
      </x:c>
      <x:c r="C2171" s="8" t="n">
        <x:v>81</x:v>
      </x:c>
      <x:c r="D2171" s="9" t="n">
        <x:v>209</x:v>
      </x:c>
      <x:c r="E2171" s="9" t="n">
        <x:v>69.25</x:v>
      </x:c>
      <x:c r="F2171" s="8" t="n">
        <x:f>C2171*D2171</x:f>
        <x:v>16929</x:v>
      </x:c>
      <x:c r="G2171" s="8" t="n">
        <x:f>C2171*E2171</x:f>
        <x:v>5609.25</x:v>
      </x:c>
      <x:c r="H2171" s="8" t="n">
        <x:f>F2171-G2171</x:f>
        <x:v>11319.75</x:v>
      </x:c>
      <x:c r="I2171" s="10" t="n">
        <x:f>H2171/F2171</x:f>
        <x:v>0.6686602870813397</x:v>
      </x:c>
    </x:row>
    <x:row r="2172" ht="22" customHeight="1">
      <x:c r="A2172" s="11" t="str">
        <x:v>704</x:v>
      </x:c>
      <x:c r="B2172" s="8" t="str">
        <x:v>Proseware Laser Jet All in one X300 White</x:v>
      </x:c>
      <x:c r="C2172" s="8" t="n">
        <x:v>11</x:v>
      </x:c>
      <x:c r="D2172" s="9" t="n">
        <x:v>219</x:v>
      </x:c>
      <x:c r="E2172" s="9" t="n">
        <x:v>72.56</x:v>
      </x:c>
      <x:c r="F2172" s="8" t="n">
        <x:f>C2172*D2172</x:f>
        <x:v>2409</x:v>
      </x:c>
      <x:c r="G2172" s="8" t="n">
        <x:f>C2172*E2172</x:f>
        <x:v>798.1600000000001</x:v>
      </x:c>
      <x:c r="H2172" s="8" t="n">
        <x:f>F2172-G2172</x:f>
        <x:v>1610.84</x:v>
      </x:c>
      <x:c r="I2172" s="10" t="n">
        <x:f>H2172/F2172</x:f>
        <x:v>0.668675799086758</x:v>
      </x:c>
    </x:row>
    <x:row r="2173" ht="22" customHeight="1">
      <x:c r="A2173" s="11" t="str">
        <x:v>705</x:v>
      </x:c>
      <x:c r="B2173" s="8" t="str">
        <x:v>Proseware Fax Phone E100 White</x:v>
      </x:c>
      <x:c r="C2173" s="8" t="n">
        <x:v>50</x:v>
      </x:c>
      <x:c r="D2173" s="9" t="n">
        <x:v>87</x:v>
      </x:c>
      <x:c r="E2173" s="9" t="n">
        <x:v>44.36</x:v>
      </x:c>
      <x:c r="F2173" s="8" t="n">
        <x:f>C2173*D2173</x:f>
        <x:v>4350</x:v>
      </x:c>
      <x:c r="G2173" s="8" t="n">
        <x:f>C2173*E2173</x:f>
        <x:v>2218</x:v>
      </x:c>
      <x:c r="H2173" s="8" t="n">
        <x:f>F2173-G2173</x:f>
        <x:v>2132</x:v>
      </x:c>
      <x:c r="I2173" s="10" t="n">
        <x:f>H2173/F2173</x:f>
        <x:v>0.4901149425287356</x:v>
      </x:c>
    </x:row>
    <x:row r="2174" ht="22" customHeight="1">
      <x:c r="A2174" s="11" t="str">
        <x:v>706</x:v>
      </x:c>
      <x:c r="B2174" s="8" t="str">
        <x:v>Proseware Fax Machine E100 White</x:v>
      </x:c>
      <x:c r="C2174" s="8" t="n">
        <x:v>59</x:v>
      </x:c>
      <x:c r="D2174" s="9" t="n">
        <x:v>79</x:v>
      </x:c>
      <x:c r="E2174" s="9" t="n">
        <x:v>40.28</x:v>
      </x:c>
      <x:c r="F2174" s="8" t="n">
        <x:f>C2174*D2174</x:f>
        <x:v>4661</x:v>
      </x:c>
      <x:c r="G2174" s="8" t="n">
        <x:f>C2174*E2174</x:f>
        <x:v>2376.52</x:v>
      </x:c>
      <x:c r="H2174" s="8" t="n">
        <x:f>F2174-G2174</x:f>
        <x:v>2284.48</x:v>
      </x:c>
      <x:c r="I2174" s="10" t="n">
        <x:f>H2174/F2174</x:f>
        <x:v>0.490126582278481</x:v>
      </x:c>
    </x:row>
    <x:row r="2175" ht="22" customHeight="1">
      <x:c r="A2175" s="11" t="str">
        <x:v>707</x:v>
      </x:c>
      <x:c r="B2175" s="8" t="str">
        <x:v>Proseware Laser Fax Printer E100 White</x:v>
      </x:c>
      <x:c r="C2175" s="8" t="n">
        <x:v>44</x:v>
      </x:c>
      <x:c r="D2175" s="9" t="n">
        <x:v>91</x:v>
      </x:c>
      <x:c r="E2175" s="9" t="n">
        <x:v>46.39</x:v>
      </x:c>
      <x:c r="F2175" s="8" t="n">
        <x:f>C2175*D2175</x:f>
        <x:v>4004</x:v>
      </x:c>
      <x:c r="G2175" s="8" t="n">
        <x:f>C2175*E2175</x:f>
        <x:v>2041.16</x:v>
      </x:c>
      <x:c r="H2175" s="8" t="n">
        <x:f>F2175-G2175</x:f>
        <x:v>1962.84</x:v>
      </x:c>
      <x:c r="I2175" s="10" t="n">
        <x:f>H2175/F2175</x:f>
        <x:v>0.4902197802197802</x:v>
      </x:c>
    </x:row>
    <x:row r="2176" ht="22" customHeight="1">
      <x:c r="A2176" s="11" t="str">
        <x:v>708</x:v>
      </x:c>
      <x:c r="B2176" s="8" t="str">
        <x:v>Proseware Ink Jet Fax Machine E100 White</x:v>
      </x:c>
      <x:c r="C2176" s="8" t="n">
        <x:v>56</x:v>
      </x:c>
      <x:c r="D2176" s="9" t="n">
        <x:v>78</x:v>
      </x:c>
      <x:c r="E2176" s="9" t="n">
        <x:v>39.77</x:v>
      </x:c>
      <x:c r="F2176" s="8" t="n">
        <x:f>C2176*D2176</x:f>
        <x:v>4368</x:v>
      </x:c>
      <x:c r="G2176" s="8" t="n">
        <x:f>C2176*E2176</x:f>
        <x:v>2227.1200000000003</x:v>
      </x:c>
      <x:c r="H2176" s="8" t="n">
        <x:f>F2176-G2176</x:f>
        <x:v>2140.8799999999997</x:v>
      </x:c>
      <x:c r="I2176" s="10" t="n">
        <x:f>H2176/F2176</x:f>
        <x:v>0.49012820512820504</x:v>
      </x:c>
    </x:row>
    <x:row r="2177" ht="22" customHeight="1">
      <x:c r="A2177" s="11" t="str">
        <x:v>709</x:v>
      </x:c>
      <x:c r="B2177" s="8" t="str">
        <x:v>Proseware Mobile Receipt and Document Scanner M200 White</x:v>
      </x:c>
      <x:c r="C2177" s="8" t="n">
        <x:v>47</x:v>
      </x:c>
      <x:c r="D2177" s="9" t="n">
        <x:v>116</x:v>
      </x:c>
      <x:c r="E2177" s="9" t="n">
        <x:v>53.34</x:v>
      </x:c>
      <x:c r="F2177" s="8" t="n">
        <x:f>C2177*D2177</x:f>
        <x:v>5452</x:v>
      </x:c>
      <x:c r="G2177" s="8" t="n">
        <x:f>C2177*E2177</x:f>
        <x:v>2506.98</x:v>
      </x:c>
      <x:c r="H2177" s="8" t="n">
        <x:f>F2177-G2177</x:f>
        <x:v>2945.02</x:v>
      </x:c>
      <x:c r="I2177" s="10" t="n">
        <x:f>H2177/F2177</x:f>
        <x:v>0.5401724137931034</x:v>
      </x:c>
    </x:row>
    <x:row r="2178" ht="22" customHeight="1">
      <x:c r="A2178" s="11" t="str">
        <x:v>71</x:v>
      </x:c>
      <x:c r="B2178" s="8" t="str">
        <x:v>NT Wireless Bluetooth Stereo Headphones E102 Black</x:v>
      </x:c>
      <x:c r="C2178" s="8" t="n">
        <x:v>281</x:v>
      </x:c>
      <x:c r="D2178" s="9" t="n">
        <x:v>47.95</x:v>
      </x:c>
      <x:c r="E2178" s="9" t="n">
        <x:v>22.05</x:v>
      </x:c>
      <x:c r="F2178" s="8" t="n">
        <x:f>C2178*D2178</x:f>
        <x:v>13473.95</x:v>
      </x:c>
      <x:c r="G2178" s="8" t="n">
        <x:f>C2178*E2178</x:f>
        <x:v>6196.05</x:v>
      </x:c>
      <x:c r="H2178" s="8" t="n">
        <x:f>F2178-G2178</x:f>
        <x:v>7277.900000000001</x:v>
      </x:c>
      <x:c r="I2178" s="10" t="n">
        <x:f>H2178/F2178</x:f>
        <x:v>0.5401459854014599</x:v>
      </x:c>
    </x:row>
    <x:row r="2179" ht="22" customHeight="1">
      <x:c r="A2179" s="11" t="str">
        <x:v>710</x:v>
      </x:c>
      <x:c r="B2179" s="8" t="str">
        <x:v>Proseware Scan Jet Digital Flat Bed Scanner M300 White</x:v>
      </x:c>
      <x:c r="C2179" s="8" t="n">
        <x:v>52</x:v>
      </x:c>
      <x:c r="D2179" s="9" t="n">
        <x:v>121</x:v>
      </x:c>
      <x:c r="E2179" s="9" t="n">
        <x:v>55.64</x:v>
      </x:c>
      <x:c r="F2179" s="8" t="n">
        <x:f>C2179*D2179</x:f>
        <x:v>6292</x:v>
      </x:c>
      <x:c r="G2179" s="8" t="n">
        <x:f>C2179*E2179</x:f>
        <x:v>2893.28</x:v>
      </x:c>
      <x:c r="H2179" s="8" t="n">
        <x:f>F2179-G2179</x:f>
        <x:v>3398.72</x:v>
      </x:c>
      <x:c r="I2179" s="10" t="n">
        <x:f>H2179/F2179</x:f>
        <x:v>0.5401652892561983</x:v>
      </x:c>
    </x:row>
    <x:row r="2180" ht="22" customHeight="1">
      <x:c r="A2180" s="11" t="str">
        <x:v>711</x:v>
      </x:c>
      <x:c r="B2180" s="8" t="str">
        <x:v>Proseware All-In-One Photo Printer M200 White</x:v>
      </x:c>
      <x:c r="C2180" s="8" t="n">
        <x:v>35</x:v>
      </x:c>
      <x:c r="D2180" s="9" t="n">
        <x:v>136</x:v>
      </x:c>
      <x:c r="E2180" s="9" t="n">
        <x:v>62.54</x:v>
      </x:c>
      <x:c r="F2180" s="8" t="n">
        <x:f>C2180*D2180</x:f>
        <x:v>4760</x:v>
      </x:c>
      <x:c r="G2180" s="8" t="n">
        <x:f>C2180*E2180</x:f>
        <x:v>2188.9</x:v>
      </x:c>
      <x:c r="H2180" s="8" t="n">
        <x:f>F2180-G2180</x:f>
        <x:v>2571.1</x:v>
      </x:c>
      <x:c r="I2180" s="10" t="n">
        <x:f>H2180/F2180</x:f>
        <x:v>0.5401470588235294</x:v>
      </x:c>
    </x:row>
    <x:row r="2181" ht="22" customHeight="1">
      <x:c r="A2181" s="11" t="str">
        <x:v>712</x:v>
      </x:c>
      <x:c r="B2181" s="8" t="str">
        <x:v>Proseware Ink Jet Wireless All-In-One Printer M400 White</x:v>
      </x:c>
      <x:c r="C2181" s="8" t="n">
        <x:v>43</x:v>
      </x:c>
      <x:c r="D2181" s="9" t="n">
        <x:v>129</x:v>
      </x:c>
      <x:c r="E2181" s="9" t="n">
        <x:v>59.32</x:v>
      </x:c>
      <x:c r="F2181" s="8" t="n">
        <x:f>C2181*D2181</x:f>
        <x:v>5547</x:v>
      </x:c>
      <x:c r="G2181" s="8" t="n">
        <x:f>C2181*E2181</x:f>
        <x:v>2550.76</x:v>
      </x:c>
      <x:c r="H2181" s="8" t="n">
        <x:f>F2181-G2181</x:f>
        <x:v>2996.24</x:v>
      </x:c>
      <x:c r="I2181" s="10" t="n">
        <x:f>H2181/F2181</x:f>
        <x:v>0.5401550387596898</x:v>
      </x:c>
    </x:row>
    <x:row r="2182" ht="22" customHeight="1">
      <x:c r="A2182" s="11" t="str">
        <x:v>713</x:v>
      </x:c>
      <x:c r="B2182" s="8" t="str">
        <x:v>Proseware Ink Jet Instant PDF Sheet-Fed Scanner M300 White</x:v>
      </x:c>
      <x:c r="C2182" s="8" t="n">
        <x:v>40</x:v>
      </x:c>
      <x:c r="D2182" s="9" t="n">
        <x:v>160</x:v>
      </x:c>
      <x:c r="E2182" s="9" t="n">
        <x:v>73.58</x:v>
      </x:c>
      <x:c r="F2182" s="8" t="n">
        <x:f>C2182*D2182</x:f>
        <x:v>6400</x:v>
      </x:c>
      <x:c r="G2182" s="8" t="n">
        <x:f>C2182*E2182</x:f>
        <x:v>2943.2</x:v>
      </x:c>
      <x:c r="H2182" s="8" t="n">
        <x:f>F2182-G2182</x:f>
        <x:v>3456.8</x:v>
      </x:c>
      <x:c r="I2182" s="10" t="n">
        <x:f>H2182/F2182</x:f>
        <x:v>0.5401250000000001</x:v>
      </x:c>
    </x:row>
    <x:row r="2183" ht="22" customHeight="1">
      <x:c r="A2183" s="11" t="str">
        <x:v>714</x:v>
      </x:c>
      <x:c r="B2183" s="8" t="str">
        <x:v>Proseware Desk Jet All-in-One Printer, Scanner, Copier M350 White</x:v>
      </x:c>
      <x:c r="C2183" s="8" t="n">
        <x:v>57</x:v>
      </x:c>
      <x:c r="D2183" s="9" t="n">
        <x:v>158</x:v>
      </x:c>
      <x:c r="E2183" s="9" t="n">
        <x:v>72.66</x:v>
      </x:c>
      <x:c r="F2183" s="8" t="n">
        <x:f>C2183*D2183</x:f>
        <x:v>9006</x:v>
      </x:c>
      <x:c r="G2183" s="8" t="n">
        <x:f>C2183*E2183</x:f>
        <x:v>4141.62</x:v>
      </x:c>
      <x:c r="H2183" s="8" t="n">
        <x:f>F2183-G2183</x:f>
        <x:v>4864.38</x:v>
      </x:c>
      <x:c r="I2183" s="10" t="n">
        <x:f>H2183/F2183</x:f>
        <x:v>0.540126582278481</x:v>
      </x:c>
    </x:row>
    <x:row r="2184" ht="22" customHeight="1">
      <x:c r="A2184" s="11" t="str">
        <x:v>715</x:v>
      </x:c>
      <x:c r="B2184" s="8" t="str">
        <x:v>Proseware Duplex Scanner M200 White</x:v>
      </x:c>
      <x:c r="C2184" s="8" t="n">
        <x:v>58</x:v>
      </x:c>
      <x:c r="D2184" s="9" t="n">
        <x:v>149</x:v>
      </x:c>
      <x:c r="E2184" s="9" t="n">
        <x:v>68.52</x:v>
      </x:c>
      <x:c r="F2184" s="8" t="n">
        <x:f>C2184*D2184</x:f>
        <x:v>8642</x:v>
      </x:c>
      <x:c r="G2184" s="8" t="n">
        <x:f>C2184*E2184</x:f>
        <x:v>3974.16</x:v>
      </x:c>
      <x:c r="H2184" s="8" t="n">
        <x:f>F2184-G2184</x:f>
        <x:v>4667.84</x:v>
      </x:c>
      <x:c r="I2184" s="10" t="n">
        <x:f>H2184/F2184</x:f>
        <x:v>0.5401342281879195</x:v>
      </x:c>
    </x:row>
    <x:row r="2185" ht="22" customHeight="1">
      <x:c r="A2185" s="11" t="str">
        <x:v>716</x:v>
      </x:c>
      <x:c r="B2185" s="8" t="str">
        <x:v>Proseware High Speed Laser M2000 White</x:v>
      </x:c>
      <x:c r="C2185" s="8" t="n">
        <x:v>37</x:v>
      </x:c>
      <x:c r="D2185" s="9" t="n">
        <x:v>209</x:v>
      </x:c>
      <x:c r="E2185" s="9" t="n">
        <x:v>69.25</x:v>
      </x:c>
      <x:c r="F2185" s="8" t="n">
        <x:f>C2185*D2185</x:f>
        <x:v>7733</x:v>
      </x:c>
      <x:c r="G2185" s="8" t="n">
        <x:f>C2185*E2185</x:f>
        <x:v>2562.25</x:v>
      </x:c>
      <x:c r="H2185" s="8" t="n">
        <x:f>F2185-G2185</x:f>
        <x:v>5170.75</x:v>
      </x:c>
      <x:c r="I2185" s="10" t="n">
        <x:f>H2185/F2185</x:f>
        <x:v>0.6686602870813397</x:v>
      </x:c>
    </x:row>
    <x:row r="2186" ht="22" customHeight="1">
      <x:c r="A2186" s="11" t="str">
        <x:v>717</x:v>
      </x:c>
      <x:c r="B2186" s="8" t="str">
        <x:v>Proseware Laser Fax Printer M250 White</x:v>
      </x:c>
      <x:c r="C2186" s="8" t="n">
        <x:v>20</x:v>
      </x:c>
      <x:c r="D2186" s="9" t="n">
        <x:v>118</x:v>
      </x:c>
      <x:c r="E2186" s="9" t="n">
        <x:v>54.26</x:v>
      </x:c>
      <x:c r="F2186" s="8" t="n">
        <x:f>C2186*D2186</x:f>
        <x:v>2360</x:v>
      </x:c>
      <x:c r="G2186" s="8" t="n">
        <x:f>C2186*E2186</x:f>
        <x:v>1085.2</x:v>
      </x:c>
      <x:c r="H2186" s="8" t="n">
        <x:f>F2186-G2186</x:f>
        <x:v>1274.8</x:v>
      </x:c>
      <x:c r="I2186" s="10" t="n">
        <x:f>H2186/F2186</x:f>
        <x:v>0.5401694915254237</x:v>
      </x:c>
    </x:row>
    <x:row r="2187" ht="22" customHeight="1">
      <x:c r="A2187" s="11" t="str">
        <x:v>718</x:v>
      </x:c>
      <x:c r="B2187" s="8" t="str">
        <x:v>Proseware Color Ink jet Fax, Copier, Phone M250 White</x:v>
      </x:c>
      <x:c r="C2187" s="8" t="n">
        <x:v>60</x:v>
      </x:c>
      <x:c r="D2187" s="9" t="n">
        <x:v>159</x:v>
      </x:c>
      <x:c r="E2187" s="9" t="n">
        <x:v>73.12</x:v>
      </x:c>
      <x:c r="F2187" s="8" t="n">
        <x:f>C2187*D2187</x:f>
        <x:v>9540</x:v>
      </x:c>
      <x:c r="G2187" s="8" t="n">
        <x:f>C2187*E2187</x:f>
        <x:v>4387.200000000001</x:v>
      </x:c>
      <x:c r="H2187" s="8" t="n">
        <x:f>F2187-G2187</x:f>
        <x:v>5152.799999999999</x:v>
      </x:c>
      <x:c r="I2187" s="10" t="n">
        <x:f>H2187/F2187</x:f>
        <x:v>0.5401257861635219</x:v>
      </x:c>
    </x:row>
    <x:row r="2188" ht="22" customHeight="1">
      <x:c r="A2188" s="11" t="str">
        <x:v>719</x:v>
      </x:c>
      <x:c r="B2188" s="8" t="str">
        <x:v>Proseware Color Ink Jet Fax with 5.8 GHz Cordless Handset X250 White</x:v>
      </x:c>
      <x:c r="C2188" s="8" t="n">
        <x:v>49</x:v>
      </x:c>
      <x:c r="D2188" s="9" t="n">
        <x:v>228</x:v>
      </x:c>
      <x:c r="E2188" s="9" t="n">
        <x:v>75.54</x:v>
      </x:c>
      <x:c r="F2188" s="8" t="n">
        <x:f>C2188*D2188</x:f>
        <x:v>11172</x:v>
      </x:c>
      <x:c r="G2188" s="8" t="n">
        <x:f>C2188*E2188</x:f>
        <x:v>3701.4600000000005</x:v>
      </x:c>
      <x:c r="H2188" s="8" t="n">
        <x:f>F2188-G2188</x:f>
        <x:v>7470.539999999999</x:v>
      </x:c>
      <x:c r="I2188" s="10" t="n">
        <x:f>H2188/F2188</x:f>
        <x:v>0.6686842105263157</x:v>
      </x:c>
    </x:row>
    <x:row r="2189" ht="22" customHeight="1">
      <x:c r="A2189" s="11" t="str">
        <x:v>72</x:v>
      </x:c>
      <x:c r="B2189" s="8" t="str">
        <x:v>NT Wireless Bluetooth Stereo Headphones E102 Blue</x:v>
      </x:c>
      <x:c r="C2189" s="8" t="n">
        <x:v>268</x:v>
      </x:c>
      <x:c r="D2189" s="9" t="n">
        <x:v>47.95</x:v>
      </x:c>
      <x:c r="E2189" s="9" t="n">
        <x:v>22.05</x:v>
      </x:c>
      <x:c r="F2189" s="8" t="n">
        <x:f>C2189*D2189</x:f>
        <x:v>12850.6</x:v>
      </x:c>
      <x:c r="G2189" s="8" t="n">
        <x:f>C2189*E2189</x:f>
        <x:v>5909.400000000001</x:v>
      </x:c>
      <x:c r="H2189" s="8" t="n">
        <x:f>F2189-G2189</x:f>
        <x:v>6941.2</x:v>
      </x:c>
      <x:c r="I2189" s="10" t="n">
        <x:f>H2189/F2189</x:f>
        <x:v>0.5401459854014599</x:v>
      </x:c>
    </x:row>
    <x:row r="2190" ht="22" customHeight="1">
      <x:c r="A2190" s="11" t="str">
        <x:v>720</x:v>
      </x:c>
      <x:c r="B2190" s="8" t="str">
        <x:v>Proseware Slim-Design Fax Machine with Answering System X180 White</x:v>
      </x:c>
      <x:c r="C2190" s="8" t="n">
        <x:v>34</x:v>
      </x:c>
      <x:c r="D2190" s="9" t="n">
        <x:v>236</x:v>
      </x:c>
      <x:c r="E2190" s="9" t="n">
        <x:v>78.19</x:v>
      </x:c>
      <x:c r="F2190" s="8" t="n">
        <x:f>C2190*D2190</x:f>
        <x:v>8024</x:v>
      </x:c>
      <x:c r="G2190" s="8" t="n">
        <x:f>C2190*E2190</x:f>
        <x:v>2658.46</x:v>
      </x:c>
      <x:c r="H2190" s="8" t="n">
        <x:f>F2190-G2190</x:f>
        <x:v>5365.54</x:v>
      </x:c>
      <x:c r="I2190" s="10" t="n">
        <x:f>H2190/F2190</x:f>
        <x:v>0.6686864406779661</x:v>
      </x:c>
    </x:row>
    <x:row r="2191" ht="22" customHeight="1">
      <x:c r="A2191" s="11" t="str">
        <x:v>721</x:v>
      </x:c>
      <x:c r="B2191" s="8" t="str">
        <x:v>Proseware High-Performance Business-Class Laser Fax X200 White</x:v>
      </x:c>
      <x:c r="C2191" s="8" t="n">
        <x:v>91</x:v>
      </x:c>
      <x:c r="D2191" s="9" t="n">
        <x:v>248</x:v>
      </x:c>
      <x:c r="E2191" s="9" t="n">
        <x:v>82.17</x:v>
      </x:c>
      <x:c r="F2191" s="8" t="n">
        <x:f>C2191*D2191</x:f>
        <x:v>22568</x:v>
      </x:c>
      <x:c r="G2191" s="8" t="n">
        <x:f>C2191*E2191</x:f>
        <x:v>7477.47</x:v>
      </x:c>
      <x:c r="H2191" s="8" t="n">
        <x:f>F2191-G2191</x:f>
        <x:v>15090.529999999999</x:v>
      </x:c>
      <x:c r="I2191" s="10" t="n">
        <x:f>H2191/F2191</x:f>
        <x:v>0.6686693548387096</x:v>
      </x:c>
    </x:row>
    <x:row r="2192" ht="22" customHeight="1">
      <x:c r="A2192" s="11" t="str">
        <x:v>722</x:v>
      </x:c>
      <x:c r="B2192" s="8" t="str">
        <x:v>Proseware Professional Quality Plain-Paper Fax and Copier X100 White</x:v>
      </x:c>
      <x:c r="C2192" s="8" t="n">
        <x:v>31</x:v>
      </x:c>
      <x:c r="D2192" s="9" t="n">
        <x:v>229</x:v>
      </x:c>
      <x:c r="E2192" s="9" t="n">
        <x:v>75.87</x:v>
      </x:c>
      <x:c r="F2192" s="8" t="n">
        <x:f>C2192*D2192</x:f>
        <x:v>7099</x:v>
      </x:c>
      <x:c r="G2192" s="8" t="n">
        <x:f>C2192*E2192</x:f>
        <x:v>2351.9700000000003</x:v>
      </x:c>
      <x:c r="H2192" s="8" t="n">
        <x:f>F2192-G2192</x:f>
        <x:v>4747.03</x:v>
      </x:c>
      <x:c r="I2192" s="10" t="n">
        <x:f>H2192/F2192</x:f>
        <x:v>0.6686899563318777</x:v>
      </x:c>
    </x:row>
    <x:row r="2193" ht="22" customHeight="1">
      <x:c r="A2193" s="11" t="str">
        <x:v>723</x:v>
      </x:c>
      <x:c r="B2193" s="8" t="str">
        <x:v>Proseware Photo Ink jet Printer E290 White</x:v>
      </x:c>
      <x:c r="C2193" s="8" t="n">
        <x:v>51</x:v>
      </x:c>
      <x:c r="D2193" s="9" t="n">
        <x:v>102</x:v>
      </x:c>
      <x:c r="E2193" s="9" t="n">
        <x:v>52</x:v>
      </x:c>
      <x:c r="F2193" s="8" t="n">
        <x:f>C2193*D2193</x:f>
        <x:v>5202</x:v>
      </x:c>
      <x:c r="G2193" s="8" t="n">
        <x:f>C2193*E2193</x:f>
        <x:v>2652</x:v>
      </x:c>
      <x:c r="H2193" s="8" t="n">
        <x:f>F2193-G2193</x:f>
        <x:v>2550</x:v>
      </x:c>
      <x:c r="I2193" s="10" t="n">
        <x:f>H2193/F2193</x:f>
        <x:v>0.49019607843137253</x:v>
      </x:c>
    </x:row>
    <x:row r="2194" ht="22" customHeight="1">
      <x:c r="A2194" s="11" t="str">
        <x:v>724</x:v>
      </x:c>
      <x:c r="B2194" s="8" t="str">
        <x:v>Proseware Office Jet All-in-One Printer M500 White</x:v>
      </x:c>
      <x:c r="C2194" s="8" t="n">
        <x:v>53</x:v>
      </x:c>
      <x:c r="D2194" s="9" t="n">
        <x:v>163</x:v>
      </x:c>
      <x:c r="E2194" s="9" t="n">
        <x:v>74.96</x:v>
      </x:c>
      <x:c r="F2194" s="8" t="n">
        <x:f>C2194*D2194</x:f>
        <x:v>8639</x:v>
      </x:c>
      <x:c r="G2194" s="8" t="n">
        <x:f>C2194*E2194</x:f>
        <x:v>3972.8799999999997</x:v>
      </x:c>
      <x:c r="H2194" s="8" t="n">
        <x:f>F2194-G2194</x:f>
        <x:v>4666.120000000001</x:v>
      </x:c>
      <x:c r="I2194" s="10" t="n">
        <x:f>H2194/F2194</x:f>
        <x:v>0.5401226993865031</x:v>
      </x:c>
    </x:row>
    <x:row r="2195" ht="22" customHeight="1">
      <x:c r="A2195" s="11" t="str">
        <x:v>725</x:v>
      </x:c>
      <x:c r="B2195" s="8" t="str">
        <x:v>Proseware Office Jet Wireless All-in-One Inkjet Printer M600 White</x:v>
      </x:c>
      <x:c r="C2195" s="8" t="n">
        <x:v>33</x:v>
      </x:c>
      <x:c r="D2195" s="9" t="n">
        <x:v>190</x:v>
      </x:c>
      <x:c r="E2195" s="9" t="n">
        <x:v>87.37</x:v>
      </x:c>
      <x:c r="F2195" s="8" t="n">
        <x:f>C2195*D2195</x:f>
        <x:v>6270</x:v>
      </x:c>
      <x:c r="G2195" s="8" t="n">
        <x:f>C2195*E2195</x:f>
        <x:v>2883.21</x:v>
      </x:c>
      <x:c r="H2195" s="8" t="n">
        <x:f>F2195-G2195</x:f>
        <x:v>3386.79</x:v>
      </x:c>
      <x:c r="I2195" s="10" t="n">
        <x:f>H2195/F2195</x:f>
        <x:v>0.5401578947368421</x:v>
      </x:c>
    </x:row>
    <x:row r="2196" ht="22" customHeight="1">
      <x:c r="A2196" s="11" t="str">
        <x:v>726</x:v>
      </x:c>
      <x:c r="B2196" s="8" t="str">
        <x:v>Proseware Photo Smart All-in-One Printer M380 White</x:v>
      </x:c>
      <x:c r="C2196" s="8" t="n">
        <x:v>59</x:v>
      </x:c>
      <x:c r="D2196" s="9" t="n">
        <x:v>147</x:v>
      </x:c>
      <x:c r="E2196" s="9" t="n">
        <x:v>67.6</x:v>
      </x:c>
      <x:c r="F2196" s="8" t="n">
        <x:f>C2196*D2196</x:f>
        <x:v>8673</x:v>
      </x:c>
      <x:c r="G2196" s="8" t="n">
        <x:f>C2196*E2196</x:f>
        <x:v>3988.3999999999996</x:v>
      </x:c>
      <x:c r="H2196" s="8" t="n">
        <x:f>F2196-G2196</x:f>
        <x:v>4684.6</x:v>
      </x:c>
      <x:c r="I2196" s="10" t="n">
        <x:f>H2196/F2196</x:f>
        <x:v>0.5401360544217687</x:v>
      </x:c>
    </x:row>
    <x:row r="2197" ht="22" customHeight="1">
      <x:c r="A2197" s="11" t="str">
        <x:v>727</x:v>
      </x:c>
      <x:c r="B2197" s="8" t="str">
        <x:v>Proseware Wireless Photo All-in-One Printer M390 White</x:v>
      </x:c>
      <x:c r="C2197" s="8" t="n">
        <x:v>45</x:v>
      </x:c>
      <x:c r="D2197" s="9" t="n">
        <x:v>188</x:v>
      </x:c>
      <x:c r="E2197" s="9" t="n">
        <x:v>86.45</x:v>
      </x:c>
      <x:c r="F2197" s="8" t="n">
        <x:f>C2197*D2197</x:f>
        <x:v>8460</x:v>
      </x:c>
      <x:c r="G2197" s="8" t="n">
        <x:f>C2197*E2197</x:f>
        <x:v>3890.25</x:v>
      </x:c>
      <x:c r="H2197" s="8" t="n">
        <x:f>F2197-G2197</x:f>
        <x:v>4569.75</x:v>
      </x:c>
      <x:c r="I2197" s="10" t="n">
        <x:f>H2197/F2197</x:f>
        <x:v>0.5401595744680852</x:v>
      </x:c>
    </x:row>
    <x:row r="2198" ht="22" customHeight="1">
      <x:c r="A2198" s="11" t="str">
        <x:v>728</x:v>
      </x:c>
      <x:c r="B2198" s="8" t="str">
        <x:v>Proseware 23ppm Laser Printer with Wireless and Wired Network Interfaces M680 White</x:v>
      </x:c>
      <x:c r="C2198" s="8" t="n">
        <x:v>27</x:v>
      </x:c>
      <x:c r="D2198" s="9" t="n">
        <x:v>196</x:v>
      </x:c>
      <x:c r="E2198" s="9" t="n">
        <x:v>90.13</x:v>
      </x:c>
      <x:c r="F2198" s="8" t="n">
        <x:f>C2198*D2198</x:f>
        <x:v>5292</x:v>
      </x:c>
      <x:c r="G2198" s="8" t="n">
        <x:f>C2198*E2198</x:f>
        <x:v>2433.5099999999998</x:v>
      </x:c>
      <x:c r="H2198" s="8" t="n">
        <x:f>F2198-G2198</x:f>
        <x:v>2858.4900000000002</x:v>
      </x:c>
      <x:c r="I2198" s="10" t="n">
        <x:f>H2198/F2198</x:f>
        <x:v>0.5401530612244898</x:v>
      </x:c>
    </x:row>
    <x:row r="2199" ht="22" customHeight="1">
      <x:c r="A2199" s="11" t="str">
        <x:v>729</x:v>
      </x:c>
      <x:c r="B2199" s="8" t="str">
        <x:v>Proseware Scan Jet Digital Flat Bed Scanner M300 Green</x:v>
      </x:c>
      <x:c r="C2199" s="8" t="n">
        <x:v>52</x:v>
      </x:c>
      <x:c r="D2199" s="9" t="n">
        <x:v>121</x:v>
      </x:c>
      <x:c r="E2199" s="9" t="n">
        <x:v>55.64</x:v>
      </x:c>
      <x:c r="F2199" s="8" t="n">
        <x:f>C2199*D2199</x:f>
        <x:v>6292</x:v>
      </x:c>
      <x:c r="G2199" s="8" t="n">
        <x:f>C2199*E2199</x:f>
        <x:v>2893.28</x:v>
      </x:c>
      <x:c r="H2199" s="8" t="n">
        <x:f>F2199-G2199</x:f>
        <x:v>3398.72</x:v>
      </x:c>
      <x:c r="I2199" s="10" t="n">
        <x:f>H2199/F2199</x:f>
        <x:v>0.5401652892561983</x:v>
      </x:c>
    </x:row>
    <x:row r="2200" ht="22" customHeight="1">
      <x:c r="A2200" s="11" t="str">
        <x:v>73</x:v>
      </x:c>
      <x:c r="B2200" s="8" t="str">
        <x:v>NT Wireless Bluetooth Stereo Headphones E102 White</x:v>
      </x:c>
      <x:c r="C2200" s="8" t="n">
        <x:v>319</x:v>
      </x:c>
      <x:c r="D2200" s="9" t="n">
        <x:v>47.95</x:v>
      </x:c>
      <x:c r="E2200" s="9" t="n">
        <x:v>22.05</x:v>
      </x:c>
      <x:c r="F2200" s="8" t="n">
        <x:f>C2200*D2200</x:f>
        <x:v>15296.050000000001</x:v>
      </x:c>
      <x:c r="G2200" s="8" t="n">
        <x:f>C2200*E2200</x:f>
        <x:v>7033.95</x:v>
      </x:c>
      <x:c r="H2200" s="8" t="n">
        <x:f>F2200-G2200</x:f>
        <x:v>8262.100000000002</x:v>
      </x:c>
      <x:c r="I2200" s="10" t="n">
        <x:f>H2200/F2200</x:f>
        <x:v>0.54014598540146</x:v>
      </x:c>
    </x:row>
    <x:row r="2201" ht="22" customHeight="1">
      <x:c r="A2201" s="11" t="str">
        <x:v>730</x:v>
      </x:c>
      <x:c r="B2201" s="8" t="str">
        <x:v>Proseware All-In-One Photo Printer M200 Green</x:v>
      </x:c>
      <x:c r="C2201" s="8" t="n">
        <x:v>45</x:v>
      </x:c>
      <x:c r="D2201" s="9" t="n">
        <x:v>136</x:v>
      </x:c>
      <x:c r="E2201" s="9" t="n">
        <x:v>62.54</x:v>
      </x:c>
      <x:c r="F2201" s="8" t="n">
        <x:f>C2201*D2201</x:f>
        <x:v>6120</x:v>
      </x:c>
      <x:c r="G2201" s="8" t="n">
        <x:f>C2201*E2201</x:f>
        <x:v>2814.3</x:v>
      </x:c>
      <x:c r="H2201" s="8" t="n">
        <x:f>F2201-G2201</x:f>
        <x:v>3305.7</x:v>
      </x:c>
      <x:c r="I2201" s="10" t="n">
        <x:f>H2201/F2201</x:f>
        <x:v>0.5401470588235294</x:v>
      </x:c>
    </x:row>
    <x:row r="2202" ht="22" customHeight="1">
      <x:c r="A2202" s="11" t="str">
        <x:v>731</x:v>
      </x:c>
      <x:c r="B2202" s="8" t="str">
        <x:v>Proseware Ink Jet Wireless All-In-One Printer M400 Green</x:v>
      </x:c>
      <x:c r="C2202" s="8" t="n">
        <x:v>53</x:v>
      </x:c>
      <x:c r="D2202" s="9" t="n">
        <x:v>129</x:v>
      </x:c>
      <x:c r="E2202" s="9" t="n">
        <x:v>59.32</x:v>
      </x:c>
      <x:c r="F2202" s="8" t="n">
        <x:f>C2202*D2202</x:f>
        <x:v>6837</x:v>
      </x:c>
      <x:c r="G2202" s="8" t="n">
        <x:f>C2202*E2202</x:f>
        <x:v>3143.96</x:v>
      </x:c>
      <x:c r="H2202" s="8" t="n">
        <x:f>F2202-G2202</x:f>
        <x:v>3693.04</x:v>
      </x:c>
      <x:c r="I2202" s="10" t="n">
        <x:f>H2202/F2202</x:f>
        <x:v>0.54015503875969</x:v>
      </x:c>
    </x:row>
    <x:row r="2203" ht="22" customHeight="1">
      <x:c r="A2203" s="11" t="str">
        <x:v>732</x:v>
      </x:c>
      <x:c r="B2203" s="8" t="str">
        <x:v>Proseware Ink Jet Instant PDF Sheet-Fed Scanner M300 Green</x:v>
      </x:c>
      <x:c r="C2203" s="8" t="n">
        <x:v>38</x:v>
      </x:c>
      <x:c r="D2203" s="9" t="n">
        <x:v>160</x:v>
      </x:c>
      <x:c r="E2203" s="9" t="n">
        <x:v>73.58</x:v>
      </x:c>
      <x:c r="F2203" s="8" t="n">
        <x:f>C2203*D2203</x:f>
        <x:v>6080</x:v>
      </x:c>
      <x:c r="G2203" s="8" t="n">
        <x:f>C2203*E2203</x:f>
        <x:v>2796.04</x:v>
      </x:c>
      <x:c r="H2203" s="8" t="n">
        <x:f>F2203-G2203</x:f>
        <x:v>3283.96</x:v>
      </x:c>
      <x:c r="I2203" s="10" t="n">
        <x:f>H2203/F2203</x:f>
        <x:v>0.540125</x:v>
      </x:c>
    </x:row>
    <x:row r="2204" ht="22" customHeight="1">
      <x:c r="A2204" s="11" t="str">
        <x:v>733</x:v>
      </x:c>
      <x:c r="B2204" s="8" t="str">
        <x:v>Proseware Desk Jet All-in-One Printer, Scanner, Copier M350 Green</x:v>
      </x:c>
      <x:c r="C2204" s="8" t="n">
        <x:v>30</x:v>
      </x:c>
      <x:c r="D2204" s="9" t="n">
        <x:v>158</x:v>
      </x:c>
      <x:c r="E2204" s="9" t="n">
        <x:v>72.66</x:v>
      </x:c>
      <x:c r="F2204" s="8" t="n">
        <x:f>C2204*D2204</x:f>
        <x:v>4740</x:v>
      </x:c>
      <x:c r="G2204" s="8" t="n">
        <x:f>C2204*E2204</x:f>
        <x:v>2179.7999999999997</x:v>
      </x:c>
      <x:c r="H2204" s="8" t="n">
        <x:f>F2204-G2204</x:f>
        <x:v>2560.2000000000003</x:v>
      </x:c>
      <x:c r="I2204" s="10" t="n">
        <x:f>H2204/F2204</x:f>
        <x:v>0.5401265822784811</x:v>
      </x:c>
    </x:row>
    <x:row r="2205" ht="22" customHeight="1">
      <x:c r="A2205" s="11" t="str">
        <x:v>734</x:v>
      </x:c>
      <x:c r="B2205" s="8" t="str">
        <x:v>Proseware Duplex Scanner M200 Green</x:v>
      </x:c>
      <x:c r="C2205" s="8" t="n">
        <x:v>45</x:v>
      </x:c>
      <x:c r="D2205" s="9" t="n">
        <x:v>149</x:v>
      </x:c>
      <x:c r="E2205" s="9" t="n">
        <x:v>68.52</x:v>
      </x:c>
      <x:c r="F2205" s="8" t="n">
        <x:f>C2205*D2205</x:f>
        <x:v>6705</x:v>
      </x:c>
      <x:c r="G2205" s="8" t="n">
        <x:f>C2205*E2205</x:f>
        <x:v>3083.3999999999996</x:v>
      </x:c>
      <x:c r="H2205" s="8" t="n">
        <x:f>F2205-G2205</x:f>
        <x:v>3621.6000000000004</x:v>
      </x:c>
      <x:c r="I2205" s="10" t="n">
        <x:f>H2205/F2205</x:f>
        <x:v>0.5401342281879196</x:v>
      </x:c>
    </x:row>
    <x:row r="2206" ht="22" customHeight="1">
      <x:c r="A2206" s="11" t="str">
        <x:v>735</x:v>
      </x:c>
      <x:c r="B2206" s="8" t="str">
        <x:v>Proseware High Speed Laser M2000 Green</x:v>
      </x:c>
      <x:c r="C2206" s="8" t="n">
        <x:v>69</x:v>
      </x:c>
      <x:c r="D2206" s="9" t="n">
        <x:v>209</x:v>
      </x:c>
      <x:c r="E2206" s="9" t="n">
        <x:v>69.25</x:v>
      </x:c>
      <x:c r="F2206" s="8" t="n">
        <x:f>C2206*D2206</x:f>
        <x:v>14421</x:v>
      </x:c>
      <x:c r="G2206" s="8" t="n">
        <x:f>C2206*E2206</x:f>
        <x:v>4778.25</x:v>
      </x:c>
      <x:c r="H2206" s="8" t="n">
        <x:f>F2206-G2206</x:f>
        <x:v>9642.75</x:v>
      </x:c>
      <x:c r="I2206" s="10" t="n">
        <x:f>H2206/F2206</x:f>
        <x:v>0.6686602870813397</x:v>
      </x:c>
    </x:row>
    <x:row r="2207" ht="22" customHeight="1">
      <x:c r="A2207" s="11" t="str">
        <x:v>736</x:v>
      </x:c>
      <x:c r="B2207" s="8" t="str">
        <x:v>Proseware Laser Fax Printer M250 Green</x:v>
      </x:c>
      <x:c r="C2207" s="8" t="n">
        <x:v>21</x:v>
      </x:c>
      <x:c r="D2207" s="9" t="n">
        <x:v>118</x:v>
      </x:c>
      <x:c r="E2207" s="9" t="n">
        <x:v>54.26</x:v>
      </x:c>
      <x:c r="F2207" s="8" t="n">
        <x:f>C2207*D2207</x:f>
        <x:v>2478</x:v>
      </x:c>
      <x:c r="G2207" s="8" t="n">
        <x:f>C2207*E2207</x:f>
        <x:v>1139.46</x:v>
      </x:c>
      <x:c r="H2207" s="8" t="n">
        <x:f>F2207-G2207</x:f>
        <x:v>1338.54</x:v>
      </x:c>
      <x:c r="I2207" s="10" t="n">
        <x:f>H2207/F2207</x:f>
        <x:v>0.5401694915254237</x:v>
      </x:c>
    </x:row>
    <x:row r="2208" ht="22" customHeight="1">
      <x:c r="A2208" s="11" t="str">
        <x:v>737</x:v>
      </x:c>
      <x:c r="B2208" s="8" t="str">
        <x:v>Proseware Color Ink Jet Fax, Copier, Phone M250 Green</x:v>
      </x:c>
      <x:c r="C2208" s="8" t="n">
        <x:v>78</x:v>
      </x:c>
      <x:c r="D2208" s="9" t="n">
        <x:v>159</x:v>
      </x:c>
      <x:c r="E2208" s="9" t="n">
        <x:v>73.12</x:v>
      </x:c>
      <x:c r="F2208" s="8" t="n">
        <x:f>C2208*D2208</x:f>
        <x:v>12402</x:v>
      </x:c>
      <x:c r="G2208" s="8" t="n">
        <x:f>C2208*E2208</x:f>
        <x:v>5703.360000000001</x:v>
      </x:c>
      <x:c r="H2208" s="8" t="n">
        <x:f>F2208-G2208</x:f>
        <x:v>6698.639999999999</x:v>
      </x:c>
      <x:c r="I2208" s="10" t="n">
        <x:f>H2208/F2208</x:f>
        <x:v>0.5401257861635219</x:v>
      </x:c>
    </x:row>
    <x:row r="2209" ht="22" customHeight="1">
      <x:c r="A2209" s="11" t="str">
        <x:v>738</x:v>
      </x:c>
      <x:c r="B2209" s="8" t="str">
        <x:v>Proseware Color Ink Jet Fax with 5.8 GHz Cordless Handset X250 Green</x:v>
      </x:c>
      <x:c r="C2209" s="8" t="n">
        <x:v>54</x:v>
      </x:c>
      <x:c r="D2209" s="9" t="n">
        <x:v>228</x:v>
      </x:c>
      <x:c r="E2209" s="9" t="n">
        <x:v>75.54</x:v>
      </x:c>
      <x:c r="F2209" s="8" t="n">
        <x:f>C2209*D2209</x:f>
        <x:v>12312</x:v>
      </x:c>
      <x:c r="G2209" s="8" t="n">
        <x:f>C2209*E2209</x:f>
        <x:v>4079.1600000000003</x:v>
      </x:c>
      <x:c r="H2209" s="8" t="n">
        <x:f>F2209-G2209</x:f>
        <x:v>8232.84</x:v>
      </x:c>
      <x:c r="I2209" s="10" t="n">
        <x:f>H2209/F2209</x:f>
        <x:v>0.6686842105263158</x:v>
      </x:c>
    </x:row>
    <x:row r="2210" ht="22" customHeight="1">
      <x:c r="A2210" s="11" t="str">
        <x:v>739</x:v>
      </x:c>
      <x:c r="B2210" s="8" t="str">
        <x:v>Proseware Slim-Design Fax Machine with Answering System X180 Green</x:v>
      </x:c>
      <x:c r="C2210" s="8" t="n">
        <x:v>46</x:v>
      </x:c>
      <x:c r="D2210" s="9" t="n">
        <x:v>236</x:v>
      </x:c>
      <x:c r="E2210" s="9" t="n">
        <x:v>78.19</x:v>
      </x:c>
      <x:c r="F2210" s="8" t="n">
        <x:f>C2210*D2210</x:f>
        <x:v>10856</x:v>
      </x:c>
      <x:c r="G2210" s="8" t="n">
        <x:f>C2210*E2210</x:f>
        <x:v>3596.74</x:v>
      </x:c>
      <x:c r="H2210" s="8" t="n">
        <x:f>F2210-G2210</x:f>
        <x:v>7259.26</x:v>
      </x:c>
      <x:c r="I2210" s="10" t="n">
        <x:f>H2210/F2210</x:f>
        <x:v>0.6686864406779661</x:v>
      </x:c>
    </x:row>
    <x:row r="2211" ht="22" customHeight="1">
      <x:c r="A2211" s="11" t="str">
        <x:v>74</x:v>
      </x:c>
      <x:c r="B2211" s="8" t="str">
        <x:v>NT Bluetooth Active Headphones E202 Black</x:v>
      </x:c>
      <x:c r="C2211" s="8" t="n">
        <x:v>203</x:v>
      </x:c>
      <x:c r="D2211" s="9" t="n">
        <x:v>37.95</x:v>
      </x:c>
      <x:c r="E2211" s="9" t="n">
        <x:v>17.45</x:v>
      </x:c>
      <x:c r="F2211" s="8" t="n">
        <x:f>C2211*D2211</x:f>
        <x:v>7703.85</x:v>
      </x:c>
      <x:c r="G2211" s="8" t="n">
        <x:f>C2211*E2211</x:f>
        <x:v>3542.35</x:v>
      </x:c>
      <x:c r="H2211" s="8" t="n">
        <x:f>F2211-G2211</x:f>
        <x:v>4161.5</x:v>
      </x:c>
      <x:c r="I2211" s="10" t="n">
        <x:f>H2211/F2211</x:f>
        <x:v>0.5401844532279315</x:v>
      </x:c>
    </x:row>
    <x:row r="2212" ht="22" customHeight="1">
      <x:c r="A2212" s="11" t="str">
        <x:v>740</x:v>
      </x:c>
      <x:c r="B2212" s="8" t="str">
        <x:v>Proseware High-Performance Business-Class Laser Fax X200 Green</x:v>
      </x:c>
      <x:c r="C2212" s="8" t="n">
        <x:v>49</x:v>
      </x:c>
      <x:c r="D2212" s="9" t="n">
        <x:v>248</x:v>
      </x:c>
      <x:c r="E2212" s="9" t="n">
        <x:v>82.17</x:v>
      </x:c>
      <x:c r="F2212" s="8" t="n">
        <x:f>C2212*D2212</x:f>
        <x:v>12152</x:v>
      </x:c>
      <x:c r="G2212" s="8" t="n">
        <x:f>C2212*E2212</x:f>
        <x:v>4026.33</x:v>
      </x:c>
      <x:c r="H2212" s="8" t="n">
        <x:f>F2212-G2212</x:f>
        <x:v>8125.67</x:v>
      </x:c>
      <x:c r="I2212" s="10" t="n">
        <x:f>H2212/F2212</x:f>
        <x:v>0.6686693548387097</x:v>
      </x:c>
    </x:row>
    <x:row r="2213" ht="22" customHeight="1">
      <x:c r="A2213" s="11" t="str">
        <x:v>741</x:v>
      </x:c>
      <x:c r="B2213" s="8" t="str">
        <x:v>Proseware Professional Quality Plain-Paper Fax and Copier X100 Green</x:v>
      </x:c>
      <x:c r="C2213" s="8" t="n">
        <x:v>20</x:v>
      </x:c>
      <x:c r="D2213" s="9" t="n">
        <x:v>229</x:v>
      </x:c>
      <x:c r="E2213" s="9" t="n">
        <x:v>75.87</x:v>
      </x:c>
      <x:c r="F2213" s="8" t="n">
        <x:f>C2213*D2213</x:f>
        <x:v>4580</x:v>
      </x:c>
      <x:c r="G2213" s="8" t="n">
        <x:f>C2213*E2213</x:f>
        <x:v>1517.4</x:v>
      </x:c>
      <x:c r="H2213" s="8" t="n">
        <x:f>F2213-G2213</x:f>
        <x:v>3062.6</x:v>
      </x:c>
      <x:c r="I2213" s="10" t="n">
        <x:f>H2213/F2213</x:f>
        <x:v>0.6686899563318777</x:v>
      </x:c>
    </x:row>
    <x:row r="2214" ht="22" customHeight="1">
      <x:c r="A2214" s="11" t="str">
        <x:v>742</x:v>
      </x:c>
      <x:c r="B2214" s="8" t="str">
        <x:v>Proseware Photo Inkjet Printer E290 Green</x:v>
      </x:c>
      <x:c r="C2214" s="8" t="n">
        <x:v>83</x:v>
      </x:c>
      <x:c r="D2214" s="9" t="n">
        <x:v>102</x:v>
      </x:c>
      <x:c r="E2214" s="9" t="n">
        <x:v>52</x:v>
      </x:c>
      <x:c r="F2214" s="8" t="n">
        <x:f>C2214*D2214</x:f>
        <x:v>8466</x:v>
      </x:c>
      <x:c r="G2214" s="8" t="n">
        <x:f>C2214*E2214</x:f>
        <x:v>4316</x:v>
      </x:c>
      <x:c r="H2214" s="8" t="n">
        <x:f>F2214-G2214</x:f>
        <x:v>4150</x:v>
      </x:c>
      <x:c r="I2214" s="10" t="n">
        <x:f>H2214/F2214</x:f>
        <x:v>0.49019607843137253</x:v>
      </x:c>
    </x:row>
    <x:row r="2215" ht="22" customHeight="1">
      <x:c r="A2215" s="11" t="str">
        <x:v>743</x:v>
      </x:c>
      <x:c r="B2215" s="8" t="str">
        <x:v>Contoso Rechargeable Battery E100 Black</x:v>
      </x:c>
      <x:c r="C2215" s="8" t="n">
        <x:v>26</x:v>
      </x:c>
      <x:c r="D2215" s="9" t="n">
        <x:v>12.95</x:v>
      </x:c>
      <x:c r="E2215" s="9" t="n">
        <x:v>6.6</x:v>
      </x:c>
      <x:c r="F2215" s="8" t="n">
        <x:f>C2215*D2215</x:f>
        <x:v>336.7</x:v>
      </x:c>
      <x:c r="G2215" s="8" t="n">
        <x:f>C2215*E2215</x:f>
        <x:v>171.6</x:v>
      </x:c>
      <x:c r="H2215" s="8" t="n">
        <x:f>F2215-G2215</x:f>
        <x:v>165.1</x:v>
      </x:c>
      <x:c r="I2215" s="10" t="n">
        <x:f>H2215/F2215</x:f>
        <x:v>0.49034749034749037</x:v>
      </x:c>
    </x:row>
    <x:row r="2216" ht="22" customHeight="1">
      <x:c r="A2216" s="11" t="str">
        <x:v>744</x:v>
      </x:c>
      <x:c r="B2216" s="8" t="str">
        <x:v>Contoso Dual USB Power Adapter - power adapter E300 Black</x:v>
      </x:c>
      <x:c r="C2216" s="8" t="n">
        <x:v>25</x:v>
      </x:c>
      <x:c r="D2216" s="9" t="n">
        <x:v>39.9</x:v>
      </x:c>
      <x:c r="E2216" s="9" t="n">
        <x:v>20.34</x:v>
      </x:c>
      <x:c r="F2216" s="8" t="n">
        <x:f>C2216*D2216</x:f>
        <x:v>997.5</x:v>
      </x:c>
      <x:c r="G2216" s="8" t="n">
        <x:f>C2216*E2216</x:f>
        <x:v>508.5</x:v>
      </x:c>
      <x:c r="H2216" s="8" t="n">
        <x:f>F2216-G2216</x:f>
        <x:v>489</x:v>
      </x:c>
      <x:c r="I2216" s="10" t="n">
        <x:f>H2216/F2216</x:f>
        <x:v>0.49022556390977445</x:v>
      </x:c>
    </x:row>
    <x:row r="2217" ht="22" customHeight="1">
      <x:c r="A2217" s="11" t="str">
        <x:v>745</x:v>
      </x:c>
      <x:c r="B2217" s="8" t="str">
        <x:v>Contoso Car power adapter M90 Black</x:v>
      </x:c>
      <x:c r="C2217" s="8" t="n">
        <x:v>20</x:v>
      </x:c>
      <x:c r="D2217" s="9" t="n">
        <x:v>19.95</x:v>
      </x:c>
      <x:c r="E2217" s="9" t="n">
        <x:v>9.17</x:v>
      </x:c>
      <x:c r="F2217" s="8" t="n">
        <x:f>C2217*D2217</x:f>
        <x:v>399</x:v>
      </x:c>
      <x:c r="G2217" s="8" t="n">
        <x:f>C2217*E2217</x:f>
        <x:v>183.4</x:v>
      </x:c>
      <x:c r="H2217" s="8" t="n">
        <x:f>F2217-G2217</x:f>
        <x:v>215.6</x:v>
      </x:c>
      <x:c r="I2217" s="10" t="n">
        <x:f>H2217/F2217</x:f>
        <x:v>0.5403508771929825</x:v>
      </x:c>
    </x:row>
    <x:row r="2218" ht="22" customHeight="1">
      <x:c r="A2218" s="11" t="str">
        <x:v>746</x:v>
      </x:c>
      <x:c r="B2218" s="8" t="str">
        <x:v>Contoso Notebook Peripheral Kit M69 Black</x:v>
      </x:c>
      <x:c r="C2218" s="8" t="n">
        <x:v>24</x:v>
      </x:c>
      <x:c r="D2218" s="9" t="n">
        <x:v>16.5</x:v>
      </x:c>
      <x:c r="E2218" s="9" t="n">
        <x:v>7.59</x:v>
      </x:c>
      <x:c r="F2218" s="8" t="n">
        <x:f>C2218*D2218</x:f>
        <x:v>396</x:v>
      </x:c>
      <x:c r="G2218" s="8" t="n">
        <x:f>C2218*E2218</x:f>
        <x:v>182.16</x:v>
      </x:c>
      <x:c r="H2218" s="8" t="n">
        <x:f>F2218-G2218</x:f>
        <x:v>213.84</x:v>
      </x:c>
      <x:c r="I2218" s="10" t="n">
        <x:f>H2218/F2218</x:f>
        <x:v>0.54</x:v>
      </x:c>
    </x:row>
    <x:row r="2219" ht="22" customHeight="1">
      <x:c r="A2219" s="11" t="str">
        <x:v>747</x:v>
      </x:c>
      <x:c r="B2219" s="8" t="str">
        <x:v>Contoso Mouse Lock Bundle E200 Black</x:v>
      </x:c>
      <x:c r="C2219" s="8" t="n">
        <x:v>22</x:v>
      </x:c>
      <x:c r="D2219" s="9" t="n">
        <x:v>12.95</x:v>
      </x:c>
      <x:c r="E2219" s="9" t="n">
        <x:v>6.6</x:v>
      </x:c>
      <x:c r="F2219" s="8" t="n">
        <x:f>C2219*D2219</x:f>
        <x:v>284.9</x:v>
      </x:c>
      <x:c r="G2219" s="8" t="n">
        <x:f>C2219*E2219</x:f>
        <x:v>145.2</x:v>
      </x:c>
      <x:c r="H2219" s="8" t="n">
        <x:f>F2219-G2219</x:f>
        <x:v>139.7</x:v>
      </x:c>
      <x:c r="I2219" s="10" t="n">
        <x:f>H2219/F2219</x:f>
        <x:v>0.49034749034749037</x:v>
      </x:c>
    </x:row>
    <x:row r="2220" ht="22" customHeight="1">
      <x:c r="A2220" s="11" t="str">
        <x:v>748</x:v>
      </x:c>
      <x:c r="B2220" s="8" t="str">
        <x:v>Contoso Education Supplies Bundle E200 Black</x:v>
      </x:c>
      <x:c r="C2220" s="8" t="n">
        <x:v>46</x:v>
      </x:c>
      <x:c r="D2220" s="9" t="n">
        <x:v>13.5</x:v>
      </x:c>
      <x:c r="E2220" s="9" t="n">
        <x:v>6.88</x:v>
      </x:c>
      <x:c r="F2220" s="8" t="n">
        <x:f>C2220*D2220</x:f>
        <x:v>621</x:v>
      </x:c>
      <x:c r="G2220" s="8" t="n">
        <x:f>C2220*E2220</x:f>
        <x:v>316.48</x:v>
      </x:c>
      <x:c r="H2220" s="8" t="n">
        <x:f>F2220-G2220</x:f>
        <x:v>304.52</x:v>
      </x:c>
      <x:c r="I2220" s="10" t="n">
        <x:f>H2220/F2220</x:f>
        <x:v>0.49037037037037035</x:v>
      </x:c>
    </x:row>
    <x:row r="2221" ht="22" customHeight="1">
      <x:c r="A2221" s="11" t="str">
        <x:v>749</x:v>
      </x:c>
      <x:c r="B2221" s="8" t="str">
        <x:v>Contoso Laptop Starter Bundle M200 Black</x:v>
      </x:c>
      <x:c r="C2221" s="8" t="n">
        <x:v>21</x:v>
      </x:c>
      <x:c r="D2221" s="9" t="n">
        <x:v>16.5</x:v>
      </x:c>
      <x:c r="E2221" s="9" t="n">
        <x:v>7.59</x:v>
      </x:c>
      <x:c r="F2221" s="8" t="n">
        <x:f>C2221*D2221</x:f>
        <x:v>346.5</x:v>
      </x:c>
      <x:c r="G2221" s="8" t="n">
        <x:f>C2221*E2221</x:f>
        <x:v>159.39</x:v>
      </x:c>
      <x:c r="H2221" s="8" t="n">
        <x:f>F2221-G2221</x:f>
        <x:v>187.11</x:v>
      </x:c>
      <x:c r="I2221" s="10" t="n">
        <x:f>H2221/F2221</x:f>
        <x:v>0.54</x:v>
      </x:c>
    </x:row>
    <x:row r="2222" ht="22" customHeight="1">
      <x:c r="A2222" s="11" t="str">
        <x:v>75</x:v>
      </x:c>
      <x:c r="B2222" s="8" t="str">
        <x:v>NT Bluetooth Active Headphones E202 White</x:v>
      </x:c>
      <x:c r="C2222" s="8" t="n">
        <x:v>300</x:v>
      </x:c>
      <x:c r="D2222" s="9" t="n">
        <x:v>37.95</x:v>
      </x:c>
      <x:c r="E2222" s="9" t="n">
        <x:v>17.45</x:v>
      </x:c>
      <x:c r="F2222" s="8" t="n">
        <x:f>C2222*D2222</x:f>
        <x:v>11385</x:v>
      </x:c>
      <x:c r="G2222" s="8" t="n">
        <x:f>C2222*E2222</x:f>
        <x:v>5235</x:v>
      </x:c>
      <x:c r="H2222" s="8" t="n">
        <x:f>F2222-G2222</x:f>
        <x:v>6150</x:v>
      </x:c>
      <x:c r="I2222" s="10" t="n">
        <x:f>H2222/F2222</x:f>
        <x:v>0.5401844532279315</x:v>
      </x:c>
    </x:row>
    <x:row r="2223" ht="22" customHeight="1">
      <x:c r="A2223" s="11" t="str">
        <x:v>750</x:v>
      </x:c>
      <x:c r="B2223" s="8" t="str">
        <x:v>Contoso Education Essentials Bundle M300 Black</x:v>
      </x:c>
      <x:c r="C2223" s="8" t="n">
        <x:v>30</x:v>
      </x:c>
      <x:c r="D2223" s="9" t="n">
        <x:v>9.5</x:v>
      </x:c>
      <x:c r="E2223" s="9" t="n">
        <x:v>4.37</x:v>
      </x:c>
      <x:c r="F2223" s="8" t="n">
        <x:f>C2223*D2223</x:f>
        <x:v>285</x:v>
      </x:c>
      <x:c r="G2223" s="8" t="n">
        <x:f>C2223*E2223</x:f>
        <x:v>131.1</x:v>
      </x:c>
      <x:c r="H2223" s="8" t="n">
        <x:f>F2223-G2223</x:f>
        <x:v>153.9</x:v>
      </x:c>
      <x:c r="I2223" s="10" t="n">
        <x:f>H2223/F2223</x:f>
        <x:v>0.54</x:v>
      </x:c>
    </x:row>
    <x:row r="2224" ht="22" customHeight="1">
      <x:c r="A2224" s="11" t="str">
        <x:v>751</x:v>
      </x:c>
      <x:c r="B2224" s="8" t="str">
        <x:v>Contoso Desktop Alternative Bundle E200 Black</x:v>
      </x:c>
      <x:c r="C2224" s="8" t="n">
        <x:v>7</x:v>
      </x:c>
      <x:c r="D2224" s="9" t="n">
        <x:v>11.5</x:v>
      </x:c>
      <x:c r="E2224" s="9" t="n">
        <x:v>5.86</x:v>
      </x:c>
      <x:c r="F2224" s="8" t="n">
        <x:f>C2224*D2224</x:f>
        <x:v>80.5</x:v>
      </x:c>
      <x:c r="G2224" s="8" t="n">
        <x:f>C2224*E2224</x:f>
        <x:v>41.02</x:v>
      </x:c>
      <x:c r="H2224" s="8" t="n">
        <x:f>F2224-G2224</x:f>
        <x:v>39.48</x:v>
      </x:c>
      <x:c r="I2224" s="10" t="n">
        <x:f>H2224/F2224</x:f>
        <x:v>0.4904347826086956</x:v>
      </x:c>
    </x:row>
    <x:row r="2225" ht="22" customHeight="1">
      <x:c r="A2225" s="11" t="str">
        <x:v>752</x:v>
      </x:c>
      <x:c r="B2225" s="8" t="str">
        <x:v>Contoso Power Inverter - DC to AC power inverter E900 Black</x:v>
      </x:c>
      <x:c r="C2225" s="8" t="n">
        <x:v>17</x:v>
      </x:c>
      <x:c r="D2225" s="9" t="n">
        <x:v>9.5</x:v>
      </x:c>
      <x:c r="E2225" s="9" t="n">
        <x:v>4.84</x:v>
      </x:c>
      <x:c r="F2225" s="8" t="n">
        <x:f>C2225*D2225</x:f>
        <x:v>161.5</x:v>
      </x:c>
      <x:c r="G2225" s="8" t="n">
        <x:f>C2225*E2225</x:f>
        <x:v>82.28</x:v>
      </x:c>
      <x:c r="H2225" s="8" t="n">
        <x:f>F2225-G2225</x:f>
        <x:v>79.22</x:v>
      </x:c>
      <x:c r="I2225" s="10" t="n">
        <x:f>H2225/F2225</x:f>
        <x:v>0.4905263157894737</x:v>
      </x:c>
    </x:row>
    <x:row r="2226" ht="22" customHeight="1">
      <x:c r="A2226" s="11" t="str">
        <x:v>753</x:v>
      </x:c>
      <x:c r="B2226" s="8" t="str">
        <x:v>Contoso Smart Battery M901 Black</x:v>
      </x:c>
      <x:c r="C2226" s="8" t="n">
        <x:v>12</x:v>
      </x:c>
      <x:c r="D2226" s="9" t="n">
        <x:v>11.5</x:v>
      </x:c>
      <x:c r="E2226" s="9" t="n">
        <x:v>5.29</x:v>
      </x:c>
      <x:c r="F2226" s="8" t="n">
        <x:f>C2226*D2226</x:f>
        <x:v>138</x:v>
      </x:c>
      <x:c r="G2226" s="8" t="n">
        <x:f>C2226*E2226</x:f>
        <x:v>63.480000000000004</x:v>
      </x:c>
      <x:c r="H2226" s="8" t="n">
        <x:f>F2226-G2226</x:f>
        <x:v>74.52</x:v>
      </x:c>
      <x:c r="I2226" s="10" t="n">
        <x:f>H2226/F2226</x:f>
        <x:v>0.5399999999999999</x:v>
      </x:c>
    </x:row>
    <x:row r="2227" ht="22" customHeight="1">
      <x:c r="A2227" s="11" t="str">
        <x:v>754</x:v>
      </x:c>
      <x:c r="B2227" s="8" t="str">
        <x:v>Contoso Laptop Cooling Hub notebook fan with 4 ports USB hub E80 Black</x:v>
      </x:c>
      <x:c r="C2227" s="8" t="n">
        <x:v>30</x:v>
      </x:c>
      <x:c r="D2227" s="9" t="n">
        <x:v>29.9</x:v>
      </x:c>
      <x:c r="E2227" s="9" t="n">
        <x:v>15.24</x:v>
      </x:c>
      <x:c r="F2227" s="8" t="n">
        <x:f>C2227*D2227</x:f>
        <x:v>897</x:v>
      </x:c>
      <x:c r="G2227" s="8" t="n">
        <x:f>C2227*E2227</x:f>
        <x:v>457.2</x:v>
      </x:c>
      <x:c r="H2227" s="8" t="n">
        <x:f>F2227-G2227</x:f>
        <x:v>439.8</x:v>
      </x:c>
      <x:c r="I2227" s="10" t="n">
        <x:f>H2227/F2227</x:f>
        <x:v>0.4903010033444816</x:v>
      </x:c>
    </x:row>
    <x:row r="2228" ht="22" customHeight="1">
      <x:c r="A2228" s="11" t="str">
        <x:v>755</x:v>
      </x:c>
      <x:c r="B2228" s="8" t="str">
        <x:v>Contoso Home/Office Laptop Power Adapter E300 Black</x:v>
      </x:c>
      <x:c r="C2228" s="8" t="n">
        <x:v>31</x:v>
      </x:c>
      <x:c r="D2228" s="9" t="n">
        <x:v>25.5</x:v>
      </x:c>
      <x:c r="E2228" s="9" t="n">
        <x:v>13</x:v>
      </x:c>
      <x:c r="F2228" s="8" t="n">
        <x:f>C2228*D2228</x:f>
        <x:v>790.5</x:v>
      </x:c>
      <x:c r="G2228" s="8" t="n">
        <x:f>C2228*E2228</x:f>
        <x:v>403</x:v>
      </x:c>
      <x:c r="H2228" s="8" t="n">
        <x:f>F2228-G2228</x:f>
        <x:v>387.5</x:v>
      </x:c>
      <x:c r="I2228" s="10" t="n">
        <x:f>H2228/F2228</x:f>
        <x:v>0.49019607843137253</x:v>
      </x:c>
    </x:row>
    <x:row r="2229" ht="22" customHeight="1">
      <x:c r="A2229" s="11" t="str">
        <x:v>756</x:v>
      </x:c>
      <x:c r="B2229" s="8" t="str">
        <x:v>Contoso USB 2.0 Dock Station docking station M800 Black</x:v>
      </x:c>
      <x:c r="C2229" s="8" t="n">
        <x:v>24</x:v>
      </x:c>
      <x:c r="D2229" s="9" t="n">
        <x:v>29.9</x:v>
      </x:c>
      <x:c r="E2229" s="9" t="n">
        <x:v>13.75</x:v>
      </x:c>
      <x:c r="F2229" s="8" t="n">
        <x:f>C2229*D2229</x:f>
        <x:v>717.5999999999999</x:v>
      </x:c>
      <x:c r="G2229" s="8" t="n">
        <x:f>C2229*E2229</x:f>
        <x:v>330</x:v>
      </x:c>
      <x:c r="H2229" s="8" t="n">
        <x:f>F2229-G2229</x:f>
        <x:v>387.5999999999999</x:v>
      </x:c>
      <x:c r="I2229" s="10" t="n">
        <x:f>H2229/F2229</x:f>
        <x:v>0.540133779264214</x:v>
      </x:c>
    </x:row>
    <x:row r="2230" ht="22" customHeight="1">
      <x:c r="A2230" s="11" t="str">
        <x:v>757</x:v>
      </x:c>
      <x:c r="B2230" s="8" t="str">
        <x:v>Contoso Enhanced Capacity Battery M800 Black</x:v>
      </x:c>
      <x:c r="C2230" s="8" t="n">
        <x:v>30</x:v>
      </x:c>
      <x:c r="D2230" s="9" t="n">
        <x:v>27.9</x:v>
      </x:c>
      <x:c r="E2230" s="9" t="n">
        <x:v>12.83</x:v>
      </x:c>
      <x:c r="F2230" s="8" t="n">
        <x:f>C2230*D2230</x:f>
        <x:v>837</x:v>
      </x:c>
      <x:c r="G2230" s="8" t="n">
        <x:f>C2230*E2230</x:f>
        <x:v>384.9</x:v>
      </x:c>
      <x:c r="H2230" s="8" t="n">
        <x:f>F2230-G2230</x:f>
        <x:v>452.1</x:v>
      </x:c>
      <x:c r="I2230" s="10" t="n">
        <x:f>H2230/F2230</x:f>
        <x:v>0.5401433691756272</x:v>
      </x:c>
    </x:row>
    <x:row r="2231" ht="22" customHeight="1">
      <x:c r="A2231" s="11" t="str">
        <x:v>758</x:v>
      </x:c>
      <x:c r="B2231" s="8" t="str">
        <x:v>Contoso Connectivity Starter Kit Smart Buy M680 Black</x:v>
      </x:c>
      <x:c r="C2231" s="8" t="n">
        <x:v>14</x:v>
      </x:c>
      <x:c r="D2231" s="9" t="n">
        <x:v>27.9</x:v>
      </x:c>
      <x:c r="E2231" s="9" t="n">
        <x:v>12.83</x:v>
      </x:c>
      <x:c r="F2231" s="8" t="n">
        <x:f>C2231*D2231</x:f>
        <x:v>390.59999999999997</x:v>
      </x:c>
      <x:c r="G2231" s="8" t="n">
        <x:f>C2231*E2231</x:f>
        <x:v>179.62</x:v>
      </x:c>
      <x:c r="H2231" s="8" t="n">
        <x:f>F2231-G2231</x:f>
        <x:v>210.97999999999996</x:v>
      </x:c>
      <x:c r="I2231" s="10" t="n">
        <x:f>H2231/F2231</x:f>
        <x:v>0.5401433691756272</x:v>
      </x:c>
    </x:row>
    <x:row r="2232" ht="22" customHeight="1">
      <x:c r="A2232" s="11" t="str">
        <x:v>759</x:v>
      </x:c>
      <x:c r="B2232" s="8" t="str">
        <x:v>Contoso 90W AC/DC Power Adapter E300 Black</x:v>
      </x:c>
      <x:c r="C2232" s="8" t="n">
        <x:v>26</x:v>
      </x:c>
      <x:c r="D2232" s="9" t="n">
        <x:v>11.9</x:v>
      </x:c>
      <x:c r="E2232" s="9" t="n">
        <x:v>6.07</x:v>
      </x:c>
      <x:c r="F2232" s="8" t="n">
        <x:f>C2232*D2232</x:f>
        <x:v>309.40000000000003</x:v>
      </x:c>
      <x:c r="G2232" s="8" t="n">
        <x:f>C2232*E2232</x:f>
        <x:v>157.82</x:v>
      </x:c>
      <x:c r="H2232" s="8" t="n">
        <x:f>F2232-G2232</x:f>
        <x:v>151.58000000000004</x:v>
      </x:c>
      <x:c r="I2232" s="10" t="n">
        <x:f>H2232/F2232</x:f>
        <x:v>0.4899159663865547</x:v>
      </x:c>
    </x:row>
    <x:row r="2233" ht="22" customHeight="1">
      <x:c r="A2233" s="11" t="str">
        <x:v>76</x:v>
      </x:c>
      <x:c r="B2233" s="8" t="str">
        <x:v>NT Bluetooth Active Headphones E202 Red</x:v>
      </x:c>
      <x:c r="C2233" s="8" t="n">
        <x:v>266</x:v>
      </x:c>
      <x:c r="D2233" s="9" t="n">
        <x:v>37.95</x:v>
      </x:c>
      <x:c r="E2233" s="9" t="n">
        <x:v>17.45</x:v>
      </x:c>
      <x:c r="F2233" s="8" t="n">
        <x:f>C2233*D2233</x:f>
        <x:v>10094.7</x:v>
      </x:c>
      <x:c r="G2233" s="8" t="n">
        <x:f>C2233*E2233</x:f>
        <x:v>4641.7</x:v>
      </x:c>
      <x:c r="H2233" s="8" t="n">
        <x:f>F2233-G2233</x:f>
        <x:v>5453.000000000001</x:v>
      </x:c>
      <x:c r="I2233" s="10" t="n">
        <x:f>H2233/F2233</x:f>
        <x:v>0.5401844532279315</x:v>
      </x:c>
    </x:row>
    <x:row r="2234" ht="22" customHeight="1">
      <x:c r="A2234" s="11" t="str">
        <x:v>760</x:v>
      </x:c>
      <x:c r="B2234" s="8" t="str">
        <x:v>Contoso Reserve Pen - Tablet Pen E200 Black</x:v>
      </x:c>
      <x:c r="C2234" s="8" t="n">
        <x:v>34</x:v>
      </x:c>
      <x:c r="D2234" s="9" t="n">
        <x:v>13.9</x:v>
      </x:c>
      <x:c r="E2234" s="9" t="n">
        <x:v>7.09</x:v>
      </x:c>
      <x:c r="F2234" s="8" t="n">
        <x:f>C2234*D2234</x:f>
        <x:v>472.6</x:v>
      </x:c>
      <x:c r="G2234" s="8" t="n">
        <x:f>C2234*E2234</x:f>
        <x:v>241.06</x:v>
      </x:c>
      <x:c r="H2234" s="8" t="n">
        <x:f>F2234-G2234</x:f>
        <x:v>231.54000000000002</x:v>
      </x:c>
      <x:c r="I2234" s="10" t="n">
        <x:f>H2234/F2234</x:f>
        <x:v>0.48992805755395685</x:v>
      </x:c>
    </x:row>
    <x:row r="2235" ht="22" customHeight="1">
      <x:c r="A2235" s="11" t="str">
        <x:v>761</x:v>
      </x:c>
      <x:c r="B2235" s="8" t="str">
        <x:v>Contoso USB Data Link-direct connect adapter E600 Black</x:v>
      </x:c>
      <x:c r="C2235" s="8" t="n">
        <x:v>14</x:v>
      </x:c>
      <x:c r="D2235" s="9" t="n">
        <x:v>16.9</x:v>
      </x:c>
      <x:c r="E2235" s="9" t="n">
        <x:v>8.62</x:v>
      </x:c>
      <x:c r="F2235" s="8" t="n">
        <x:f>C2235*D2235</x:f>
        <x:v>236.59999999999997</x:v>
      </x:c>
      <x:c r="G2235" s="8" t="n">
        <x:f>C2235*E2235</x:f>
        <x:v>120.67999999999999</x:v>
      </x:c>
      <x:c r="H2235" s="8" t="n">
        <x:f>F2235-G2235</x:f>
        <x:v>115.91999999999997</x:v>
      </x:c>
      <x:c r="I2235" s="10" t="n">
        <x:f>H2235/F2235</x:f>
        <x:v>0.4899408284023668</x:v>
      </x:c>
    </x:row>
    <x:row r="2236" ht="22" customHeight="1">
      <x:c r="A2236" s="11" t="str">
        <x:v>762</x:v>
      </x:c>
      <x:c r="B2236" s="8" t="str">
        <x:v>Contoso Primary Extended Capacity Battery Pack - notebook battery X100 Black</x:v>
      </x:c>
      <x:c r="C2236" s="8" t="n">
        <x:v>35</x:v>
      </x:c>
      <x:c r="D2236" s="9" t="n">
        <x:v>33.9</x:v>
      </x:c>
      <x:c r="E2236" s="9" t="n">
        <x:v>11.23</x:v>
      </x:c>
      <x:c r="F2236" s="8" t="n">
        <x:f>C2236*D2236</x:f>
        <x:v>1186.5</x:v>
      </x:c>
      <x:c r="G2236" s="8" t="n">
        <x:f>C2236*E2236</x:f>
        <x:v>393.05</x:v>
      </x:c>
      <x:c r="H2236" s="8" t="n">
        <x:f>F2236-G2236</x:f>
        <x:v>793.45</x:v>
      </x:c>
      <x:c r="I2236" s="10" t="n">
        <x:f>H2236/F2236</x:f>
        <x:v>0.6687315634218289</x:v>
      </x:c>
    </x:row>
    <x:row r="2237" ht="22" customHeight="1">
      <x:c r="A2237" s="11" t="str">
        <x:v>763</x:v>
      </x:c>
      <x:c r="B2237" s="8" t="str">
        <x:v>Contoso Digital camera accessory kit M200 Black</x:v>
      </x:c>
      <x:c r="C2237" s="8" t="n">
        <x:v>34</x:v>
      </x:c>
      <x:c r="D2237" s="9" t="n">
        <x:v>23.9</x:v>
      </x:c>
      <x:c r="E2237" s="9" t="n">
        <x:v>10.99</x:v>
      </x:c>
      <x:c r="F2237" s="8" t="n">
        <x:f>C2237*D2237</x:f>
        <x:v>812.5999999999999</x:v>
      </x:c>
      <x:c r="G2237" s="8" t="n">
        <x:f>C2237*E2237</x:f>
        <x:v>373.66</x:v>
      </x:c>
      <x:c r="H2237" s="8" t="n">
        <x:f>F2237-G2237</x:f>
        <x:v>438.9399999999999</x:v>
      </x:c>
      <x:c r="I2237" s="10" t="n">
        <x:f>H2237/F2237</x:f>
        <x:v>0.5401673640167364</x:v>
      </x:c>
    </x:row>
    <x:row r="2238" ht="22" customHeight="1">
      <x:c r="A2238" s="11" t="str">
        <x:v>764</x:v>
      </x:c>
      <x:c r="B2238" s="8" t="str">
        <x:v>Contoso Leather Case - case for digital photo camera X20 Black</x:v>
      </x:c>
      <x:c r="C2238" s="8" t="n">
        <x:v>7</x:v>
      </x:c>
      <x:c r="D2238" s="9" t="n">
        <x:v>39.9</x:v>
      </x:c>
      <x:c r="E2238" s="9" t="n">
        <x:v>13.22</x:v>
      </x:c>
      <x:c r="F2238" s="8" t="n">
        <x:f>C2238*D2238</x:f>
        <x:v>279.3</x:v>
      </x:c>
      <x:c r="G2238" s="8" t="n">
        <x:f>C2238*E2238</x:f>
        <x:v>92.54</x:v>
      </x:c>
      <x:c r="H2238" s="8" t="n">
        <x:f>F2238-G2238</x:f>
        <x:v>186.76</x:v>
      </x:c>
      <x:c r="I2238" s="10" t="n">
        <x:f>H2238/F2238</x:f>
        <x:v>0.668671679197995</x:v>
      </x:c>
    </x:row>
    <x:row r="2239" ht="22" customHeight="1">
      <x:c r="A2239" s="11" t="str">
        <x:v>765</x:v>
      </x:c>
      <x:c r="B2239" s="8" t="str">
        <x:v>Contoso Lens cap E80 Black</x:v>
      </x:c>
      <x:c r="C2239" s="8" t="n">
        <x:v>13</x:v>
      </x:c>
      <x:c r="D2239" s="9" t="n">
        <x:v>29.95</x:v>
      </x:c>
      <x:c r="E2239" s="9" t="n">
        <x:v>15.27</x:v>
      </x:c>
      <x:c r="F2239" s="8" t="n">
        <x:f>C2239*D2239</x:f>
        <x:v>389.34999999999997</x:v>
      </x:c>
      <x:c r="G2239" s="8" t="n">
        <x:f>C2239*E2239</x:f>
        <x:v>198.51</x:v>
      </x:c>
      <x:c r="H2239" s="8" t="n">
        <x:f>F2239-G2239</x:f>
        <x:v>190.83999999999997</x:v>
      </x:c>
      <x:c r="I2239" s="10" t="n">
        <x:f>H2239/F2239</x:f>
        <x:v>0.49015025041736227</x:v>
      </x:c>
    </x:row>
    <x:row r="2240" ht="22" customHeight="1">
      <x:c r="A2240" s="11" t="str">
        <x:v>766</x:v>
      </x:c>
      <x:c r="B2240" s="8" t="str">
        <x:v>Contoso Battery charger - bike E200 Black</x:v>
      </x:c>
      <x:c r="C2240" s="8" t="n">
        <x:v>23</x:v>
      </x:c>
      <x:c r="D2240" s="9" t="n">
        <x:v>19.9</x:v>
      </x:c>
      <x:c r="E2240" s="9" t="n">
        <x:v>10.15</x:v>
      </x:c>
      <x:c r="F2240" s="8" t="n">
        <x:f>C2240*D2240</x:f>
        <x:v>457.7</x:v>
      </x:c>
      <x:c r="G2240" s="8" t="n">
        <x:f>C2240*E2240</x:f>
        <x:v>233.45000000000002</x:v>
      </x:c>
      <x:c r="H2240" s="8" t="n">
        <x:f>F2240-G2240</x:f>
        <x:v>224.24999999999997</x:v>
      </x:c>
      <x:c r="I2240" s="10" t="n">
        <x:f>H2240/F2240</x:f>
        <x:v>0.48994974874371855</x:v>
      </x:c>
    </x:row>
    <x:row r="2241" ht="22" customHeight="1">
      <x:c r="A2241" s="11" t="str">
        <x:v>767</x:v>
      </x:c>
      <x:c r="B2241" s="8" t="str">
        <x:v>Contoso USB Optical Mouse E200 Black</x:v>
      </x:c>
      <x:c r="C2241" s="8" t="n">
        <x:v>30</x:v>
      </x:c>
      <x:c r="D2241" s="9" t="n">
        <x:v>15.5</x:v>
      </x:c>
      <x:c r="E2241" s="9" t="n">
        <x:v>7.9</x:v>
      </x:c>
      <x:c r="F2241" s="8" t="n">
        <x:f>C2241*D2241</x:f>
        <x:v>465</x:v>
      </x:c>
      <x:c r="G2241" s="8" t="n">
        <x:f>C2241*E2241</x:f>
        <x:v>237</x:v>
      </x:c>
      <x:c r="H2241" s="8" t="n">
        <x:f>F2241-G2241</x:f>
        <x:v>228</x:v>
      </x:c>
      <x:c r="I2241" s="10" t="n">
        <x:f>H2241/F2241</x:f>
        <x:v>0.49032258064516127</x:v>
      </x:c>
    </x:row>
    <x:row r="2242" ht="22" customHeight="1">
      <x:c r="A2242" s="11" t="str">
        <x:v>768</x:v>
      </x:c>
      <x:c r="B2242" s="8" t="str">
        <x:v>Contoso ADSL Modem Splitter/Filter X 1 E100 Black</x:v>
      </x:c>
      <x:c r="C2242" s="8" t="n">
        <x:v>12</x:v>
      </x:c>
      <x:c r="D2242" s="9" t="n">
        <x:v>17.9</x:v>
      </x:c>
      <x:c r="E2242" s="9" t="n">
        <x:v>9.13</x:v>
      </x:c>
      <x:c r="F2242" s="8" t="n">
        <x:f>C2242*D2242</x:f>
        <x:v>214.79999999999998</x:v>
      </x:c>
      <x:c r="G2242" s="8" t="n">
        <x:f>C2242*E2242</x:f>
        <x:v>109.56</x:v>
      </x:c>
      <x:c r="H2242" s="8" t="n">
        <x:f>F2242-G2242</x:f>
        <x:v>105.23999999999998</x:v>
      </x:c>
      <x:c r="I2242" s="10" t="n">
        <x:f>H2242/F2242</x:f>
        <x:v>0.48994413407821225</x:v>
      </x:c>
    </x:row>
    <x:row r="2243" ht="22" customHeight="1">
      <x:c r="A2243" s="11" t="str">
        <x:v>769</x:v>
      </x:c>
      <x:c r="B2243" s="8" t="str">
        <x:v>Contoso ADSL Modem Splitter/Filter X 2 E200 Black</x:v>
      </x:c>
      <x:c r="C2243" s="8" t="n">
        <x:v>19</x:v>
      </x:c>
      <x:c r="D2243" s="9" t="n">
        <x:v>22.9</x:v>
      </x:c>
      <x:c r="E2243" s="9" t="n">
        <x:v>11.68</x:v>
      </x:c>
      <x:c r="F2243" s="8" t="n">
        <x:f>C2243*D2243</x:f>
        <x:v>435.09999999999997</x:v>
      </x:c>
      <x:c r="G2243" s="8" t="n">
        <x:f>C2243*E2243</x:f>
        <x:v>221.92</x:v>
      </x:c>
      <x:c r="H2243" s="8" t="n">
        <x:f>F2243-G2243</x:f>
        <x:v>213.17999999999998</x:v>
      </x:c>
      <x:c r="I2243" s="10" t="n">
        <x:f>H2243/F2243</x:f>
        <x:v>0.48995633187772925</x:v>
      </x:c>
    </x:row>
    <x:row r="2244" ht="22" customHeight="1">
      <x:c r="A2244" s="11" t="str">
        <x:v>77</x:v>
      </x:c>
      <x:c r="B2244" s="8" t="str">
        <x:v>NT Bluetooth Active Headphones E202 Silver</x:v>
      </x:c>
      <x:c r="C2244" s="8" t="n">
        <x:v>258</x:v>
      </x:c>
      <x:c r="D2244" s="9" t="n">
        <x:v>37.95</x:v>
      </x:c>
      <x:c r="E2244" s="9" t="n">
        <x:v>17.45</x:v>
      </x:c>
      <x:c r="F2244" s="8" t="n">
        <x:f>C2244*D2244</x:f>
        <x:v>9791.1</x:v>
      </x:c>
      <x:c r="G2244" s="8" t="n">
        <x:f>C2244*E2244</x:f>
        <x:v>4502.099999999999</x:v>
      </x:c>
      <x:c r="H2244" s="8" t="n">
        <x:f>F2244-G2244</x:f>
        <x:v>5289.000000000001</x:v>
      </x:c>
      <x:c r="I2244" s="10" t="n">
        <x:f>H2244/F2244</x:f>
        <x:v>0.5401844532279315</x:v>
      </x:c>
    </x:row>
    <x:row r="2245" ht="22" customHeight="1">
      <x:c r="A2245" s="11" t="str">
        <x:v>770</x:v>
      </x:c>
      <x:c r="B2245" s="8" t="str">
        <x:v>Contoso ADSL Modem Splitter/Filter X 3 E300 Black</x:v>
      </x:c>
      <x:c r="C2245" s="8" t="n">
        <x:v>5</x:v>
      </x:c>
      <x:c r="D2245" s="9" t="n">
        <x:v>52.9</x:v>
      </x:c>
      <x:c r="E2245" s="9" t="n">
        <x:v>26.97</x:v>
      </x:c>
      <x:c r="F2245" s="8" t="n">
        <x:f>C2245*D2245</x:f>
        <x:v>264.5</x:v>
      </x:c>
      <x:c r="G2245" s="8" t="n">
        <x:f>C2245*E2245</x:f>
        <x:v>134.85</x:v>
      </x:c>
      <x:c r="H2245" s="8" t="n">
        <x:f>F2245-G2245</x:f>
        <x:v>129.65</x:v>
      </x:c>
      <x:c r="I2245" s="10" t="n">
        <x:f>H2245/F2245</x:f>
        <x:v>0.4901701323251418</x:v>
      </x:c>
    </x:row>
    <x:row r="2246" ht="22" customHeight="1">
      <x:c r="A2246" s="11" t="str">
        <x:v>771</x:v>
      </x:c>
      <x:c r="B2246" s="8" t="str">
        <x:v>Contoso USB Wave Multi-media Keyboard E280 Black</x:v>
      </x:c>
      <x:c r="C2246" s="8" t="n">
        <x:v>19</x:v>
      </x:c>
      <x:c r="D2246" s="9" t="n">
        <x:v>15.9</x:v>
      </x:c>
      <x:c r="E2246" s="9" t="n">
        <x:v>8.11</x:v>
      </x:c>
      <x:c r="F2246" s="8" t="n">
        <x:f>C2246*D2246</x:f>
        <x:v>302.1</x:v>
      </x:c>
      <x:c r="G2246" s="8" t="n">
        <x:f>C2246*E2246</x:f>
        <x:v>154.08999999999997</x:v>
      </x:c>
      <x:c r="H2246" s="8" t="n">
        <x:f>F2246-G2246</x:f>
        <x:v>148.01000000000005</x:v>
      </x:c>
      <x:c r="I2246" s="10" t="n">
        <x:f>H2246/F2246</x:f>
        <x:v>0.4899371069182391</x:v>
      </x:c>
    </x:row>
    <x:row r="2247" ht="22" customHeight="1">
      <x:c r="A2247" s="11" t="str">
        <x:v>772</x:v>
      </x:c>
      <x:c r="B2247" s="8" t="str">
        <x:v>Contoso Cables To Go USB 2.0 Hard Drive Enclosure E920 Black</x:v>
      </x:c>
      <x:c r="C2247" s="8" t="n">
        <x:v>33</x:v>
      </x:c>
      <x:c r="D2247" s="9" t="n">
        <x:v>11.9</x:v>
      </x:c>
      <x:c r="E2247" s="9" t="n">
        <x:v>6.07</x:v>
      </x:c>
      <x:c r="F2247" s="8" t="n">
        <x:f>C2247*D2247</x:f>
        <x:v>392.7</x:v>
      </x:c>
      <x:c r="G2247" s="8" t="n">
        <x:f>C2247*E2247</x:f>
        <x:v>200.31</x:v>
      </x:c>
      <x:c r="H2247" s="8" t="n">
        <x:f>F2247-G2247</x:f>
        <x:v>192.39</x:v>
      </x:c>
      <x:c r="I2247" s="10" t="n">
        <x:f>H2247/F2247</x:f>
        <x:v>0.4899159663865546</x:v>
      </x:c>
    </x:row>
    <x:row r="2248" ht="22" customHeight="1">
      <x:c r="A2248" s="11" t="str">
        <x:v>773</x:v>
      </x:c>
      <x:c r="B2248" s="8" t="str">
        <x:v>Contoso USB Wave Multi-media Keyboard E280 Blue</x:v>
      </x:c>
      <x:c r="C2248" s="8" t="n">
        <x:v>25</x:v>
      </x:c>
      <x:c r="D2248" s="9" t="n">
        <x:v>15.9</x:v>
      </x:c>
      <x:c r="E2248" s="9" t="n">
        <x:v>8.11</x:v>
      </x:c>
      <x:c r="F2248" s="8" t="n">
        <x:f>C2248*D2248</x:f>
        <x:v>397.5</x:v>
      </x:c>
      <x:c r="G2248" s="8" t="n">
        <x:f>C2248*E2248</x:f>
        <x:v>202.75</x:v>
      </x:c>
      <x:c r="H2248" s="8" t="n">
        <x:f>F2248-G2248</x:f>
        <x:v>194.75</x:v>
      </x:c>
      <x:c r="I2248" s="10" t="n">
        <x:f>H2248/F2248</x:f>
        <x:v>0.489937106918239</x:v>
      </x:c>
    </x:row>
    <x:row r="2249" ht="22" customHeight="1">
      <x:c r="A2249" s="11" t="str">
        <x:v>774</x:v>
      </x:c>
      <x:c r="B2249" s="8" t="str">
        <x:v>Contoso USB Optical Mouse E200 Blue</x:v>
      </x:c>
      <x:c r="C2249" s="8" t="n">
        <x:v>27</x:v>
      </x:c>
      <x:c r="D2249" s="9" t="n">
        <x:v>15.5</x:v>
      </x:c>
      <x:c r="E2249" s="9" t="n">
        <x:v>7.9</x:v>
      </x:c>
      <x:c r="F2249" s="8" t="n">
        <x:f>C2249*D2249</x:f>
        <x:v>418.5</x:v>
      </x:c>
      <x:c r="G2249" s="8" t="n">
        <x:f>C2249*E2249</x:f>
        <x:v>213.3</x:v>
      </x:c>
      <x:c r="H2249" s="8" t="n">
        <x:f>F2249-G2249</x:f>
        <x:v>205.2</x:v>
      </x:c>
      <x:c r="I2249" s="10" t="n">
        <x:f>H2249/F2249</x:f>
        <x:v>0.49032258064516127</x:v>
      </x:c>
    </x:row>
    <x:row r="2250" ht="22" customHeight="1">
      <x:c r="A2250" s="11" t="str">
        <x:v>775</x:v>
      </x:c>
      <x:c r="B2250" s="8" t="str">
        <x:v>Contoso Smart Battery M901 Blue</x:v>
      </x:c>
      <x:c r="C2250" s="8" t="n">
        <x:v>5</x:v>
      </x:c>
      <x:c r="D2250" s="9" t="n">
        <x:v>11.5</x:v>
      </x:c>
      <x:c r="E2250" s="9" t="n">
        <x:v>5.29</x:v>
      </x:c>
      <x:c r="F2250" s="8" t="n">
        <x:f>C2250*D2250</x:f>
        <x:v>57.5</x:v>
      </x:c>
      <x:c r="G2250" s="8" t="n">
        <x:f>C2250*E2250</x:f>
        <x:v>26.45</x:v>
      </x:c>
      <x:c r="H2250" s="8" t="n">
        <x:f>F2250-G2250</x:f>
        <x:v>31.05</x:v>
      </x:c>
      <x:c r="I2250" s="10" t="n">
        <x:f>H2250/F2250</x:f>
        <x:v>0.54</x:v>
      </x:c>
    </x:row>
    <x:row r="2251" ht="22" customHeight="1">
      <x:c r="A2251" s="11" t="str">
        <x:v>776</x:v>
      </x:c>
      <x:c r="B2251" s="8" t="str">
        <x:v>Contoso Digital Camera Accessory kit M200 Blue</x:v>
      </x:c>
      <x:c r="C2251" s="8" t="n">
        <x:v>28</x:v>
      </x:c>
      <x:c r="D2251" s="9" t="n">
        <x:v>23.9</x:v>
      </x:c>
      <x:c r="E2251" s="9" t="n">
        <x:v>10.99</x:v>
      </x:c>
      <x:c r="F2251" s="8" t="n">
        <x:f>C2251*D2251</x:f>
        <x:v>669.1999999999999</x:v>
      </x:c>
      <x:c r="G2251" s="8" t="n">
        <x:f>C2251*E2251</x:f>
        <x:v>307.72</x:v>
      </x:c>
      <x:c r="H2251" s="8" t="n">
        <x:f>F2251-G2251</x:f>
        <x:v>361.4799999999999</x:v>
      </x:c>
      <x:c r="I2251" s="10" t="n">
        <x:f>H2251/F2251</x:f>
        <x:v>0.5401673640167363</x:v>
      </x:c>
    </x:row>
    <x:row r="2252" ht="22" customHeight="1">
      <x:c r="A2252" s="11" t="str">
        <x:v>777</x:v>
      </x:c>
      <x:c r="B2252" s="8" t="str">
        <x:v>Contoso Reserve Pen -Tablet Pen E200 Blue</x:v>
      </x:c>
      <x:c r="C2252" s="8" t="n">
        <x:v>30</x:v>
      </x:c>
      <x:c r="D2252" s="9" t="n">
        <x:v>13.9</x:v>
      </x:c>
      <x:c r="E2252" s="9" t="n">
        <x:v>7.09</x:v>
      </x:c>
      <x:c r="F2252" s="8" t="n">
        <x:f>C2252*D2252</x:f>
        <x:v>417</x:v>
      </x:c>
      <x:c r="G2252" s="8" t="n">
        <x:f>C2252*E2252</x:f>
        <x:v>212.7</x:v>
      </x:c>
      <x:c r="H2252" s="8" t="n">
        <x:f>F2252-G2252</x:f>
        <x:v>204.3</x:v>
      </x:c>
      <x:c r="I2252" s="10" t="n">
        <x:f>H2252/F2252</x:f>
        <x:v>0.48992805755395685</x:v>
      </x:c>
    </x:row>
    <x:row r="2253" ht="22" customHeight="1">
      <x:c r="A2253" s="11" t="str">
        <x:v>778</x:v>
      </x:c>
      <x:c r="B2253" s="8" t="str">
        <x:v>Contoso Rechargeable Battery E100 White</x:v>
      </x:c>
      <x:c r="C2253" s="8" t="n">
        <x:v>43</x:v>
      </x:c>
      <x:c r="D2253" s="9" t="n">
        <x:v>12.95</x:v>
      </x:c>
      <x:c r="E2253" s="9" t="n">
        <x:v>6.6</x:v>
      </x:c>
      <x:c r="F2253" s="8" t="n">
        <x:f>C2253*D2253</x:f>
        <x:v>556.85</x:v>
      </x:c>
      <x:c r="G2253" s="8" t="n">
        <x:f>C2253*E2253</x:f>
        <x:v>283.8</x:v>
      </x:c>
      <x:c r="H2253" s="8" t="n">
        <x:f>F2253-G2253</x:f>
        <x:v>273.05</x:v>
      </x:c>
      <x:c r="I2253" s="10" t="n">
        <x:f>H2253/F2253</x:f>
        <x:v>0.49034749034749037</x:v>
      </x:c>
    </x:row>
    <x:row r="2254" ht="22" customHeight="1">
      <x:c r="A2254" s="11" t="str">
        <x:v>779</x:v>
      </x:c>
      <x:c r="B2254" s="8" t="str">
        <x:v>Contoso Dual USB Power Adapter - power adapter E300 White</x:v>
      </x:c>
      <x:c r="C2254" s="8" t="n">
        <x:v>16</x:v>
      </x:c>
      <x:c r="D2254" s="9" t="n">
        <x:v>39.9</x:v>
      </x:c>
      <x:c r="E2254" s="9" t="n">
        <x:v>20.34</x:v>
      </x:c>
      <x:c r="F2254" s="8" t="n">
        <x:f>C2254*D2254</x:f>
        <x:v>638.4</x:v>
      </x:c>
      <x:c r="G2254" s="8" t="n">
        <x:f>C2254*E2254</x:f>
        <x:v>325.44</x:v>
      </x:c>
      <x:c r="H2254" s="8" t="n">
        <x:f>F2254-G2254</x:f>
        <x:v>312.96</x:v>
      </x:c>
      <x:c r="I2254" s="10" t="n">
        <x:f>H2254/F2254</x:f>
        <x:v>0.4902255639097744</x:v>
      </x:c>
    </x:row>
    <x:row r="2255" ht="22" customHeight="1">
      <x:c r="A2255" s="11" t="str">
        <x:v>78</x:v>
      </x:c>
      <x:c r="B2255" s="8" t="str">
        <x:v>NT Wireless Bluetooth Stereo Headphones E302 Silver</x:v>
      </x:c>
      <x:c r="C2255" s="8" t="n">
        <x:v>260</x:v>
      </x:c>
      <x:c r="D2255" s="9" t="n">
        <x:v>40.55</x:v>
      </x:c>
      <x:c r="E2255" s="9" t="n">
        <x:v>18.65</x:v>
      </x:c>
      <x:c r="F2255" s="8" t="n">
        <x:f>C2255*D2255</x:f>
        <x:v>10543</x:v>
      </x:c>
      <x:c r="G2255" s="8" t="n">
        <x:f>C2255*E2255</x:f>
        <x:v>4849</x:v>
      </x:c>
      <x:c r="H2255" s="8" t="n">
        <x:f>F2255-G2255</x:f>
        <x:v>5694</x:v>
      </x:c>
      <x:c r="I2255" s="10" t="n">
        <x:f>H2255/F2255</x:f>
        <x:v>0.5400739827373613</x:v>
      </x:c>
    </x:row>
    <x:row r="2256" ht="22" customHeight="1">
      <x:c r="A2256" s="11" t="str">
        <x:v>780</x:v>
      </x:c>
      <x:c r="B2256" s="8" t="str">
        <x:v>Contoso Car power adapter M90 White</x:v>
      </x:c>
      <x:c r="C2256" s="8" t="n">
        <x:v>24</x:v>
      </x:c>
      <x:c r="D2256" s="9" t="n">
        <x:v>19.95</x:v>
      </x:c>
      <x:c r="E2256" s="9" t="n">
        <x:v>9.17</x:v>
      </x:c>
      <x:c r="F2256" s="8" t="n">
        <x:f>C2256*D2256</x:f>
        <x:v>478.79999999999995</x:v>
      </x:c>
      <x:c r="G2256" s="8" t="n">
        <x:f>C2256*E2256</x:f>
        <x:v>220.07999999999998</x:v>
      </x:c>
      <x:c r="H2256" s="8" t="n">
        <x:f>F2256-G2256</x:f>
        <x:v>258.71999999999997</x:v>
      </x:c>
      <x:c r="I2256" s="10" t="n">
        <x:f>H2256/F2256</x:f>
        <x:v>0.5403508771929825</x:v>
      </x:c>
    </x:row>
    <x:row r="2257" ht="22" customHeight="1">
      <x:c r="A2257" s="11" t="str">
        <x:v>781</x:v>
      </x:c>
      <x:c r="B2257" s="8" t="str">
        <x:v>Contoso Notebook Peripheral Kit M69 White</x:v>
      </x:c>
      <x:c r="C2257" s="8" t="n">
        <x:v>19</x:v>
      </x:c>
      <x:c r="D2257" s="9" t="n">
        <x:v>16.5</x:v>
      </x:c>
      <x:c r="E2257" s="9" t="n">
        <x:v>7.59</x:v>
      </x:c>
      <x:c r="F2257" s="8" t="n">
        <x:f>C2257*D2257</x:f>
        <x:v>313.5</x:v>
      </x:c>
      <x:c r="G2257" s="8" t="n">
        <x:f>C2257*E2257</x:f>
        <x:v>144.21</x:v>
      </x:c>
      <x:c r="H2257" s="8" t="n">
        <x:f>F2257-G2257</x:f>
        <x:v>169.29</x:v>
      </x:c>
      <x:c r="I2257" s="10" t="n">
        <x:f>H2257/F2257</x:f>
        <x:v>0.5399999999999999</x:v>
      </x:c>
    </x:row>
    <x:row r="2258" ht="22" customHeight="1">
      <x:c r="A2258" s="11" t="str">
        <x:v>782</x:v>
      </x:c>
      <x:c r="B2258" s="8" t="str">
        <x:v>Contoso Mouse Lock Bundle E200 White</x:v>
      </x:c>
      <x:c r="C2258" s="8" t="n">
        <x:v>15</x:v>
      </x:c>
      <x:c r="D2258" s="9" t="n">
        <x:v>12.95</x:v>
      </x:c>
      <x:c r="E2258" s="9" t="n">
        <x:v>6.6</x:v>
      </x:c>
      <x:c r="F2258" s="8" t="n">
        <x:f>C2258*D2258</x:f>
        <x:v>194.25</x:v>
      </x:c>
      <x:c r="G2258" s="8" t="n">
        <x:f>C2258*E2258</x:f>
        <x:v>99</x:v>
      </x:c>
      <x:c r="H2258" s="8" t="n">
        <x:f>F2258-G2258</x:f>
        <x:v>95.25</x:v>
      </x:c>
      <x:c r="I2258" s="10" t="n">
        <x:f>H2258/F2258</x:f>
        <x:v>0.49034749034749037</x:v>
      </x:c>
    </x:row>
    <x:row r="2259" ht="22" customHeight="1">
      <x:c r="A2259" s="11" t="str">
        <x:v>783</x:v>
      </x:c>
      <x:c r="B2259" s="8" t="str">
        <x:v>Contoso Education Supplies Bundle E200 White</x:v>
      </x:c>
      <x:c r="C2259" s="8" t="n">
        <x:v>29</x:v>
      </x:c>
      <x:c r="D2259" s="9" t="n">
        <x:v>13.5</x:v>
      </x:c>
      <x:c r="E2259" s="9" t="n">
        <x:v>6.88</x:v>
      </x:c>
      <x:c r="F2259" s="8" t="n">
        <x:f>C2259*D2259</x:f>
        <x:v>391.5</x:v>
      </x:c>
      <x:c r="G2259" s="8" t="n">
        <x:f>C2259*E2259</x:f>
        <x:v>199.52</x:v>
      </x:c>
      <x:c r="H2259" s="8" t="n">
        <x:f>F2259-G2259</x:f>
        <x:v>191.98</x:v>
      </x:c>
      <x:c r="I2259" s="10" t="n">
        <x:f>H2259/F2259</x:f>
        <x:v>0.49037037037037035</x:v>
      </x:c>
    </x:row>
    <x:row r="2260" ht="22" customHeight="1">
      <x:c r="A2260" s="11" t="str">
        <x:v>784</x:v>
      </x:c>
      <x:c r="B2260" s="8" t="str">
        <x:v>Contoso Laptop Starter Bundle M200 White</x:v>
      </x:c>
      <x:c r="C2260" s="8" t="n">
        <x:v>36</x:v>
      </x:c>
      <x:c r="D2260" s="9" t="n">
        <x:v>16.5</x:v>
      </x:c>
      <x:c r="E2260" s="9" t="n">
        <x:v>7.59</x:v>
      </x:c>
      <x:c r="F2260" s="8" t="n">
        <x:f>C2260*D2260</x:f>
        <x:v>594</x:v>
      </x:c>
      <x:c r="G2260" s="8" t="n">
        <x:f>C2260*E2260</x:f>
        <x:v>273.24</x:v>
      </x:c>
      <x:c r="H2260" s="8" t="n">
        <x:f>F2260-G2260</x:f>
        <x:v>320.76</x:v>
      </x:c>
      <x:c r="I2260" s="10" t="n">
        <x:f>H2260/F2260</x:f>
        <x:v>0.54</x:v>
      </x:c>
    </x:row>
    <x:row r="2261" ht="22" customHeight="1">
      <x:c r="A2261" s="11" t="str">
        <x:v>785</x:v>
      </x:c>
      <x:c r="B2261" s="8" t="str">
        <x:v>Contoso Education Essentials Bundle M300 White</x:v>
      </x:c>
      <x:c r="C2261" s="8" t="n">
        <x:v>18</x:v>
      </x:c>
      <x:c r="D2261" s="9" t="n">
        <x:v>9.5</x:v>
      </x:c>
      <x:c r="E2261" s="9" t="n">
        <x:v>4.37</x:v>
      </x:c>
      <x:c r="F2261" s="8" t="n">
        <x:f>C2261*D2261</x:f>
        <x:v>171</x:v>
      </x:c>
      <x:c r="G2261" s="8" t="n">
        <x:f>C2261*E2261</x:f>
        <x:v>78.66</x:v>
      </x:c>
      <x:c r="H2261" s="8" t="n">
        <x:f>F2261-G2261</x:f>
        <x:v>92.34</x:v>
      </x:c>
      <x:c r="I2261" s="10" t="n">
        <x:f>H2261/F2261</x:f>
        <x:v>0.54</x:v>
      </x:c>
    </x:row>
    <x:row r="2262" ht="22" customHeight="1">
      <x:c r="A2262" s="11" t="str">
        <x:v>786</x:v>
      </x:c>
      <x:c r="B2262" s="8" t="str">
        <x:v>Contoso Desktop Alternative Bundle E200 White</x:v>
      </x:c>
      <x:c r="C2262" s="8" t="n">
        <x:v>19</x:v>
      </x:c>
      <x:c r="D2262" s="9" t="n">
        <x:v>11.5</x:v>
      </x:c>
      <x:c r="E2262" s="9" t="n">
        <x:v>5.86</x:v>
      </x:c>
      <x:c r="F2262" s="8" t="n">
        <x:f>C2262*D2262</x:f>
        <x:v>218.5</x:v>
      </x:c>
      <x:c r="G2262" s="8" t="n">
        <x:f>C2262*E2262</x:f>
        <x:v>111.34</x:v>
      </x:c>
      <x:c r="H2262" s="8" t="n">
        <x:f>F2262-G2262</x:f>
        <x:v>107.16</x:v>
      </x:c>
      <x:c r="I2262" s="10" t="n">
        <x:f>H2262/F2262</x:f>
        <x:v>0.49043478260869566</x:v>
      </x:c>
    </x:row>
    <x:row r="2263" ht="22" customHeight="1">
      <x:c r="A2263" s="11" t="str">
        <x:v>787</x:v>
      </x:c>
      <x:c r="B2263" s="8" t="str">
        <x:v>Contoso Power Inverter - DC to AC power inverter E900 White</x:v>
      </x:c>
      <x:c r="C2263" s="8" t="n">
        <x:v>26</x:v>
      </x:c>
      <x:c r="D2263" s="9" t="n">
        <x:v>9.5</x:v>
      </x:c>
      <x:c r="E2263" s="9" t="n">
        <x:v>4.84</x:v>
      </x:c>
      <x:c r="F2263" s="8" t="n">
        <x:f>C2263*D2263</x:f>
        <x:v>247</x:v>
      </x:c>
      <x:c r="G2263" s="8" t="n">
        <x:f>C2263*E2263</x:f>
        <x:v>125.84</x:v>
      </x:c>
      <x:c r="H2263" s="8" t="n">
        <x:f>F2263-G2263</x:f>
        <x:v>121.16</x:v>
      </x:c>
      <x:c r="I2263" s="10" t="n">
        <x:f>H2263/F2263</x:f>
        <x:v>0.49052631578947364</x:v>
      </x:c>
    </x:row>
    <x:row r="2264" ht="22" customHeight="1">
      <x:c r="A2264" s="11" t="str">
        <x:v>788</x:v>
      </x:c>
      <x:c r="B2264" s="8" t="str">
        <x:v>Contoso Smart Battery M901 White</x:v>
      </x:c>
      <x:c r="C2264" s="8" t="n">
        <x:v>7</x:v>
      </x:c>
      <x:c r="D2264" s="9" t="n">
        <x:v>11.5</x:v>
      </x:c>
      <x:c r="E2264" s="9" t="n">
        <x:v>5.29</x:v>
      </x:c>
      <x:c r="F2264" s="8" t="n">
        <x:f>C2264*D2264</x:f>
        <x:v>80.5</x:v>
      </x:c>
      <x:c r="G2264" s="8" t="n">
        <x:f>C2264*E2264</x:f>
        <x:v>37.03</x:v>
      </x:c>
      <x:c r="H2264" s="8" t="n">
        <x:f>F2264-G2264</x:f>
        <x:v>43.47</x:v>
      </x:c>
      <x:c r="I2264" s="10" t="n">
        <x:f>H2264/F2264</x:f>
        <x:v>0.54</x:v>
      </x:c>
    </x:row>
    <x:row r="2265" ht="22" customHeight="1">
      <x:c r="A2265" s="11" t="str">
        <x:v>789</x:v>
      </x:c>
      <x:c r="B2265" s="8" t="str">
        <x:v>Contoso Laptop Cooling Hub notebook fan with 4 ports USB hub E80 White</x:v>
      </x:c>
      <x:c r="C2265" s="8" t="n">
        <x:v>23</x:v>
      </x:c>
      <x:c r="D2265" s="9" t="n">
        <x:v>29.9</x:v>
      </x:c>
      <x:c r="E2265" s="9" t="n">
        <x:v>15.24</x:v>
      </x:c>
      <x:c r="F2265" s="8" t="n">
        <x:f>C2265*D2265</x:f>
        <x:v>687.6999999999999</x:v>
      </x:c>
      <x:c r="G2265" s="8" t="n">
        <x:f>C2265*E2265</x:f>
        <x:v>350.52</x:v>
      </x:c>
      <x:c r="H2265" s="8" t="n">
        <x:f>F2265-G2265</x:f>
        <x:v>337.17999999999995</x:v>
      </x:c>
      <x:c r="I2265" s="10" t="n">
        <x:f>H2265/F2265</x:f>
        <x:v>0.49030100334448157</x:v>
      </x:c>
    </x:row>
    <x:row r="2266" ht="22" customHeight="1">
      <x:c r="A2266" s="11" t="str">
        <x:v>79</x:v>
      </x:c>
      <x:c r="B2266" s="8" t="str">
        <x:v>NT Wireless Bluetooth Stereo Headphones E302 White</x:v>
      </x:c>
      <x:c r="C2266" s="8" t="n">
        <x:v>253</x:v>
      </x:c>
      <x:c r="D2266" s="9" t="n">
        <x:v>40.55</x:v>
      </x:c>
      <x:c r="E2266" s="9" t="n">
        <x:v>18.65</x:v>
      </x:c>
      <x:c r="F2266" s="8" t="n">
        <x:f>C2266*D2266</x:f>
        <x:v>10259.15</x:v>
      </x:c>
      <x:c r="G2266" s="8" t="n">
        <x:f>C2266*E2266</x:f>
        <x:v>4718.45</x:v>
      </x:c>
      <x:c r="H2266" s="8" t="n">
        <x:f>F2266-G2266</x:f>
        <x:v>5540.7</x:v>
      </x:c>
      <x:c r="I2266" s="10" t="n">
        <x:f>H2266/F2266</x:f>
        <x:v>0.5400739827373613</x:v>
      </x:c>
    </x:row>
    <x:row r="2267" ht="22" customHeight="1">
      <x:c r="A2267" s="11" t="str">
        <x:v>790</x:v>
      </x:c>
      <x:c r="B2267" s="8" t="str">
        <x:v>Contoso Home/Office Laptop Power Adapter E300 White</x:v>
      </x:c>
      <x:c r="C2267" s="8" t="n">
        <x:v>26</x:v>
      </x:c>
      <x:c r="D2267" s="9" t="n">
        <x:v>25.5</x:v>
      </x:c>
      <x:c r="E2267" s="9" t="n">
        <x:v>13</x:v>
      </x:c>
      <x:c r="F2267" s="8" t="n">
        <x:f>C2267*D2267</x:f>
        <x:v>663</x:v>
      </x:c>
      <x:c r="G2267" s="8" t="n">
        <x:f>C2267*E2267</x:f>
        <x:v>338</x:v>
      </x:c>
      <x:c r="H2267" s="8" t="n">
        <x:f>F2267-G2267</x:f>
        <x:v>325</x:v>
      </x:c>
      <x:c r="I2267" s="10" t="n">
        <x:f>H2267/F2267</x:f>
        <x:v>0.49019607843137253</x:v>
      </x:c>
    </x:row>
    <x:row r="2268" ht="22" customHeight="1">
      <x:c r="A2268" s="11" t="str">
        <x:v>791</x:v>
      </x:c>
      <x:c r="B2268" s="8" t="str">
        <x:v>Contoso USB 2.0 Dock Station docking station M800 White</x:v>
      </x:c>
      <x:c r="C2268" s="8" t="n">
        <x:v>41</x:v>
      </x:c>
      <x:c r="D2268" s="9" t="n">
        <x:v>29.9</x:v>
      </x:c>
      <x:c r="E2268" s="9" t="n">
        <x:v>13.75</x:v>
      </x:c>
      <x:c r="F2268" s="8" t="n">
        <x:f>C2268*D2268</x:f>
        <x:v>1225.8999999999999</x:v>
      </x:c>
      <x:c r="G2268" s="8" t="n">
        <x:f>C2268*E2268</x:f>
        <x:v>563.75</x:v>
      </x:c>
      <x:c r="H2268" s="8" t="n">
        <x:f>F2268-G2268</x:f>
        <x:v>662.1499999999999</x:v>
      </x:c>
      <x:c r="I2268" s="10" t="n">
        <x:f>H2268/F2268</x:f>
        <x:v>0.540133779264214</x:v>
      </x:c>
    </x:row>
    <x:row r="2269" ht="22" customHeight="1">
      <x:c r="A2269" s="11" t="str">
        <x:v>792</x:v>
      </x:c>
      <x:c r="B2269" s="8" t="str">
        <x:v>Contoso Enhanced Capacity Battery M800 White</x:v>
      </x:c>
      <x:c r="C2269" s="8" t="n">
        <x:v>30</x:v>
      </x:c>
      <x:c r="D2269" s="9" t="n">
        <x:v>27.9</x:v>
      </x:c>
      <x:c r="E2269" s="9" t="n">
        <x:v>12.83</x:v>
      </x:c>
      <x:c r="F2269" s="8" t="n">
        <x:f>C2269*D2269</x:f>
        <x:v>837</x:v>
      </x:c>
      <x:c r="G2269" s="8" t="n">
        <x:f>C2269*E2269</x:f>
        <x:v>384.9</x:v>
      </x:c>
      <x:c r="H2269" s="8" t="n">
        <x:f>F2269-G2269</x:f>
        <x:v>452.1</x:v>
      </x:c>
      <x:c r="I2269" s="10" t="n">
        <x:f>H2269/F2269</x:f>
        <x:v>0.5401433691756272</x:v>
      </x:c>
    </x:row>
    <x:row r="2270" ht="22" customHeight="1">
      <x:c r="A2270" s="11" t="str">
        <x:v>793</x:v>
      </x:c>
      <x:c r="B2270" s="8" t="str">
        <x:v>Contoso Connectivity Starter Kit Smart Buy M680 White</x:v>
      </x:c>
      <x:c r="C2270" s="8" t="n">
        <x:v>24</x:v>
      </x:c>
      <x:c r="D2270" s="9" t="n">
        <x:v>27.9</x:v>
      </x:c>
      <x:c r="E2270" s="9" t="n">
        <x:v>12.83</x:v>
      </x:c>
      <x:c r="F2270" s="8" t="n">
        <x:f>C2270*D2270</x:f>
        <x:v>669.5999999999999</x:v>
      </x:c>
      <x:c r="G2270" s="8" t="n">
        <x:f>C2270*E2270</x:f>
        <x:v>307.92</x:v>
      </x:c>
      <x:c r="H2270" s="8" t="n">
        <x:f>F2270-G2270</x:f>
        <x:v>361.6799999999999</x:v>
      </x:c>
      <x:c r="I2270" s="10" t="n">
        <x:f>H2270/F2270</x:f>
        <x:v>0.5401433691756271</x:v>
      </x:c>
    </x:row>
    <x:row r="2271" ht="22" customHeight="1">
      <x:c r="A2271" s="11" t="str">
        <x:v>794</x:v>
      </x:c>
      <x:c r="B2271" s="8" t="str">
        <x:v>Contoso 90W AC/DC Power Adapter E300 White</x:v>
      </x:c>
      <x:c r="C2271" s="8" t="n">
        <x:v>31</x:v>
      </x:c>
      <x:c r="D2271" s="9" t="n">
        <x:v>11.9</x:v>
      </x:c>
      <x:c r="E2271" s="9" t="n">
        <x:v>6.07</x:v>
      </x:c>
      <x:c r="F2271" s="8" t="n">
        <x:f>C2271*D2271</x:f>
        <x:v>368.90000000000003</x:v>
      </x:c>
      <x:c r="G2271" s="8" t="n">
        <x:f>C2271*E2271</x:f>
        <x:v>188.17000000000002</x:v>
      </x:c>
      <x:c r="H2271" s="8" t="n">
        <x:f>F2271-G2271</x:f>
        <x:v>180.73000000000002</x:v>
      </x:c>
      <x:c r="I2271" s="10" t="n">
        <x:f>H2271/F2271</x:f>
        <x:v>0.4899159663865546</x:v>
      </x:c>
    </x:row>
    <x:row r="2272" ht="22" customHeight="1">
      <x:c r="A2272" s="11" t="str">
        <x:v>795</x:v>
      </x:c>
      <x:c r="B2272" s="8" t="str">
        <x:v>Contoso Reserve Pen - Tablet Pen E200 White</x:v>
      </x:c>
      <x:c r="C2272" s="8" t="n">
        <x:v>27</x:v>
      </x:c>
      <x:c r="D2272" s="9" t="n">
        <x:v>13.9</x:v>
      </x:c>
      <x:c r="E2272" s="9" t="n">
        <x:v>7.09</x:v>
      </x:c>
      <x:c r="F2272" s="8" t="n">
        <x:f>C2272*D2272</x:f>
        <x:v>375.3</x:v>
      </x:c>
      <x:c r="G2272" s="8" t="n">
        <x:f>C2272*E2272</x:f>
        <x:v>191.43</x:v>
      </x:c>
      <x:c r="H2272" s="8" t="n">
        <x:f>F2272-G2272</x:f>
        <x:v>183.87</x:v>
      </x:c>
      <x:c r="I2272" s="10" t="n">
        <x:f>H2272/F2272</x:f>
        <x:v>0.48992805755395685</x:v>
      </x:c>
    </x:row>
    <x:row r="2273" ht="22" customHeight="1">
      <x:c r="A2273" s="11" t="str">
        <x:v>796</x:v>
      </x:c>
      <x:c r="B2273" s="8" t="str">
        <x:v>Contoso USB Data Link - direct connect adapter E600 White</x:v>
      </x:c>
      <x:c r="C2273" s="8" t="n">
        <x:v>28</x:v>
      </x:c>
      <x:c r="D2273" s="9" t="n">
        <x:v>16.9</x:v>
      </x:c>
      <x:c r="E2273" s="9" t="n">
        <x:v>8.62</x:v>
      </x:c>
      <x:c r="F2273" s="8" t="n">
        <x:f>C2273*D2273</x:f>
        <x:v>473.19999999999993</x:v>
      </x:c>
      <x:c r="G2273" s="8" t="n">
        <x:f>C2273*E2273</x:f>
        <x:v>241.35999999999999</x:v>
      </x:c>
      <x:c r="H2273" s="8" t="n">
        <x:f>F2273-G2273</x:f>
        <x:v>231.83999999999995</x:v>
      </x:c>
      <x:c r="I2273" s="10" t="n">
        <x:f>H2273/F2273</x:f>
        <x:v>0.4899408284023668</x:v>
      </x:c>
    </x:row>
    <x:row r="2274" ht="22" customHeight="1">
      <x:c r="A2274" s="11" t="str">
        <x:v>797</x:v>
      </x:c>
      <x:c r="B2274" s="8" t="str">
        <x:v>Contoso Primary Extended Capacity Battery Pack - notebook battery X100 White</x:v>
      </x:c>
      <x:c r="C2274" s="8" t="n">
        <x:v>33</x:v>
      </x:c>
      <x:c r="D2274" s="9" t="n">
        <x:v>33.9</x:v>
      </x:c>
      <x:c r="E2274" s="9" t="n">
        <x:v>11.23</x:v>
      </x:c>
      <x:c r="F2274" s="8" t="n">
        <x:f>C2274*D2274</x:f>
        <x:v>1118.7</x:v>
      </x:c>
      <x:c r="G2274" s="8" t="n">
        <x:f>C2274*E2274</x:f>
        <x:v>370.59000000000003</x:v>
      </x:c>
      <x:c r="H2274" s="8" t="n">
        <x:f>F2274-G2274</x:f>
        <x:v>748.11</x:v>
      </x:c>
      <x:c r="I2274" s="10" t="n">
        <x:f>H2274/F2274</x:f>
        <x:v>0.6687315634218289</x:v>
      </x:c>
    </x:row>
    <x:row r="2275" ht="22" customHeight="1">
      <x:c r="A2275" s="11" t="str">
        <x:v>798</x:v>
      </x:c>
      <x:c r="B2275" s="8" t="str">
        <x:v>Contoso Digital camera accessory kit M200 White</x:v>
      </x:c>
      <x:c r="C2275" s="8" t="n">
        <x:v>14</x:v>
      </x:c>
      <x:c r="D2275" s="9" t="n">
        <x:v>23.9</x:v>
      </x:c>
      <x:c r="E2275" s="9" t="n">
        <x:v>10.99</x:v>
      </x:c>
      <x:c r="F2275" s="8" t="n">
        <x:f>C2275*D2275</x:f>
        <x:v>334.59999999999997</x:v>
      </x:c>
      <x:c r="G2275" s="8" t="n">
        <x:f>C2275*E2275</x:f>
        <x:v>153.86</x:v>
      </x:c>
      <x:c r="H2275" s="8" t="n">
        <x:f>F2275-G2275</x:f>
        <x:v>180.73999999999995</x:v>
      </x:c>
      <x:c r="I2275" s="10" t="n">
        <x:f>H2275/F2275</x:f>
        <x:v>0.5401673640167363</x:v>
      </x:c>
    </x:row>
    <x:row r="2276" ht="22" customHeight="1">
      <x:c r="A2276" s="11" t="str">
        <x:v>799</x:v>
      </x:c>
      <x:c r="B2276" s="8" t="str">
        <x:v>Contoso Leather Case - case for digital photo camera X20 White</x:v>
      </x:c>
      <x:c r="C2276" s="8" t="n">
        <x:v>24</x:v>
      </x:c>
      <x:c r="D2276" s="9" t="n">
        <x:v>39.9</x:v>
      </x:c>
      <x:c r="E2276" s="9" t="n">
        <x:v>13.22</x:v>
      </x:c>
      <x:c r="F2276" s="8" t="n">
        <x:f>C2276*D2276</x:f>
        <x:v>957.5999999999999</x:v>
      </x:c>
      <x:c r="G2276" s="8" t="n">
        <x:f>C2276*E2276</x:f>
        <x:v>317.28000000000003</x:v>
      </x:c>
      <x:c r="H2276" s="8" t="n">
        <x:f>F2276-G2276</x:f>
        <x:v>640.3199999999999</x:v>
      </x:c>
      <x:c r="I2276" s="10" t="n">
        <x:f>H2276/F2276</x:f>
        <x:v>0.668671679197995</x:v>
      </x:c>
    </x:row>
    <x:row r="2277" ht="22" customHeight="1">
      <x:c r="A2277" s="11" t="str">
        <x:v>8</x:v>
      </x:c>
      <x:c r="B2277" s="8" t="str">
        <x:v>Contoso 4G MP3 Player E400 Silver</x:v>
      </x:c>
      <x:c r="C2277" s="8" t="n">
        <x:v>55</x:v>
      </x:c>
      <x:c r="D2277" s="9" t="n">
        <x:v>59.99</x:v>
      </x:c>
      <x:c r="E2277" s="9" t="n">
        <x:v>30.58</x:v>
      </x:c>
      <x:c r="F2277" s="8" t="n">
        <x:f>C2277*D2277</x:f>
        <x:v>3299.4500000000003</x:v>
      </x:c>
      <x:c r="G2277" s="8" t="n">
        <x:f>C2277*E2277</x:f>
        <x:v>1681.8999999999999</x:v>
      </x:c>
      <x:c r="H2277" s="8" t="n">
        <x:f>F2277-G2277</x:f>
        <x:v>1617.5500000000004</x:v>
      </x:c>
      <x:c r="I2277" s="10" t="n">
        <x:f>H2277/F2277</x:f>
        <x:v>0.4902483747291216</x:v>
      </x:c>
    </x:row>
    <x:row r="2278" ht="22" customHeight="1">
      <x:c r="A2278" s="11" t="str">
        <x:v>80</x:v>
      </x:c>
      <x:c r="B2278" s="8" t="str">
        <x:v>NT Wireless Bluetooth Stereo Headphones E302 Yellow</x:v>
      </x:c>
      <x:c r="C2278" s="8" t="n">
        <x:v>273</x:v>
      </x:c>
      <x:c r="D2278" s="9" t="n">
        <x:v>40.55</x:v>
      </x:c>
      <x:c r="E2278" s="9" t="n">
        <x:v>18.65</x:v>
      </x:c>
      <x:c r="F2278" s="8" t="n">
        <x:f>C2278*D2278</x:f>
        <x:v>11070.15</x:v>
      </x:c>
      <x:c r="G2278" s="8" t="n">
        <x:f>C2278*E2278</x:f>
        <x:v>5091.45</x:v>
      </x:c>
      <x:c r="H2278" s="8" t="n">
        <x:f>F2278-G2278</x:f>
        <x:v>5978.7</x:v>
      </x:c>
      <x:c r="I2278" s="10" t="n">
        <x:f>H2278/F2278</x:f>
        <x:v>0.5400739827373613</x:v>
      </x:c>
    </x:row>
    <x:row r="2279" ht="22" customHeight="1">
      <x:c r="A2279" s="11" t="str">
        <x:v>800</x:v>
      </x:c>
      <x:c r="B2279" s="8" t="str">
        <x:v>Contoso Lens cap E80 White</x:v>
      </x:c>
      <x:c r="C2279" s="8" t="n">
        <x:v>29</x:v>
      </x:c>
      <x:c r="D2279" s="9" t="n">
        <x:v>29.95</x:v>
      </x:c>
      <x:c r="E2279" s="9" t="n">
        <x:v>15.27</x:v>
      </x:c>
      <x:c r="F2279" s="8" t="n">
        <x:f>C2279*D2279</x:f>
        <x:v>868.55</x:v>
      </x:c>
      <x:c r="G2279" s="8" t="n">
        <x:f>C2279*E2279</x:f>
        <x:v>442.83</x:v>
      </x:c>
      <x:c r="H2279" s="8" t="n">
        <x:f>F2279-G2279</x:f>
        <x:v>425.71999999999997</x:v>
      </x:c>
      <x:c r="I2279" s="10" t="n">
        <x:f>H2279/F2279</x:f>
        <x:v>0.49015025041736227</x:v>
      </x:c>
    </x:row>
    <x:row r="2280" ht="22" customHeight="1">
      <x:c r="A2280" s="11" t="str">
        <x:v>801</x:v>
      </x:c>
      <x:c r="B2280" s="8" t="str">
        <x:v>Contoso Battery charger - bike E200 White</x:v>
      </x:c>
      <x:c r="C2280" s="8" t="n">
        <x:v>18</x:v>
      </x:c>
      <x:c r="D2280" s="9" t="n">
        <x:v>19.9</x:v>
      </x:c>
      <x:c r="E2280" s="9" t="n">
        <x:v>10.15</x:v>
      </x:c>
      <x:c r="F2280" s="8" t="n">
        <x:f>C2280*D2280</x:f>
        <x:v>358.2</x:v>
      </x:c>
      <x:c r="G2280" s="8" t="n">
        <x:f>C2280*E2280</x:f>
        <x:v>182.70000000000002</x:v>
      </x:c>
      <x:c r="H2280" s="8" t="n">
        <x:f>F2280-G2280</x:f>
        <x:v>175.49999999999997</x:v>
      </x:c>
      <x:c r="I2280" s="10" t="n">
        <x:f>H2280/F2280</x:f>
        <x:v>0.48994974874371855</x:v>
      </x:c>
    </x:row>
    <x:row r="2281" ht="22" customHeight="1">
      <x:c r="A2281" s="11" t="str">
        <x:v>802</x:v>
      </x:c>
      <x:c r="B2281" s="8" t="str">
        <x:v>Contoso USB Optical Mouse E200 White</x:v>
      </x:c>
      <x:c r="C2281" s="8" t="n">
        <x:v>37</x:v>
      </x:c>
      <x:c r="D2281" s="9" t="n">
        <x:v>15.5</x:v>
      </x:c>
      <x:c r="E2281" s="9" t="n">
        <x:v>7.9</x:v>
      </x:c>
      <x:c r="F2281" s="8" t="n">
        <x:f>C2281*D2281</x:f>
        <x:v>573.5</x:v>
      </x:c>
      <x:c r="G2281" s="8" t="n">
        <x:f>C2281*E2281</x:f>
        <x:v>292.3</x:v>
      </x:c>
      <x:c r="H2281" s="8" t="n">
        <x:f>F2281-G2281</x:f>
        <x:v>281.2</x:v>
      </x:c>
      <x:c r="I2281" s="10" t="n">
        <x:f>H2281/F2281</x:f>
        <x:v>0.49032258064516127</x:v>
      </x:c>
    </x:row>
    <x:row r="2282" ht="22" customHeight="1">
      <x:c r="A2282" s="11" t="str">
        <x:v>803</x:v>
      </x:c>
      <x:c r="B2282" s="8" t="str">
        <x:v>Contoso ADSL Modem Splitter/Filter X 1 E100 White</x:v>
      </x:c>
      <x:c r="C2282" s="8" t="n">
        <x:v>22</x:v>
      </x:c>
      <x:c r="D2282" s="9" t="n">
        <x:v>17.9</x:v>
      </x:c>
      <x:c r="E2282" s="9" t="n">
        <x:v>9.13</x:v>
      </x:c>
      <x:c r="F2282" s="8" t="n">
        <x:f>C2282*D2282</x:f>
        <x:v>393.79999999999995</x:v>
      </x:c>
      <x:c r="G2282" s="8" t="n">
        <x:f>C2282*E2282</x:f>
        <x:v>200.86</x:v>
      </x:c>
      <x:c r="H2282" s="8" t="n">
        <x:f>F2282-G2282</x:f>
        <x:v>192.93999999999994</x:v>
      </x:c>
      <x:c r="I2282" s="10" t="n">
        <x:f>H2282/F2282</x:f>
        <x:v>0.4899441340782122</x:v>
      </x:c>
    </x:row>
    <x:row r="2283" ht="22" customHeight="1">
      <x:c r="A2283" s="11" t="str">
        <x:v>804</x:v>
      </x:c>
      <x:c r="B2283" s="8" t="str">
        <x:v>Contoso ADSL Modem Splitter/Filter X 2 E200 White</x:v>
      </x:c>
      <x:c r="C2283" s="8" t="n">
        <x:v>16</x:v>
      </x:c>
      <x:c r="D2283" s="9" t="n">
        <x:v>22.9</x:v>
      </x:c>
      <x:c r="E2283" s="9" t="n">
        <x:v>11.68</x:v>
      </x:c>
      <x:c r="F2283" s="8" t="n">
        <x:f>C2283*D2283</x:f>
        <x:v>366.4</x:v>
      </x:c>
      <x:c r="G2283" s="8" t="n">
        <x:f>C2283*E2283</x:f>
        <x:v>186.88</x:v>
      </x:c>
      <x:c r="H2283" s="8" t="n">
        <x:f>F2283-G2283</x:f>
        <x:v>179.51999999999998</x:v>
      </x:c>
      <x:c r="I2283" s="10" t="n">
        <x:f>H2283/F2283</x:f>
        <x:v>0.48995633187772925</x:v>
      </x:c>
    </x:row>
    <x:row r="2284" ht="22" customHeight="1">
      <x:c r="A2284" s="11" t="str">
        <x:v>805</x:v>
      </x:c>
      <x:c r="B2284" s="8" t="str">
        <x:v>Contoso ADSL Modem Splitter/Filter X 3 E300 White</x:v>
      </x:c>
      <x:c r="C2284" s="8" t="n">
        <x:v>24</x:v>
      </x:c>
      <x:c r="D2284" s="9" t="n">
        <x:v>52.9</x:v>
      </x:c>
      <x:c r="E2284" s="9" t="n">
        <x:v>26.97</x:v>
      </x:c>
      <x:c r="F2284" s="8" t="n">
        <x:f>C2284*D2284</x:f>
        <x:v>1269.6</x:v>
      </x:c>
      <x:c r="G2284" s="8" t="n">
        <x:f>C2284*E2284</x:f>
        <x:v>647.28</x:v>
      </x:c>
      <x:c r="H2284" s="8" t="n">
        <x:f>F2284-G2284</x:f>
        <x:v>622.3199999999999</x:v>
      </x:c>
      <x:c r="I2284" s="10" t="n">
        <x:f>H2284/F2284</x:f>
        <x:v>0.4901701323251418</x:v>
      </x:c>
    </x:row>
    <x:row r="2285" ht="22" customHeight="1">
      <x:c r="A2285" s="11" t="str">
        <x:v>806</x:v>
      </x:c>
      <x:c r="B2285" s="8" t="str">
        <x:v>Contoso USB Wave Multi-media Keyboard E280 White</x:v>
      </x:c>
      <x:c r="C2285" s="8" t="n">
        <x:v>25</x:v>
      </x:c>
      <x:c r="D2285" s="9" t="n">
        <x:v>15.9</x:v>
      </x:c>
      <x:c r="E2285" s="9" t="n">
        <x:v>8.11</x:v>
      </x:c>
      <x:c r="F2285" s="8" t="n">
        <x:f>C2285*D2285</x:f>
        <x:v>397.5</x:v>
      </x:c>
      <x:c r="G2285" s="8" t="n">
        <x:f>C2285*E2285</x:f>
        <x:v>202.75</x:v>
      </x:c>
      <x:c r="H2285" s="8" t="n">
        <x:f>F2285-G2285</x:f>
        <x:v>194.75</x:v>
      </x:c>
      <x:c r="I2285" s="10" t="n">
        <x:f>H2285/F2285</x:f>
        <x:v>0.489937106918239</x:v>
      </x:c>
    </x:row>
    <x:row r="2286" ht="22" customHeight="1">
      <x:c r="A2286" s="11" t="str">
        <x:v>807</x:v>
      </x:c>
      <x:c r="B2286" s="8" t="str">
        <x:v>Contoso Cables To Go USB 2.0 Hard Drive Enclosure E920 White</x:v>
      </x:c>
      <x:c r="C2286" s="8" t="n">
        <x:v>50</x:v>
      </x:c>
      <x:c r="D2286" s="9" t="n">
        <x:v>11.9</x:v>
      </x:c>
      <x:c r="E2286" s="9" t="n">
        <x:v>6.07</x:v>
      </x:c>
      <x:c r="F2286" s="8" t="n">
        <x:f>C2286*D2286</x:f>
        <x:v>595</x:v>
      </x:c>
      <x:c r="G2286" s="8" t="n">
        <x:f>C2286*E2286</x:f>
        <x:v>303.5</x:v>
      </x:c>
      <x:c r="H2286" s="8" t="n">
        <x:f>F2286-G2286</x:f>
        <x:v>291.5</x:v>
      </x:c>
      <x:c r="I2286" s="10" t="n">
        <x:f>H2286/F2286</x:f>
        <x:v>0.4899159663865546</x:v>
      </x:c>
    </x:row>
    <x:row r="2287" ht="22" customHeight="1">
      <x:c r="A2287" s="11" t="str">
        <x:v>808</x:v>
      </x:c>
      <x:c r="B2287" s="8" t="str">
        <x:v>Contoso Rechargeable Battery E100 Grey</x:v>
      </x:c>
      <x:c r="C2287" s="8" t="n">
        <x:v>25</x:v>
      </x:c>
      <x:c r="D2287" s="9" t="n">
        <x:v>12.95</x:v>
      </x:c>
      <x:c r="E2287" s="9" t="n">
        <x:v>6.6</x:v>
      </x:c>
      <x:c r="F2287" s="8" t="n">
        <x:f>C2287*D2287</x:f>
        <x:v>323.75</x:v>
      </x:c>
      <x:c r="G2287" s="8" t="n">
        <x:f>C2287*E2287</x:f>
        <x:v>165</x:v>
      </x:c>
      <x:c r="H2287" s="8" t="n">
        <x:f>F2287-G2287</x:f>
        <x:v>158.75</x:v>
      </x:c>
      <x:c r="I2287" s="10" t="n">
        <x:f>H2287/F2287</x:f>
        <x:v>0.49034749034749037</x:v>
      </x:c>
    </x:row>
    <x:row r="2288" ht="22" customHeight="1">
      <x:c r="A2288" s="11" t="str">
        <x:v>809</x:v>
      </x:c>
      <x:c r="B2288" s="8" t="str">
        <x:v>Contoso Dual USB Power Adapter - power adapter E300 Grey</x:v>
      </x:c>
      <x:c r="C2288" s="8" t="n">
        <x:v>14</x:v>
      </x:c>
      <x:c r="D2288" s="9" t="n">
        <x:v>39.9</x:v>
      </x:c>
      <x:c r="E2288" s="9" t="n">
        <x:v>20.34</x:v>
      </x:c>
      <x:c r="F2288" s="8" t="n">
        <x:f>C2288*D2288</x:f>
        <x:v>558.6</x:v>
      </x:c>
      <x:c r="G2288" s="8" t="n">
        <x:f>C2288*E2288</x:f>
        <x:v>284.76</x:v>
      </x:c>
      <x:c r="H2288" s="8" t="n">
        <x:f>F2288-G2288</x:f>
        <x:v>273.84000000000003</x:v>
      </x:c>
      <x:c r="I2288" s="10" t="n">
        <x:f>H2288/F2288</x:f>
        <x:v>0.49022556390977445</x:v>
      </x:c>
    </x:row>
    <x:row r="2289" ht="22" customHeight="1">
      <x:c r="A2289" s="11" t="str">
        <x:v>81</x:v>
      </x:c>
      <x:c r="B2289" s="8" t="str">
        <x:v>NT Wireless Bluetooth Stereo Headphones E302 Black</x:v>
      </x:c>
      <x:c r="C2289" s="8" t="n">
        <x:v>289</x:v>
      </x:c>
      <x:c r="D2289" s="9" t="n">
        <x:v>40.55</x:v>
      </x:c>
      <x:c r="E2289" s="9" t="n">
        <x:v>18.65</x:v>
      </x:c>
      <x:c r="F2289" s="8" t="n">
        <x:f>C2289*D2289</x:f>
        <x:v>11718.949999999999</x:v>
      </x:c>
      <x:c r="G2289" s="8" t="n">
        <x:f>C2289*E2289</x:f>
        <x:v>5389.849999999999</x:v>
      </x:c>
      <x:c r="H2289" s="8" t="n">
        <x:f>F2289-G2289</x:f>
        <x:v>6329.099999999999</x:v>
      </x:c>
      <x:c r="I2289" s="10" t="n">
        <x:f>H2289/F2289</x:f>
        <x:v>0.5400739827373613</x:v>
      </x:c>
    </x:row>
    <x:row r="2290" ht="22" customHeight="1">
      <x:c r="A2290" s="11" t="str">
        <x:v>810</x:v>
      </x:c>
      <x:c r="B2290" s="8" t="str">
        <x:v>Contoso Car power adapter M90 Grey</x:v>
      </x:c>
      <x:c r="C2290" s="8" t="n">
        <x:v>30</x:v>
      </x:c>
      <x:c r="D2290" s="9" t="n">
        <x:v>19.95</x:v>
      </x:c>
      <x:c r="E2290" s="9" t="n">
        <x:v>9.17</x:v>
      </x:c>
      <x:c r="F2290" s="8" t="n">
        <x:f>C2290*D2290</x:f>
        <x:v>598.5</x:v>
      </x:c>
      <x:c r="G2290" s="8" t="n">
        <x:f>C2290*E2290</x:f>
        <x:v>275.1</x:v>
      </x:c>
      <x:c r="H2290" s="8" t="n">
        <x:f>F2290-G2290</x:f>
        <x:v>323.4</x:v>
      </x:c>
      <x:c r="I2290" s="10" t="n">
        <x:f>H2290/F2290</x:f>
        <x:v>0.5403508771929825</x:v>
      </x:c>
    </x:row>
    <x:row r="2291" ht="22" customHeight="1">
      <x:c r="A2291" s="11" t="str">
        <x:v>811</x:v>
      </x:c>
      <x:c r="B2291" s="8" t="str">
        <x:v>Contoso Notebook Peripheral Kit M69 Grey</x:v>
      </x:c>
      <x:c r="C2291" s="8" t="n">
        <x:v>12</x:v>
      </x:c>
      <x:c r="D2291" s="9" t="n">
        <x:v>16.5</x:v>
      </x:c>
      <x:c r="E2291" s="9" t="n">
        <x:v>7.59</x:v>
      </x:c>
      <x:c r="F2291" s="8" t="n">
        <x:f>C2291*D2291</x:f>
        <x:v>198</x:v>
      </x:c>
      <x:c r="G2291" s="8" t="n">
        <x:f>C2291*E2291</x:f>
        <x:v>91.08</x:v>
      </x:c>
      <x:c r="H2291" s="8" t="n">
        <x:f>F2291-G2291</x:f>
        <x:v>106.92</x:v>
      </x:c>
      <x:c r="I2291" s="10" t="n">
        <x:f>H2291/F2291</x:f>
        <x:v>0.54</x:v>
      </x:c>
    </x:row>
    <x:row r="2292" ht="22" customHeight="1">
      <x:c r="A2292" s="11" t="str">
        <x:v>812</x:v>
      </x:c>
      <x:c r="B2292" s="8" t="str">
        <x:v>Contoso Mouse Lock Bundle E200 Grey</x:v>
      </x:c>
      <x:c r="C2292" s="8" t="n">
        <x:v>42</x:v>
      </x:c>
      <x:c r="D2292" s="9" t="n">
        <x:v>12.95</x:v>
      </x:c>
      <x:c r="E2292" s="9" t="n">
        <x:v>6.6</x:v>
      </x:c>
      <x:c r="F2292" s="8" t="n">
        <x:f>C2292*D2292</x:f>
        <x:v>543.9</x:v>
      </x:c>
      <x:c r="G2292" s="8" t="n">
        <x:f>C2292*E2292</x:f>
        <x:v>277.2</x:v>
      </x:c>
      <x:c r="H2292" s="8" t="n">
        <x:f>F2292-G2292</x:f>
        <x:v>266.7</x:v>
      </x:c>
      <x:c r="I2292" s="10" t="n">
        <x:f>H2292/F2292</x:f>
        <x:v>0.49034749034749037</x:v>
      </x:c>
    </x:row>
    <x:row r="2293" ht="22" customHeight="1">
      <x:c r="A2293" s="11" t="str">
        <x:v>813</x:v>
      </x:c>
      <x:c r="B2293" s="8" t="str">
        <x:v>Contoso Education Supplies Bundle E200 Grey</x:v>
      </x:c>
      <x:c r="C2293" s="8" t="n">
        <x:v>15</x:v>
      </x:c>
      <x:c r="D2293" s="9" t="n">
        <x:v>13.5</x:v>
      </x:c>
      <x:c r="E2293" s="9" t="n">
        <x:v>6.88</x:v>
      </x:c>
      <x:c r="F2293" s="8" t="n">
        <x:f>C2293*D2293</x:f>
        <x:v>202.5</x:v>
      </x:c>
      <x:c r="G2293" s="8" t="n">
        <x:f>C2293*E2293</x:f>
        <x:v>103.2</x:v>
      </x:c>
      <x:c r="H2293" s="8" t="n">
        <x:f>F2293-G2293</x:f>
        <x:v>99.3</x:v>
      </x:c>
      <x:c r="I2293" s="10" t="n">
        <x:f>H2293/F2293</x:f>
        <x:v>0.49037037037037035</x:v>
      </x:c>
    </x:row>
    <x:row r="2294" ht="22" customHeight="1">
      <x:c r="A2294" s="11" t="str">
        <x:v>814</x:v>
      </x:c>
      <x:c r="B2294" s="8" t="str">
        <x:v>Contoso Laptop Starter Bundle M200 Grey</x:v>
      </x:c>
      <x:c r="C2294" s="8" t="n">
        <x:v>25</x:v>
      </x:c>
      <x:c r="D2294" s="9" t="n">
        <x:v>16.5</x:v>
      </x:c>
      <x:c r="E2294" s="9" t="n">
        <x:v>7.59</x:v>
      </x:c>
      <x:c r="F2294" s="8" t="n">
        <x:f>C2294*D2294</x:f>
        <x:v>412.5</x:v>
      </x:c>
      <x:c r="G2294" s="8" t="n">
        <x:f>C2294*E2294</x:f>
        <x:v>189.75</x:v>
      </x:c>
      <x:c r="H2294" s="8" t="n">
        <x:f>F2294-G2294</x:f>
        <x:v>222.75</x:v>
      </x:c>
      <x:c r="I2294" s="10" t="n">
        <x:f>H2294/F2294</x:f>
        <x:v>0.54</x:v>
      </x:c>
    </x:row>
    <x:row r="2295" ht="22" customHeight="1">
      <x:c r="A2295" s="11" t="str">
        <x:v>815</x:v>
      </x:c>
      <x:c r="B2295" s="8" t="str">
        <x:v>Contoso Education Essentials Bundle M300 Grey</x:v>
      </x:c>
      <x:c r="C2295" s="8" t="n">
        <x:v>31</x:v>
      </x:c>
      <x:c r="D2295" s="9" t="n">
        <x:v>9.5</x:v>
      </x:c>
      <x:c r="E2295" s="9" t="n">
        <x:v>4.37</x:v>
      </x:c>
      <x:c r="F2295" s="8" t="n">
        <x:f>C2295*D2295</x:f>
        <x:v>294.5</x:v>
      </x:c>
      <x:c r="G2295" s="8" t="n">
        <x:f>C2295*E2295</x:f>
        <x:v>135.47</x:v>
      </x:c>
      <x:c r="H2295" s="8" t="n">
        <x:f>F2295-G2295</x:f>
        <x:v>159.03</x:v>
      </x:c>
      <x:c r="I2295" s="10" t="n">
        <x:f>H2295/F2295</x:f>
        <x:v>0.54</x:v>
      </x:c>
    </x:row>
    <x:row r="2296" ht="22" customHeight="1">
      <x:c r="A2296" s="11" t="str">
        <x:v>816</x:v>
      </x:c>
      <x:c r="B2296" s="8" t="str">
        <x:v>Contoso Desktop Alternative Bundle E200 Grey</x:v>
      </x:c>
      <x:c r="C2296" s="8" t="n">
        <x:v>7</x:v>
      </x:c>
      <x:c r="D2296" s="9" t="n">
        <x:v>11.5</x:v>
      </x:c>
      <x:c r="E2296" s="9" t="n">
        <x:v>5.86</x:v>
      </x:c>
      <x:c r="F2296" s="8" t="n">
        <x:f>C2296*D2296</x:f>
        <x:v>80.5</x:v>
      </x:c>
      <x:c r="G2296" s="8" t="n">
        <x:f>C2296*E2296</x:f>
        <x:v>41.02</x:v>
      </x:c>
      <x:c r="H2296" s="8" t="n">
        <x:f>F2296-G2296</x:f>
        <x:v>39.48</x:v>
      </x:c>
      <x:c r="I2296" s="10" t="n">
        <x:f>H2296/F2296</x:f>
        <x:v>0.4904347826086956</x:v>
      </x:c>
    </x:row>
    <x:row r="2297" ht="22" customHeight="1">
      <x:c r="A2297" s="11" t="str">
        <x:v>817</x:v>
      </x:c>
      <x:c r="B2297" s="8" t="str">
        <x:v>Contoso Power Inverter - DC to AC power inverter E900 Grey</x:v>
      </x:c>
      <x:c r="C2297" s="8" t="n">
        <x:v>25</x:v>
      </x:c>
      <x:c r="D2297" s="9" t="n">
        <x:v>9.5</x:v>
      </x:c>
      <x:c r="E2297" s="9" t="n">
        <x:v>4.84</x:v>
      </x:c>
      <x:c r="F2297" s="8" t="n">
        <x:f>C2297*D2297</x:f>
        <x:v>237.5</x:v>
      </x:c>
      <x:c r="G2297" s="8" t="n">
        <x:f>C2297*E2297</x:f>
        <x:v>121</x:v>
      </x:c>
      <x:c r="H2297" s="8" t="n">
        <x:f>F2297-G2297</x:f>
        <x:v>116.5</x:v>
      </x:c>
      <x:c r="I2297" s="10" t="n">
        <x:f>H2297/F2297</x:f>
        <x:v>0.4905263157894737</x:v>
      </x:c>
    </x:row>
    <x:row r="2298" ht="22" customHeight="1">
      <x:c r="A2298" s="11" t="str">
        <x:v>818</x:v>
      </x:c>
      <x:c r="B2298" s="8" t="str">
        <x:v>Contoso Smart Battery M901 Grey</x:v>
      </x:c>
      <x:c r="C2298" s="8" t="n">
        <x:v>18</x:v>
      </x:c>
      <x:c r="D2298" s="9" t="n">
        <x:v>11.5</x:v>
      </x:c>
      <x:c r="E2298" s="9" t="n">
        <x:v>5.29</x:v>
      </x:c>
      <x:c r="F2298" s="8" t="n">
        <x:f>C2298*D2298</x:f>
        <x:v>207</x:v>
      </x:c>
      <x:c r="G2298" s="8" t="n">
        <x:f>C2298*E2298</x:f>
        <x:v>95.22</x:v>
      </x:c>
      <x:c r="H2298" s="8" t="n">
        <x:f>F2298-G2298</x:f>
        <x:v>111.78</x:v>
      </x:c>
      <x:c r="I2298" s="10" t="n">
        <x:f>H2298/F2298</x:f>
        <x:v>0.54</x:v>
      </x:c>
    </x:row>
    <x:row r="2299" ht="22" customHeight="1">
      <x:c r="A2299" s="11" t="str">
        <x:v>819</x:v>
      </x:c>
      <x:c r="B2299" s="8" t="str">
        <x:v>Contoso Laptop Cooling Hub notebook fan with 4 ports USB hub E80 Grey</x:v>
      </x:c>
      <x:c r="C2299" s="8" t="n">
        <x:v>40</x:v>
      </x:c>
      <x:c r="D2299" s="9" t="n">
        <x:v>29.9</x:v>
      </x:c>
      <x:c r="E2299" s="9" t="n">
        <x:v>15.24</x:v>
      </x:c>
      <x:c r="F2299" s="8" t="n">
        <x:f>C2299*D2299</x:f>
        <x:v>1196</x:v>
      </x:c>
      <x:c r="G2299" s="8" t="n">
        <x:f>C2299*E2299</x:f>
        <x:v>609.6</x:v>
      </x:c>
      <x:c r="H2299" s="8" t="n">
        <x:f>F2299-G2299</x:f>
        <x:v>586.4</x:v>
      </x:c>
      <x:c r="I2299" s="10" t="n">
        <x:f>H2299/F2299</x:f>
        <x:v>0.49030100334448157</x:v>
      </x:c>
    </x:row>
    <x:row r="2300" ht="22" customHeight="1">
      <x:c r="A2300" s="11" t="str">
        <x:v>82</x:v>
      </x:c>
      <x:c r="B2300" s="8" t="str">
        <x:v>NT Wireless Bluetooth Stereo Headphones E302 Pink</x:v>
      </x:c>
      <x:c r="C2300" s="8" t="n">
        <x:v>283</x:v>
      </x:c>
      <x:c r="D2300" s="9" t="n">
        <x:v>40.55</x:v>
      </x:c>
      <x:c r="E2300" s="9" t="n">
        <x:v>18.65</x:v>
      </x:c>
      <x:c r="F2300" s="8" t="n">
        <x:f>C2300*D2300</x:f>
        <x:v>11475.65</x:v>
      </x:c>
      <x:c r="G2300" s="8" t="n">
        <x:f>C2300*E2300</x:f>
        <x:v>5277.95</x:v>
      </x:c>
      <x:c r="H2300" s="8" t="n">
        <x:f>F2300-G2300</x:f>
        <x:v>6197.7</x:v>
      </x:c>
      <x:c r="I2300" s="10" t="n">
        <x:f>H2300/F2300</x:f>
        <x:v>0.5400739827373613</x:v>
      </x:c>
    </x:row>
    <x:row r="2301" ht="22" customHeight="1">
      <x:c r="A2301" s="11" t="str">
        <x:v>820</x:v>
      </x:c>
      <x:c r="B2301" s="8" t="str">
        <x:v>Contoso Home/Office Laptop Power Adapter E300 Grey</x:v>
      </x:c>
      <x:c r="C2301" s="8" t="n">
        <x:v>5</x:v>
      </x:c>
      <x:c r="D2301" s="9" t="n">
        <x:v>25.5</x:v>
      </x:c>
      <x:c r="E2301" s="9" t="n">
        <x:v>13</x:v>
      </x:c>
      <x:c r="F2301" s="8" t="n">
        <x:f>C2301*D2301</x:f>
        <x:v>127.5</x:v>
      </x:c>
      <x:c r="G2301" s="8" t="n">
        <x:f>C2301*E2301</x:f>
        <x:v>65</x:v>
      </x:c>
      <x:c r="H2301" s="8" t="n">
        <x:f>F2301-G2301</x:f>
        <x:v>62.5</x:v>
      </x:c>
      <x:c r="I2301" s="10" t="n">
        <x:f>H2301/F2301</x:f>
        <x:v>0.49019607843137253</x:v>
      </x:c>
    </x:row>
    <x:row r="2302" ht="22" customHeight="1">
      <x:c r="A2302" s="11" t="str">
        <x:v>821</x:v>
      </x:c>
      <x:c r="B2302" s="8" t="str">
        <x:v>Contoso USB 2.0 Dock Station docking station M800 Grey</x:v>
      </x:c>
      <x:c r="C2302" s="8" t="n">
        <x:v>24</x:v>
      </x:c>
      <x:c r="D2302" s="9" t="n">
        <x:v>29.9</x:v>
      </x:c>
      <x:c r="E2302" s="9" t="n">
        <x:v>13.75</x:v>
      </x:c>
      <x:c r="F2302" s="8" t="n">
        <x:f>C2302*D2302</x:f>
        <x:v>717.5999999999999</x:v>
      </x:c>
      <x:c r="G2302" s="8" t="n">
        <x:f>C2302*E2302</x:f>
        <x:v>330</x:v>
      </x:c>
      <x:c r="H2302" s="8" t="n">
        <x:f>F2302-G2302</x:f>
        <x:v>387.5999999999999</x:v>
      </x:c>
      <x:c r="I2302" s="10" t="n">
        <x:f>H2302/F2302</x:f>
        <x:v>0.540133779264214</x:v>
      </x:c>
    </x:row>
    <x:row r="2303" ht="22" customHeight="1">
      <x:c r="A2303" s="11" t="str">
        <x:v>822</x:v>
      </x:c>
      <x:c r="B2303" s="8" t="str">
        <x:v>Contoso Enhanced Capacity Battery M800 Grey</x:v>
      </x:c>
      <x:c r="C2303" s="8" t="n">
        <x:v>31</x:v>
      </x:c>
      <x:c r="D2303" s="9" t="n">
        <x:v>27.9</x:v>
      </x:c>
      <x:c r="E2303" s="9" t="n">
        <x:v>12.83</x:v>
      </x:c>
      <x:c r="F2303" s="8" t="n">
        <x:f>C2303*D2303</x:f>
        <x:v>864.9</x:v>
      </x:c>
      <x:c r="G2303" s="8" t="n">
        <x:f>C2303*E2303</x:f>
        <x:v>397.73</x:v>
      </x:c>
      <x:c r="H2303" s="8" t="n">
        <x:f>F2303-G2303</x:f>
        <x:v>467.16999999999996</x:v>
      </x:c>
      <x:c r="I2303" s="10" t="n">
        <x:f>H2303/F2303</x:f>
        <x:v>0.5401433691756272</x:v>
      </x:c>
    </x:row>
    <x:row r="2304" ht="22" customHeight="1">
      <x:c r="A2304" s="11" t="str">
        <x:v>823</x:v>
      </x:c>
      <x:c r="B2304" s="8" t="str">
        <x:v>Contoso Connectivity Starter Kit Smart Buy M680 Grey</x:v>
      </x:c>
      <x:c r="C2304" s="8" t="n">
        <x:v>20</x:v>
      </x:c>
      <x:c r="D2304" s="9" t="n">
        <x:v>27.9</x:v>
      </x:c>
      <x:c r="E2304" s="9" t="n">
        <x:v>12.83</x:v>
      </x:c>
      <x:c r="F2304" s="8" t="n">
        <x:f>C2304*D2304</x:f>
        <x:v>558</x:v>
      </x:c>
      <x:c r="G2304" s="8" t="n">
        <x:f>C2304*E2304</x:f>
        <x:v>256.6</x:v>
      </x:c>
      <x:c r="H2304" s="8" t="n">
        <x:f>F2304-G2304</x:f>
        <x:v>301.4</x:v>
      </x:c>
      <x:c r="I2304" s="10" t="n">
        <x:f>H2304/F2304</x:f>
        <x:v>0.5401433691756272</x:v>
      </x:c>
    </x:row>
    <x:row r="2305" ht="22" customHeight="1">
      <x:c r="A2305" s="11" t="str">
        <x:v>824</x:v>
      </x:c>
      <x:c r="B2305" s="8" t="str">
        <x:v>Contoso 90W AC/DC Power Adapter E300 Grey</x:v>
      </x:c>
      <x:c r="C2305" s="8" t="n">
        <x:v>19</x:v>
      </x:c>
      <x:c r="D2305" s="9" t="n">
        <x:v>11.9</x:v>
      </x:c>
      <x:c r="E2305" s="9" t="n">
        <x:v>6.07</x:v>
      </x:c>
      <x:c r="F2305" s="8" t="n">
        <x:f>C2305*D2305</x:f>
        <x:v>226.1</x:v>
      </x:c>
      <x:c r="G2305" s="8" t="n">
        <x:f>C2305*E2305</x:f>
        <x:v>115.33000000000001</x:v>
      </x:c>
      <x:c r="H2305" s="8" t="n">
        <x:f>F2305-G2305</x:f>
        <x:v>110.76999999999998</x:v>
      </x:c>
      <x:c r="I2305" s="10" t="n">
        <x:f>H2305/F2305</x:f>
        <x:v>0.48991596638655455</x:v>
      </x:c>
    </x:row>
    <x:row r="2306" ht="22" customHeight="1">
      <x:c r="A2306" s="11" t="str">
        <x:v>825</x:v>
      </x:c>
      <x:c r="B2306" s="8" t="str">
        <x:v>Contoso Reserve Pen - Tablet Pen E200 Grey</x:v>
      </x:c>
      <x:c r="C2306" s="8" t="n">
        <x:v>15</x:v>
      </x:c>
      <x:c r="D2306" s="9" t="n">
        <x:v>13.9</x:v>
      </x:c>
      <x:c r="E2306" s="9" t="n">
        <x:v>7.09</x:v>
      </x:c>
      <x:c r="F2306" s="8" t="n">
        <x:f>C2306*D2306</x:f>
        <x:v>208.5</x:v>
      </x:c>
      <x:c r="G2306" s="8" t="n">
        <x:f>C2306*E2306</x:f>
        <x:v>106.35</x:v>
      </x:c>
      <x:c r="H2306" s="8" t="n">
        <x:f>F2306-G2306</x:f>
        <x:v>102.15</x:v>
      </x:c>
      <x:c r="I2306" s="10" t="n">
        <x:f>H2306/F2306</x:f>
        <x:v>0.48992805755395685</x:v>
      </x:c>
    </x:row>
    <x:row r="2307" ht="22" customHeight="1">
      <x:c r="A2307" s="11" t="str">
        <x:v>826</x:v>
      </x:c>
      <x:c r="B2307" s="8" t="str">
        <x:v>Contoso USB Data Link - direct connect adapter E600 Grey</x:v>
      </x:c>
      <x:c r="C2307" s="8" t="n">
        <x:v>33</x:v>
      </x:c>
      <x:c r="D2307" s="9" t="n">
        <x:v>16.9</x:v>
      </x:c>
      <x:c r="E2307" s="9" t="n">
        <x:v>8.62</x:v>
      </x:c>
      <x:c r="F2307" s="8" t="n">
        <x:f>C2307*D2307</x:f>
        <x:v>557.6999999999999</x:v>
      </x:c>
      <x:c r="G2307" s="8" t="n">
        <x:f>C2307*E2307</x:f>
        <x:v>284.46</x:v>
      </x:c>
      <x:c r="H2307" s="8" t="n">
        <x:f>F2307-G2307</x:f>
        <x:v>273.23999999999995</x:v>
      </x:c>
      <x:c r="I2307" s="10" t="n">
        <x:f>H2307/F2307</x:f>
        <x:v>0.48994082840236686</x:v>
      </x:c>
    </x:row>
    <x:row r="2308" ht="22" customHeight="1">
      <x:c r="A2308" s="11" t="str">
        <x:v>827</x:v>
      </x:c>
      <x:c r="B2308" s="8" t="str">
        <x:v>Contoso Primary Extended Capacity Battery Pack - notebook battery X100 Grey</x:v>
      </x:c>
      <x:c r="C2308" s="8" t="n">
        <x:v>40</x:v>
      </x:c>
      <x:c r="D2308" s="9" t="n">
        <x:v>33.9</x:v>
      </x:c>
      <x:c r="E2308" s="9" t="n">
        <x:v>11.23</x:v>
      </x:c>
      <x:c r="F2308" s="8" t="n">
        <x:f>C2308*D2308</x:f>
        <x:v>1356</x:v>
      </x:c>
      <x:c r="G2308" s="8" t="n">
        <x:f>C2308*E2308</x:f>
        <x:v>449.20000000000005</x:v>
      </x:c>
      <x:c r="H2308" s="8" t="n">
        <x:f>F2308-G2308</x:f>
        <x:v>906.8</x:v>
      </x:c>
      <x:c r="I2308" s="10" t="n">
        <x:f>H2308/F2308</x:f>
        <x:v>0.6687315634218288</x:v>
      </x:c>
    </x:row>
    <x:row r="2309" ht="22" customHeight="1">
      <x:c r="A2309" s="11" t="str">
        <x:v>828</x:v>
      </x:c>
      <x:c r="B2309" s="8" t="str">
        <x:v>Contoso Digital camera accessory kit M200 Grey</x:v>
      </x:c>
      <x:c r="C2309" s="8" t="n">
        <x:v>20</x:v>
      </x:c>
      <x:c r="D2309" s="9" t="n">
        <x:v>23.9</x:v>
      </x:c>
      <x:c r="E2309" s="9" t="n">
        <x:v>10.99</x:v>
      </x:c>
      <x:c r="F2309" s="8" t="n">
        <x:f>C2309*D2309</x:f>
        <x:v>478</x:v>
      </x:c>
      <x:c r="G2309" s="8" t="n">
        <x:f>C2309*E2309</x:f>
        <x:v>219.8</x:v>
      </x:c>
      <x:c r="H2309" s="8" t="n">
        <x:f>F2309-G2309</x:f>
        <x:v>258.2</x:v>
      </x:c>
      <x:c r="I2309" s="10" t="n">
        <x:f>H2309/F2309</x:f>
        <x:v>0.5401673640167364</x:v>
      </x:c>
    </x:row>
    <x:row r="2310" ht="22" customHeight="1">
      <x:c r="A2310" s="11" t="str">
        <x:v>829</x:v>
      </x:c>
      <x:c r="B2310" s="8" t="str">
        <x:v>Contoso Leather Case - case for digital photo camera X20 Grey</x:v>
      </x:c>
      <x:c r="C2310" s="8" t="n">
        <x:v>31</x:v>
      </x:c>
      <x:c r="D2310" s="9" t="n">
        <x:v>39.9</x:v>
      </x:c>
      <x:c r="E2310" s="9" t="n">
        <x:v>13.22</x:v>
      </x:c>
      <x:c r="F2310" s="8" t="n">
        <x:f>C2310*D2310</x:f>
        <x:v>1236.8999999999999</x:v>
      </x:c>
      <x:c r="G2310" s="8" t="n">
        <x:f>C2310*E2310</x:f>
        <x:v>409.82</x:v>
      </x:c>
      <x:c r="H2310" s="8" t="n">
        <x:f>F2310-G2310</x:f>
        <x:v>827.0799999999999</x:v>
      </x:c>
      <x:c r="I2310" s="10" t="n">
        <x:f>H2310/F2310</x:f>
        <x:v>0.668671679197995</x:v>
      </x:c>
    </x:row>
    <x:row r="2311" ht="22" customHeight="1">
      <x:c r="A2311" s="11" t="str">
        <x:v>83</x:v>
      </x:c>
      <x:c r="B2311" s="8" t="str">
        <x:v>NT Wireless Bluetooth Stereo Headphones M402 Silver</x:v>
      </x:c>
      <x:c r="C2311" s="8" t="n">
        <x:v>223</x:v>
      </x:c>
      <x:c r="D2311" s="9" t="n">
        <x:v>99.99</x:v>
      </x:c>
      <x:c r="E2311" s="9" t="n">
        <x:v>45.98</x:v>
      </x:c>
      <x:c r="F2311" s="8" t="n">
        <x:f>C2311*D2311</x:f>
        <x:v>22297.77</x:v>
      </x:c>
      <x:c r="G2311" s="8" t="n">
        <x:f>C2311*E2311</x:f>
        <x:v>10253.539999999999</x:v>
      </x:c>
      <x:c r="H2311" s="8" t="n">
        <x:f>F2311-G2311</x:f>
        <x:v>12044.230000000001</x:v>
      </x:c>
      <x:c r="I2311" s="10" t="n">
        <x:f>H2311/F2311</x:f>
        <x:v>0.5401540154015402</x:v>
      </x:c>
    </x:row>
    <x:row r="2312" ht="22" customHeight="1">
      <x:c r="A2312" s="11" t="str">
        <x:v>830</x:v>
      </x:c>
      <x:c r="B2312" s="8" t="str">
        <x:v>Contoso Lens cap E80 Grey</x:v>
      </x:c>
      <x:c r="C2312" s="8" t="n">
        <x:v>6</x:v>
      </x:c>
      <x:c r="D2312" s="9" t="n">
        <x:v>29.95</x:v>
      </x:c>
      <x:c r="E2312" s="9" t="n">
        <x:v>15.27</x:v>
      </x:c>
      <x:c r="F2312" s="8" t="n">
        <x:f>C2312*D2312</x:f>
        <x:v>179.7</x:v>
      </x:c>
      <x:c r="G2312" s="8" t="n">
        <x:f>C2312*E2312</x:f>
        <x:v>91.62</x:v>
      </x:c>
      <x:c r="H2312" s="8" t="n">
        <x:f>F2312-G2312</x:f>
        <x:v>88.07999999999998</x:v>
      </x:c>
      <x:c r="I2312" s="10" t="n">
        <x:f>H2312/F2312</x:f>
        <x:v>0.4901502504173622</x:v>
      </x:c>
    </x:row>
    <x:row r="2313" ht="22" customHeight="1">
      <x:c r="A2313" s="11" t="str">
        <x:v>831</x:v>
      </x:c>
      <x:c r="B2313" s="8" t="str">
        <x:v>Contoso Battery charger - bike E200 Grey</x:v>
      </x:c>
      <x:c r="C2313" s="8" t="n">
        <x:v>21</x:v>
      </x:c>
      <x:c r="D2313" s="9" t="n">
        <x:v>19.9</x:v>
      </x:c>
      <x:c r="E2313" s="9" t="n">
        <x:v>10.15</x:v>
      </x:c>
      <x:c r="F2313" s="8" t="n">
        <x:f>C2313*D2313</x:f>
        <x:v>417.9</x:v>
      </x:c>
      <x:c r="G2313" s="8" t="n">
        <x:f>C2313*E2313</x:f>
        <x:v>213.15</x:v>
      </x:c>
      <x:c r="H2313" s="8" t="n">
        <x:f>F2313-G2313</x:f>
        <x:v>204.74999999999997</x:v>
      </x:c>
      <x:c r="I2313" s="10" t="n">
        <x:f>H2313/F2313</x:f>
        <x:v>0.48994974874371855</x:v>
      </x:c>
    </x:row>
    <x:row r="2314" ht="22" customHeight="1">
      <x:c r="A2314" s="11" t="str">
        <x:v>832</x:v>
      </x:c>
      <x:c r="B2314" s="8" t="str">
        <x:v>Contoso USB Optical Mouse E200 Grey</x:v>
      </x:c>
      <x:c r="C2314" s="8" t="n">
        <x:v>26</x:v>
      </x:c>
      <x:c r="D2314" s="9" t="n">
        <x:v>15.5</x:v>
      </x:c>
      <x:c r="E2314" s="9" t="n">
        <x:v>7.9</x:v>
      </x:c>
      <x:c r="F2314" s="8" t="n">
        <x:f>C2314*D2314</x:f>
        <x:v>403</x:v>
      </x:c>
      <x:c r="G2314" s="8" t="n">
        <x:f>C2314*E2314</x:f>
        <x:v>205.4</x:v>
      </x:c>
      <x:c r="H2314" s="8" t="n">
        <x:f>F2314-G2314</x:f>
        <x:v>197.6</x:v>
      </x:c>
      <x:c r="I2314" s="10" t="n">
        <x:f>H2314/F2314</x:f>
        <x:v>0.49032258064516127</x:v>
      </x:c>
    </x:row>
    <x:row r="2315" ht="22" customHeight="1">
      <x:c r="A2315" s="11" t="str">
        <x:v>833</x:v>
      </x:c>
      <x:c r="B2315" s="8" t="str">
        <x:v>Contoso ADSL Modem Splitter/Filter X 1 E100 Grey</x:v>
      </x:c>
      <x:c r="C2315" s="8" t="n">
        <x:v>27</x:v>
      </x:c>
      <x:c r="D2315" s="9" t="n">
        <x:v>17.9</x:v>
      </x:c>
      <x:c r="E2315" s="9" t="n">
        <x:v>9.13</x:v>
      </x:c>
      <x:c r="F2315" s="8" t="n">
        <x:f>C2315*D2315</x:f>
        <x:v>483.29999999999995</x:v>
      </x:c>
      <x:c r="G2315" s="8" t="n">
        <x:f>C2315*E2315</x:f>
        <x:v>246.51000000000002</x:v>
      </x:c>
      <x:c r="H2315" s="8" t="n">
        <x:f>F2315-G2315</x:f>
        <x:v>236.78999999999994</x:v>
      </x:c>
      <x:c r="I2315" s="10" t="n">
        <x:f>H2315/F2315</x:f>
        <x:v>0.4899441340782122</x:v>
      </x:c>
    </x:row>
    <x:row r="2316" ht="22" customHeight="1">
      <x:c r="A2316" s="11" t="str">
        <x:v>834</x:v>
      </x:c>
      <x:c r="B2316" s="8" t="str">
        <x:v>Contoso ADSL Modem Splitter/Filter X 2 E200 Grey</x:v>
      </x:c>
      <x:c r="C2316" s="8" t="n">
        <x:v>15</x:v>
      </x:c>
      <x:c r="D2316" s="9" t="n">
        <x:v>22.9</x:v>
      </x:c>
      <x:c r="E2316" s="9" t="n">
        <x:v>11.68</x:v>
      </x:c>
      <x:c r="F2316" s="8" t="n">
        <x:f>C2316*D2316</x:f>
        <x:v>343.5</x:v>
      </x:c>
      <x:c r="G2316" s="8" t="n">
        <x:f>C2316*E2316</x:f>
        <x:v>175.2</x:v>
      </x:c>
      <x:c r="H2316" s="8" t="n">
        <x:f>F2316-G2316</x:f>
        <x:v>168.3</x:v>
      </x:c>
      <x:c r="I2316" s="10" t="n">
        <x:f>H2316/F2316</x:f>
        <x:v>0.4899563318777293</x:v>
      </x:c>
    </x:row>
    <x:row r="2317" ht="22" customHeight="1">
      <x:c r="A2317" s="11" t="str">
        <x:v>835</x:v>
      </x:c>
      <x:c r="B2317" s="8" t="str">
        <x:v>Contoso ADSL Modem Splitter/Filter X 3 E300 Grey</x:v>
      </x:c>
      <x:c r="C2317" s="8" t="n">
        <x:v>28</x:v>
      </x:c>
      <x:c r="D2317" s="9" t="n">
        <x:v>52.9</x:v>
      </x:c>
      <x:c r="E2317" s="9" t="n">
        <x:v>26.97</x:v>
      </x:c>
      <x:c r="F2317" s="8" t="n">
        <x:f>C2317*D2317</x:f>
        <x:v>1481.2</x:v>
      </x:c>
      <x:c r="G2317" s="8" t="n">
        <x:f>C2317*E2317</x:f>
        <x:v>755.16</x:v>
      </x:c>
      <x:c r="H2317" s="8" t="n">
        <x:f>F2317-G2317</x:f>
        <x:v>726.0400000000001</x:v>
      </x:c>
      <x:c r="I2317" s="10" t="n">
        <x:f>H2317/F2317</x:f>
        <x:v>0.49017013232514184</x:v>
      </x:c>
    </x:row>
    <x:row r="2318" ht="22" customHeight="1">
      <x:c r="A2318" s="11" t="str">
        <x:v>836</x:v>
      </x:c>
      <x:c r="B2318" s="8" t="str">
        <x:v>Contoso USB Wave Multi-Media Keyboard E280 Grey</x:v>
      </x:c>
      <x:c r="C2318" s="8" t="n">
        <x:v>40</x:v>
      </x:c>
      <x:c r="D2318" s="9" t="n">
        <x:v>15.9</x:v>
      </x:c>
      <x:c r="E2318" s="9" t="n">
        <x:v>8.11</x:v>
      </x:c>
      <x:c r="F2318" s="8" t="n">
        <x:f>C2318*D2318</x:f>
        <x:v>636</x:v>
      </x:c>
      <x:c r="G2318" s="8" t="n">
        <x:f>C2318*E2318</x:f>
        <x:v>324.4</x:v>
      </x:c>
      <x:c r="H2318" s="8" t="n">
        <x:f>F2318-G2318</x:f>
        <x:v>311.6</x:v>
      </x:c>
      <x:c r="I2318" s="10" t="n">
        <x:f>H2318/F2318</x:f>
        <x:v>0.48993710691823905</x:v>
      </x:c>
    </x:row>
    <x:row r="2319" ht="22" customHeight="1">
      <x:c r="A2319" s="11" t="str">
        <x:v>837</x:v>
      </x:c>
      <x:c r="B2319" s="8" t="str">
        <x:v>Contoso Cables To Go USB 2.0 Hard Drive Enclosure E920 Grey</x:v>
      </x:c>
      <x:c r="C2319" s="8" t="n">
        <x:v>26</x:v>
      </x:c>
      <x:c r="D2319" s="9" t="n">
        <x:v>11.9</x:v>
      </x:c>
      <x:c r="E2319" s="9" t="n">
        <x:v>6.07</x:v>
      </x:c>
      <x:c r="F2319" s="8" t="n">
        <x:f>C2319*D2319</x:f>
        <x:v>309.40000000000003</x:v>
      </x:c>
      <x:c r="G2319" s="8" t="n">
        <x:f>C2319*E2319</x:f>
        <x:v>157.82</x:v>
      </x:c>
      <x:c r="H2319" s="8" t="n">
        <x:f>F2319-G2319</x:f>
        <x:v>151.58000000000004</x:v>
      </x:c>
      <x:c r="I2319" s="10" t="n">
        <x:f>H2319/F2319</x:f>
        <x:v>0.4899159663865547</x:v>
      </x:c>
    </x:row>
    <x:row r="2320" ht="22" customHeight="1">
      <x:c r="A2320" s="11" t="str">
        <x:v>838</x:v>
      </x:c>
      <x:c r="B2320" s="8" t="str">
        <x:v>Contoso USB Optical Mouse E200 Gold</x:v>
      </x:c>
      <x:c r="C2320" s="8" t="n">
        <x:v>14</x:v>
      </x:c>
      <x:c r="D2320" s="9" t="n">
        <x:v>15.5</x:v>
      </x:c>
      <x:c r="E2320" s="9" t="n">
        <x:v>7.9</x:v>
      </x:c>
      <x:c r="F2320" s="8" t="n">
        <x:f>C2320*D2320</x:f>
        <x:v>217</x:v>
      </x:c>
      <x:c r="G2320" s="8" t="n">
        <x:f>C2320*E2320</x:f>
        <x:v>110.60000000000001</x:v>
      </x:c>
      <x:c r="H2320" s="8" t="n">
        <x:f>F2320-G2320</x:f>
        <x:v>106.39999999999999</x:v>
      </x:c>
      <x:c r="I2320" s="10" t="n">
        <x:f>H2320/F2320</x:f>
        <x:v>0.49032258064516127</x:v>
      </x:c>
    </x:row>
    <x:row r="2321" ht="22" customHeight="1">
      <x:c r="A2321" s="11" t="str">
        <x:v>839</x:v>
      </x:c>
      <x:c r="B2321" s="8" t="str">
        <x:v>Contoso USB Wave Multi-Media Keyboard M901 Gold</x:v>
      </x:c>
      <x:c r="C2321" s="8" t="n">
        <x:v>9</x:v>
      </x:c>
      <x:c r="D2321" s="9" t="n">
        <x:v>25.9</x:v>
      </x:c>
      <x:c r="E2321" s="9" t="n">
        <x:v>11.91</x:v>
      </x:c>
      <x:c r="F2321" s="8" t="n">
        <x:f>C2321*D2321</x:f>
        <x:v>233.1</x:v>
      </x:c>
      <x:c r="G2321" s="8" t="n">
        <x:f>C2321*E2321</x:f>
        <x:v>107.19</x:v>
      </x:c>
      <x:c r="H2321" s="8" t="n">
        <x:f>F2321-G2321</x:f>
        <x:v>125.91</x:v>
      </x:c>
      <x:c r="I2321" s="10" t="n">
        <x:f>H2321/F2321</x:f>
        <x:v>0.5401544401544401</x:v>
      </x:c>
    </x:row>
    <x:row r="2322" ht="22" customHeight="1">
      <x:c r="A2322" s="11" t="str">
        <x:v>84</x:v>
      </x:c>
      <x:c r="B2322" s="8" t="str">
        <x:v>NT Wireless Bluetooth Stereo Headphones M402 Red</x:v>
      </x:c>
      <x:c r="C2322" s="8" t="n">
        <x:v>311</x:v>
      </x:c>
      <x:c r="D2322" s="9" t="n">
        <x:v>99.99</x:v>
      </x:c>
      <x:c r="E2322" s="9" t="n">
        <x:v>45.98</x:v>
      </x:c>
      <x:c r="F2322" s="8" t="n">
        <x:f>C2322*D2322</x:f>
        <x:v>31096.89</x:v>
      </x:c>
      <x:c r="G2322" s="8" t="n">
        <x:f>C2322*E2322</x:f>
        <x:v>14299.779999999999</x:v>
      </x:c>
      <x:c r="H2322" s="8" t="n">
        <x:f>F2322-G2322</x:f>
        <x:v>16797.11</x:v>
      </x:c>
      <x:c r="I2322" s="10" t="n">
        <x:f>H2322/F2322</x:f>
        <x:v>0.5401540154015402</x:v>
      </x:c>
    </x:row>
    <x:row r="2323" ht="22" customHeight="1">
      <x:c r="A2323" s="11" t="str">
        <x:v>840</x:v>
      </x:c>
      <x:c r="B2323" s="8" t="str">
        <x:v>Contoso Laptop Cooling Hub notebook fan with 4 ports USB hub M200 Gold</x:v>
      </x:c>
      <x:c r="C2323" s="8" t="n">
        <x:v>26</x:v>
      </x:c>
      <x:c r="D2323" s="9" t="n">
        <x:v>39.9</x:v>
      </x:c>
      <x:c r="E2323" s="9" t="n">
        <x:v>18.35</x:v>
      </x:c>
      <x:c r="F2323" s="8" t="n">
        <x:f>C2323*D2323</x:f>
        <x:v>1037.3999999999999</x:v>
      </x:c>
      <x:c r="G2323" s="8" t="n">
        <x:f>C2323*E2323</x:f>
        <x:v>477.1</x:v>
      </x:c>
      <x:c r="H2323" s="8" t="n">
        <x:f>F2323-G2323</x:f>
        <x:v>560.2999999999998</x:v>
      </x:c>
      <x:c r="I2323" s="10" t="n">
        <x:f>H2323/F2323</x:f>
        <x:v>0.5401002506265663</x:v>
      </x:c>
    </x:row>
    <x:row r="2324" ht="22" customHeight="1">
      <x:c r="A2324" s="11" t="str">
        <x:v>841</x:v>
      </x:c>
      <x:c r="B2324" s="8" t="str">
        <x:v>Contoso Reserve Pen - Tablet Pen E200 Gold</x:v>
      </x:c>
      <x:c r="C2324" s="8" t="n">
        <x:v>13</x:v>
      </x:c>
      <x:c r="D2324" s="9" t="n">
        <x:v>13.9</x:v>
      </x:c>
      <x:c r="E2324" s="9" t="n">
        <x:v>7.09</x:v>
      </x:c>
      <x:c r="F2324" s="8" t="n">
        <x:f>C2324*D2324</x:f>
        <x:v>180.70000000000002</x:v>
      </x:c>
      <x:c r="G2324" s="8" t="n">
        <x:f>C2324*E2324</x:f>
        <x:v>92.17</x:v>
      </x:c>
      <x:c r="H2324" s="8" t="n">
        <x:f>F2324-G2324</x:f>
        <x:v>88.53000000000002</x:v>
      </x:c>
      <x:c r="I2324" s="10" t="n">
        <x:f>H2324/F2324</x:f>
        <x:v>0.48992805755395685</x:v>
      </x:c>
    </x:row>
    <x:row r="2325" ht="22" customHeight="1">
      <x:c r="A2325" s="11" t="str">
        <x:v>842</x:v>
      </x:c>
      <x:c r="B2325" s="8" t="str">
        <x:v>Contoso Bright Light battery E20 Black</x:v>
      </x:c>
      <x:c r="C2325" s="8" t="n">
        <x:v>8</x:v>
      </x:c>
      <x:c r="D2325" s="9" t="n">
        <x:v>26.9</x:v>
      </x:c>
      <x:c r="E2325" s="9" t="n">
        <x:v>13.71</x:v>
      </x:c>
      <x:c r="F2325" s="8" t="n">
        <x:f>C2325*D2325</x:f>
        <x:v>215.2</x:v>
      </x:c>
      <x:c r="G2325" s="8" t="n">
        <x:f>C2325*E2325</x:f>
        <x:v>109.68</x:v>
      </x:c>
      <x:c r="H2325" s="8" t="n">
        <x:f>F2325-G2325</x:f>
        <x:v>105.51999999999998</x:v>
      </x:c>
      <x:c r="I2325" s="10" t="n">
        <x:f>H2325/F2325</x:f>
        <x:v>0.4903345724907063</x:v>
      </x:c>
    </x:row>
    <x:row r="2326" ht="22" customHeight="1">
      <x:c r="A2326" s="11" t="str">
        <x:v>843</x:v>
      </x:c>
      <x:c r="B2326" s="8" t="str">
        <x:v>Contoso Bright Light battery E20 blue</x:v>
      </x:c>
      <x:c r="C2326" s="8" t="n">
        <x:v>25</x:v>
      </x:c>
      <x:c r="D2326" s="9" t="n">
        <x:v>26.9</x:v>
      </x:c>
      <x:c r="E2326" s="9" t="n">
        <x:v>13.71</x:v>
      </x:c>
      <x:c r="F2326" s="8" t="n">
        <x:f>C2326*D2326</x:f>
        <x:v>672.5</x:v>
      </x:c>
      <x:c r="G2326" s="8" t="n">
        <x:f>C2326*E2326</x:f>
        <x:v>342.75</x:v>
      </x:c>
      <x:c r="H2326" s="8" t="n">
        <x:f>F2326-G2326</x:f>
        <x:v>329.75</x:v>
      </x:c>
      <x:c r="I2326" s="10" t="n">
        <x:f>H2326/F2326</x:f>
        <x:v>0.49033457249070633</x:v>
      </x:c>
    </x:row>
    <x:row r="2327" ht="22" customHeight="1">
      <x:c r="A2327" s="11" t="str">
        <x:v>844</x:v>
      </x:c>
      <x:c r="B2327" s="8" t="str">
        <x:v>Contoso Bright Light battery E20 Pink</x:v>
      </x:c>
      <x:c r="C2327" s="8" t="n">
        <x:v>24</x:v>
      </x:c>
      <x:c r="D2327" s="9" t="n">
        <x:v>26.9</x:v>
      </x:c>
      <x:c r="E2327" s="9" t="n">
        <x:v>13.71</x:v>
      </x:c>
      <x:c r="F2327" s="8" t="n">
        <x:f>C2327*D2327</x:f>
        <x:v>645.5999999999999</x:v>
      </x:c>
      <x:c r="G2327" s="8" t="n">
        <x:f>C2327*E2327</x:f>
        <x:v>329.04</x:v>
      </x:c>
      <x:c r="H2327" s="8" t="n">
        <x:f>F2327-G2327</x:f>
        <x:v>316.5599999999999</x:v>
      </x:c>
      <x:c r="I2327" s="10" t="n">
        <x:f>H2327/F2327</x:f>
        <x:v>0.4903345724907062</x:v>
      </x:c>
    </x:row>
    <x:row r="2328" ht="22" customHeight="1">
      <x:c r="A2328" s="11" t="str">
        <x:v>845</x:v>
      </x:c>
      <x:c r="B2328" s="8" t="str">
        <x:v>Contoso Bright Light battery E20 White</x:v>
      </x:c>
      <x:c r="C2328" s="8" t="n">
        <x:v>22</x:v>
      </x:c>
      <x:c r="D2328" s="9" t="n">
        <x:v>26.9</x:v>
      </x:c>
      <x:c r="E2328" s="9" t="n">
        <x:v>13.71</x:v>
      </x:c>
      <x:c r="F2328" s="8" t="n">
        <x:f>C2328*D2328</x:f>
        <x:v>591.8</x:v>
      </x:c>
      <x:c r="G2328" s="8" t="n">
        <x:f>C2328*E2328</x:f>
        <x:v>301.62</x:v>
      </x:c>
      <x:c r="H2328" s="8" t="n">
        <x:f>F2328-G2328</x:f>
        <x:v>290.17999999999995</x:v>
      </x:c>
      <x:c r="I2328" s="10" t="n">
        <x:f>H2328/F2328</x:f>
        <x:v>0.4903345724907063</x:v>
      </x:c>
    </x:row>
    <x:row r="2329" ht="22" customHeight="1">
      <x:c r="A2329" s="11" t="str">
        <x:v>846</x:v>
      </x:c>
      <x:c r="B2329" s="8" t="str">
        <x:v>Contoso Ultraportable Neoprene Sleeve E30 Black</x:v>
      </x:c>
      <x:c r="C2329" s="8" t="n">
        <x:v>31</x:v>
      </x:c>
      <x:c r="D2329" s="9" t="n">
        <x:v>15.6</x:v>
      </x:c>
      <x:c r="E2329" s="9" t="n">
        <x:v>7.95</x:v>
      </x:c>
      <x:c r="F2329" s="8" t="n">
        <x:f>C2329*D2329</x:f>
        <x:v>483.59999999999997</x:v>
      </x:c>
      <x:c r="G2329" s="8" t="n">
        <x:f>C2329*E2329</x:f>
        <x:v>246.45000000000002</x:v>
      </x:c>
      <x:c r="H2329" s="8" t="n">
        <x:f>F2329-G2329</x:f>
        <x:v>237.14999999999995</x:v>
      </x:c>
      <x:c r="I2329" s="10" t="n">
        <x:f>H2329/F2329</x:f>
        <x:v>0.4903846153846153</x:v>
      </x:c>
    </x:row>
    <x:row r="2330" ht="22" customHeight="1">
      <x:c r="A2330" s="11" t="str">
        <x:v>847</x:v>
      </x:c>
      <x:c r="B2330" s="8" t="str">
        <x:v>Contoso Ultraportable Neoprene Sleeve E30 Pink</x:v>
      </x:c>
      <x:c r="C2330" s="8" t="n">
        <x:v>20</x:v>
      </x:c>
      <x:c r="D2330" s="9" t="n">
        <x:v>15.6</x:v>
      </x:c>
      <x:c r="E2330" s="9" t="n">
        <x:v>7.95</x:v>
      </x:c>
      <x:c r="F2330" s="8" t="n">
        <x:f>C2330*D2330</x:f>
        <x:v>312</x:v>
      </x:c>
      <x:c r="G2330" s="8" t="n">
        <x:f>C2330*E2330</x:f>
        <x:v>159</x:v>
      </x:c>
      <x:c r="H2330" s="8" t="n">
        <x:f>F2330-G2330</x:f>
        <x:v>153</x:v>
      </x:c>
      <x:c r="I2330" s="10" t="n">
        <x:f>H2330/F2330</x:f>
        <x:v>0.49038461538461536</x:v>
      </x:c>
    </x:row>
    <x:row r="2331" ht="22" customHeight="1">
      <x:c r="A2331" s="11" t="str">
        <x:v>848</x:v>
      </x:c>
      <x:c r="B2331" s="8" t="str">
        <x:v>Contoso Ultraportable Neoprene Sleeve E30 Yellow</x:v>
      </x:c>
      <x:c r="C2331" s="8" t="n">
        <x:v>8</x:v>
      </x:c>
      <x:c r="D2331" s="9" t="n">
        <x:v>15.6</x:v>
      </x:c>
      <x:c r="E2331" s="9" t="n">
        <x:v>7.95</x:v>
      </x:c>
      <x:c r="F2331" s="8" t="n">
        <x:f>C2331*D2331</x:f>
        <x:v>124.8</x:v>
      </x:c>
      <x:c r="G2331" s="8" t="n">
        <x:f>C2331*E2331</x:f>
        <x:v>63.6</x:v>
      </x:c>
      <x:c r="H2331" s="8" t="n">
        <x:f>F2331-G2331</x:f>
        <x:v>61.199999999999996</x:v>
      </x:c>
      <x:c r="I2331" s="10" t="n">
        <x:f>H2331/F2331</x:f>
        <x:v>0.49038461538461536</x:v>
      </x:c>
    </x:row>
    <x:row r="2332" ht="22" customHeight="1">
      <x:c r="A2332" s="11" t="str">
        <x:v>849</x:v>
      </x:c>
      <x:c r="B2332" s="8" t="str">
        <x:v>Contoso Ultraportable Neoprene Sleeve E30 Green</x:v>
      </x:c>
      <x:c r="C2332" s="8" t="n">
        <x:v>23</x:v>
      </x:c>
      <x:c r="D2332" s="9" t="n">
        <x:v>15.6</x:v>
      </x:c>
      <x:c r="E2332" s="9" t="n">
        <x:v>7.95</x:v>
      </x:c>
      <x:c r="F2332" s="8" t="n">
        <x:f>C2332*D2332</x:f>
        <x:v>358.8</x:v>
      </x:c>
      <x:c r="G2332" s="8" t="n">
        <x:f>C2332*E2332</x:f>
        <x:v>182.85</x:v>
      </x:c>
      <x:c r="H2332" s="8" t="n">
        <x:f>F2332-G2332</x:f>
        <x:v>175.95000000000002</x:v>
      </x:c>
      <x:c r="I2332" s="10" t="n">
        <x:f>H2332/F2332</x:f>
        <x:v>0.4903846153846154</x:v>
      </x:c>
    </x:row>
    <x:row r="2333" ht="22" customHeight="1">
      <x:c r="A2333" s="11" t="str">
        <x:v>85</x:v>
      </x:c>
      <x:c r="B2333" s="8" t="str">
        <x:v>NT Wireless Bluetooth Stereo Headphones M402 Green</x:v>
      </x:c>
      <x:c r="C2333" s="8" t="n">
        <x:v>278</x:v>
      </x:c>
      <x:c r="D2333" s="9" t="n">
        <x:v>99.99</x:v>
      </x:c>
      <x:c r="E2333" s="9" t="n">
        <x:v>45.98</x:v>
      </x:c>
      <x:c r="F2333" s="8" t="n">
        <x:f>C2333*D2333</x:f>
        <x:v>27797.219999999998</x:v>
      </x:c>
      <x:c r="G2333" s="8" t="n">
        <x:f>C2333*E2333</x:f>
        <x:v>12782.439999999999</x:v>
      </x:c>
      <x:c r="H2333" s="8" t="n">
        <x:f>F2333-G2333</x:f>
        <x:v>15014.779999999999</x:v>
      </x:c>
      <x:c r="I2333" s="10" t="n">
        <x:f>H2333/F2333</x:f>
        <x:v>0.5401540154015402</x:v>
      </x:c>
    </x:row>
    <x:row r="2334" ht="22" customHeight="1">
      <x:c r="A2334" s="11" t="str">
        <x:v>850</x:v>
      </x:c>
      <x:c r="B2334" s="8" t="str">
        <x:v>Contoso Laptop Keyboard X105 Black</x:v>
      </x:c>
      <x:c r="C2334" s="8" t="n">
        <x:v>23</x:v>
      </x:c>
      <x:c r="D2334" s="9" t="n">
        <x:v>230.9</x:v>
      </x:c>
      <x:c r="E2334" s="9" t="n">
        <x:v>76.5</x:v>
      </x:c>
      <x:c r="F2334" s="8" t="n">
        <x:f>C2334*D2334</x:f>
        <x:v>5310.7</x:v>
      </x:c>
      <x:c r="G2334" s="8" t="n">
        <x:f>C2334*E2334</x:f>
        <x:v>1759.5</x:v>
      </x:c>
      <x:c r="H2334" s="8" t="n">
        <x:f>F2334-G2334</x:f>
        <x:v>3551.2</x:v>
      </x:c>
      <x:c r="I2334" s="10" t="n">
        <x:f>H2334/F2334</x:f>
        <x:v>0.6686877436119533</x:v>
      </x:c>
    </x:row>
    <x:row r="2335" ht="22" customHeight="1">
      <x:c r="A2335" s="11" t="str">
        <x:v>851</x:v>
      </x:c>
      <x:c r="B2335" s="8" t="str">
        <x:v>Contoso Laptop Keyboard X105 White</x:v>
      </x:c>
      <x:c r="C2335" s="8" t="n">
        <x:v>49</x:v>
      </x:c>
      <x:c r="D2335" s="9" t="n">
        <x:v>230.9</x:v>
      </x:c>
      <x:c r="E2335" s="9" t="n">
        <x:v>76.5</x:v>
      </x:c>
      <x:c r="F2335" s="8" t="n">
        <x:f>C2335*D2335</x:f>
        <x:v>11314.1</x:v>
      </x:c>
      <x:c r="G2335" s="8" t="n">
        <x:f>C2335*E2335</x:f>
        <x:v>3748.5</x:v>
      </x:c>
      <x:c r="H2335" s="8" t="n">
        <x:f>F2335-G2335</x:f>
        <x:v>7565.6</x:v>
      </x:c>
      <x:c r="I2335" s="10" t="n">
        <x:f>H2335/F2335</x:f>
        <x:v>0.6686877436119533</x:v>
      </x:c>
    </x:row>
    <x:row r="2336" ht="22" customHeight="1">
      <x:c r="A2336" s="11" t="str">
        <x:v>852</x:v>
      </x:c>
      <x:c r="B2336" s="8" t="str">
        <x:v>Contoso Laptop Keyboard X105 Brown</x:v>
      </x:c>
      <x:c r="C2336" s="8" t="n">
        <x:v>19</x:v>
      </x:c>
      <x:c r="D2336" s="9" t="n">
        <x:v>230.9</x:v>
      </x:c>
      <x:c r="E2336" s="9" t="n">
        <x:v>76.5</x:v>
      </x:c>
      <x:c r="F2336" s="8" t="n">
        <x:f>C2336*D2336</x:f>
        <x:v>4387.1</x:v>
      </x:c>
      <x:c r="G2336" s="8" t="n">
        <x:f>C2336*E2336</x:f>
        <x:v>1453.5</x:v>
      </x:c>
      <x:c r="H2336" s="8" t="n">
        <x:f>F2336-G2336</x:f>
        <x:v>2933.6000000000004</x:v>
      </x:c>
      <x:c r="I2336" s="10" t="n">
        <x:f>H2336/F2336</x:f>
        <x:v>0.6686877436119533</x:v>
      </x:c>
    </x:row>
    <x:row r="2337" ht="22" customHeight="1">
      <x:c r="A2337" s="11" t="str">
        <x:v>853</x:v>
      </x:c>
      <x:c r="B2337" s="8" t="str">
        <x:v>Contoso Laptop Keyboard X105 Silver</x:v>
      </x:c>
      <x:c r="C2337" s="8" t="n">
        <x:v>13</x:v>
      </x:c>
      <x:c r="D2337" s="9" t="n">
        <x:v>230.9</x:v>
      </x:c>
      <x:c r="E2337" s="9" t="n">
        <x:v>76.5</x:v>
      </x:c>
      <x:c r="F2337" s="8" t="n">
        <x:f>C2337*D2337</x:f>
        <x:v>3001.7000000000003</x:v>
      </x:c>
      <x:c r="G2337" s="8" t="n">
        <x:f>C2337*E2337</x:f>
        <x:v>994.5</x:v>
      </x:c>
      <x:c r="H2337" s="8" t="n">
        <x:f>F2337-G2337</x:f>
        <x:v>2007.2000000000003</x:v>
      </x:c>
      <x:c r="I2337" s="10" t="n">
        <x:f>H2337/F2337</x:f>
        <x:v>0.6686877436119533</x:v>
      </x:c>
    </x:row>
    <x:row r="2338" ht="22" customHeight="1">
      <x:c r="A2338" s="11" t="str">
        <x:v>854</x:v>
      </x:c>
      <x:c r="B2338" s="8" t="str">
        <x:v>Contoso Multimedia Speakers M25 Brown</x:v>
      </x:c>
      <x:c r="C2338" s="8" t="n">
        <x:v>30</x:v>
      </x:c>
      <x:c r="D2338" s="9" t="n">
        <x:v>129</x:v>
      </x:c>
      <x:c r="E2338" s="9" t="n">
        <x:v>59.32</x:v>
      </x:c>
      <x:c r="F2338" s="8" t="n">
        <x:f>C2338*D2338</x:f>
        <x:v>3870</x:v>
      </x:c>
      <x:c r="G2338" s="8" t="n">
        <x:f>C2338*E2338</x:f>
        <x:v>1779.6</x:v>
      </x:c>
      <x:c r="H2338" s="8" t="n">
        <x:f>F2338-G2338</x:f>
        <x:v>2090.4</x:v>
      </x:c>
      <x:c r="I2338" s="10" t="n">
        <x:f>H2338/F2338</x:f>
        <x:v>0.54015503875969</x:v>
      </x:c>
    </x:row>
    <x:row r="2339" ht="22" customHeight="1">
      <x:c r="A2339" s="11" t="str">
        <x:v>855</x:v>
      </x:c>
      <x:c r="B2339" s="8" t="str">
        <x:v>Contoso Multimedia Speakers M25 Blue</x:v>
      </x:c>
      <x:c r="C2339" s="8" t="n">
        <x:v>18</x:v>
      </x:c>
      <x:c r="D2339" s="9" t="n">
        <x:v>129</x:v>
      </x:c>
      <x:c r="E2339" s="9" t="n">
        <x:v>59.32</x:v>
      </x:c>
      <x:c r="F2339" s="8" t="n">
        <x:f>C2339*D2339</x:f>
        <x:v>2322</x:v>
      </x:c>
      <x:c r="G2339" s="8" t="n">
        <x:f>C2339*E2339</x:f>
        <x:v>1067.76</x:v>
      </x:c>
      <x:c r="H2339" s="8" t="n">
        <x:f>F2339-G2339</x:f>
        <x:v>1254.24</x:v>
      </x:c>
      <x:c r="I2339" s="10" t="n">
        <x:f>H2339/F2339</x:f>
        <x:v>0.54015503875969</x:v>
      </x:c>
    </x:row>
    <x:row r="2340" ht="22" customHeight="1">
      <x:c r="A2340" s="11" t="str">
        <x:v>856</x:v>
      </x:c>
      <x:c r="B2340" s="8" t="str">
        <x:v>Contoso Multimedia Speakers M25 Black</x:v>
      </x:c>
      <x:c r="C2340" s="8" t="n">
        <x:v>16</x:v>
      </x:c>
      <x:c r="D2340" s="9" t="n">
        <x:v>129</x:v>
      </x:c>
      <x:c r="E2340" s="9" t="n">
        <x:v>59.32</x:v>
      </x:c>
      <x:c r="F2340" s="8" t="n">
        <x:f>C2340*D2340</x:f>
        <x:v>2064</x:v>
      </x:c>
      <x:c r="G2340" s="8" t="n">
        <x:f>C2340*E2340</x:f>
        <x:v>949.12</x:v>
      </x:c>
      <x:c r="H2340" s="8" t="n">
        <x:f>F2340-G2340</x:f>
        <x:v>1114.88</x:v>
      </x:c>
      <x:c r="I2340" s="10" t="n">
        <x:f>H2340/F2340</x:f>
        <x:v>0.54015503875969</x:v>
      </x:c>
    </x:row>
    <x:row r="2341" ht="22" customHeight="1">
      <x:c r="A2341" s="11" t="str">
        <x:v>857</x:v>
      </x:c>
      <x:c r="B2341" s="8" t="str">
        <x:v>Contoso Multimedia Speakers M25 White</x:v>
      </x:c>
      <x:c r="C2341" s="8" t="n">
        <x:v>30</x:v>
      </x:c>
      <x:c r="D2341" s="9" t="n">
        <x:v>129</x:v>
      </x:c>
      <x:c r="E2341" s="9" t="n">
        <x:v>59.32</x:v>
      </x:c>
      <x:c r="F2341" s="8" t="n">
        <x:f>C2341*D2341</x:f>
        <x:v>3870</x:v>
      </x:c>
      <x:c r="G2341" s="8" t="n">
        <x:f>C2341*E2341</x:f>
        <x:v>1779.6</x:v>
      </x:c>
      <x:c r="H2341" s="8" t="n">
        <x:f>F2341-G2341</x:f>
        <x:v>2090.4</x:v>
      </x:c>
      <x:c r="I2341" s="10" t="n">
        <x:f>H2341/F2341</x:f>
        <x:v>0.54015503875969</x:v>
      </x:c>
    </x:row>
    <x:row r="2342" ht="22" customHeight="1">
      <x:c r="A2342" s="11" t="str">
        <x:v>858</x:v>
      </x:c>
      <x:c r="B2342" s="8" t="str">
        <x:v>Contoso Wireless Notebook Optical Mouse M35 Black</x:v>
      </x:c>
      <x:c r="C2342" s="8" t="n">
        <x:v>31</x:v>
      </x:c>
      <x:c r="D2342" s="9" t="n">
        <x:v>29.95</x:v>
      </x:c>
      <x:c r="E2342" s="9" t="n">
        <x:v>13.77</x:v>
      </x:c>
      <x:c r="F2342" s="8" t="n">
        <x:f>C2342*D2342</x:f>
        <x:v>928.4499999999999</x:v>
      </x:c>
      <x:c r="G2342" s="8" t="n">
        <x:f>C2342*E2342</x:f>
        <x:v>426.87</x:v>
      </x:c>
      <x:c r="H2342" s="8" t="n">
        <x:f>F2342-G2342</x:f>
        <x:v>501.5799999999999</x:v>
      </x:c>
      <x:c r="I2342" s="10" t="n">
        <x:f>H2342/F2342</x:f>
        <x:v>0.5402337228714524</x:v>
      </x:c>
    </x:row>
    <x:row r="2343" ht="22" customHeight="1">
      <x:c r="A2343" s="11" t="str">
        <x:v>859</x:v>
      </x:c>
      <x:c r="B2343" s="8" t="str">
        <x:v>Contoso Wireless Notebook Optical Mouse M35 White</x:v>
      </x:c>
      <x:c r="C2343" s="8" t="n">
        <x:v>40</x:v>
      </x:c>
      <x:c r="D2343" s="9" t="n">
        <x:v>29.95</x:v>
      </x:c>
      <x:c r="E2343" s="9" t="n">
        <x:v>13.77</x:v>
      </x:c>
      <x:c r="F2343" s="8" t="n">
        <x:f>C2343*D2343</x:f>
        <x:v>1198</x:v>
      </x:c>
      <x:c r="G2343" s="8" t="n">
        <x:f>C2343*E2343</x:f>
        <x:v>550.8</x:v>
      </x:c>
      <x:c r="H2343" s="8" t="n">
        <x:f>F2343-G2343</x:f>
        <x:v>647.2</x:v>
      </x:c>
      <x:c r="I2343" s="10" t="n">
        <x:f>H2343/F2343</x:f>
        <x:v>0.5402337228714524</x:v>
      </x:c>
    </x:row>
    <x:row r="2344" ht="22" customHeight="1">
      <x:c r="A2344" s="11" t="str">
        <x:v>86</x:v>
      </x:c>
      <x:c r="B2344" s="8" t="str">
        <x:v>NT Wireless Bluetooth Stereo Headphones M402 Black</x:v>
      </x:c>
      <x:c r="C2344" s="8" t="n">
        <x:v>287</x:v>
      </x:c>
      <x:c r="D2344" s="9" t="n">
        <x:v>99.99</x:v>
      </x:c>
      <x:c r="E2344" s="9" t="n">
        <x:v>45.98</x:v>
      </x:c>
      <x:c r="F2344" s="8" t="n">
        <x:f>C2344*D2344</x:f>
        <x:v>28697.129999999997</x:v>
      </x:c>
      <x:c r="G2344" s="8" t="n">
        <x:f>C2344*E2344</x:f>
        <x:v>13196.259999999998</x:v>
      </x:c>
      <x:c r="H2344" s="8" t="n">
        <x:f>F2344-G2344</x:f>
        <x:v>15500.869999999999</x:v>
      </x:c>
      <x:c r="I2344" s="10" t="n">
        <x:f>H2344/F2344</x:f>
        <x:v>0.5401540154015402</x:v>
      </x:c>
    </x:row>
    <x:row r="2345" ht="22" customHeight="1">
      <x:c r="A2345" s="11" t="str">
        <x:v>860</x:v>
      </x:c>
      <x:c r="B2345" s="8" t="str">
        <x:v>Contoso Wireless Notebook Optical Mouse M35 Blue</x:v>
      </x:c>
      <x:c r="C2345" s="8" t="n">
        <x:v>8</x:v>
      </x:c>
      <x:c r="D2345" s="9" t="n">
        <x:v>29.95</x:v>
      </x:c>
      <x:c r="E2345" s="9" t="n">
        <x:v>13.77</x:v>
      </x:c>
      <x:c r="F2345" s="8" t="n">
        <x:f>C2345*D2345</x:f>
        <x:v>239.6</x:v>
      </x:c>
      <x:c r="G2345" s="8" t="n">
        <x:f>C2345*E2345</x:f>
        <x:v>110.16</x:v>
      </x:c>
      <x:c r="H2345" s="8" t="n">
        <x:f>F2345-G2345</x:f>
        <x:v>129.44</x:v>
      </x:c>
      <x:c r="I2345" s="10" t="n">
        <x:f>H2345/F2345</x:f>
        <x:v>0.5402337228714524</x:v>
      </x:c>
    </x:row>
    <x:row r="2346" ht="22" customHeight="1">
      <x:c r="A2346" s="11" t="str">
        <x:v>861</x:v>
      </x:c>
      <x:c r="B2346" s="8" t="str">
        <x:v>Contoso Wireless Notebook Optical Mouse M35 Silver</x:v>
      </x:c>
      <x:c r="C2346" s="8" t="n">
        <x:v>25</x:v>
      </x:c>
      <x:c r="D2346" s="9" t="n">
        <x:v>29.95</x:v>
      </x:c>
      <x:c r="E2346" s="9" t="n">
        <x:v>13.77</x:v>
      </x:c>
      <x:c r="F2346" s="8" t="n">
        <x:f>C2346*D2346</x:f>
        <x:v>748.75</x:v>
      </x:c>
      <x:c r="G2346" s="8" t="n">
        <x:f>C2346*E2346</x:f>
        <x:v>344.25</x:v>
      </x:c>
      <x:c r="H2346" s="8" t="n">
        <x:f>F2346-G2346</x:f>
        <x:v>404.5</x:v>
      </x:c>
      <x:c r="I2346" s="10" t="n">
        <x:f>H2346/F2346</x:f>
        <x:v>0.5402337228714524</x:v>
      </x:c>
    </x:row>
    <x:row r="2347" ht="22" customHeight="1">
      <x:c r="A2347" s="11" t="str">
        <x:v>862</x:v>
      </x:c>
      <x:c r="B2347" s="8" t="str">
        <x:v>Contoso Wireless Notebook Optical Mouse M35 Orange</x:v>
      </x:c>
      <x:c r="C2347" s="8" t="n">
        <x:v>4</x:v>
      </x:c>
      <x:c r="D2347" s="9" t="n">
        <x:v>29.95</x:v>
      </x:c>
      <x:c r="E2347" s="9" t="n">
        <x:v>13.77</x:v>
      </x:c>
      <x:c r="F2347" s="8" t="n">
        <x:f>C2347*D2347</x:f>
        <x:v>119.8</x:v>
      </x:c>
      <x:c r="G2347" s="8" t="n">
        <x:f>C2347*E2347</x:f>
        <x:v>55.08</x:v>
      </x:c>
      <x:c r="H2347" s="8" t="n">
        <x:f>F2347-G2347</x:f>
        <x:v>64.72</x:v>
      </x:c>
      <x:c r="I2347" s="10" t="n">
        <x:f>H2347/F2347</x:f>
        <x:v>0.5402337228714524</x:v>
      </x:c>
    </x:row>
    <x:row r="2348" ht="22" customHeight="1">
      <x:c r="A2348" s="11" t="str">
        <x:v>863</x:v>
      </x:c>
      <x:c r="B2348" s="8" t="str">
        <x:v>Contoso Optical USB Mouse M45 Black</x:v>
      </x:c>
      <x:c r="C2348" s="8" t="n">
        <x:v>17</x:v>
      </x:c>
      <x:c r="D2348" s="9" t="n">
        <x:v>50.99</x:v>
      </x:c>
      <x:c r="E2348" s="9" t="n">
        <x:v>23.45</x:v>
      </x:c>
      <x:c r="F2348" s="8" t="n">
        <x:f>C2348*D2348</x:f>
        <x:v>866.83</x:v>
      </x:c>
      <x:c r="G2348" s="8" t="n">
        <x:f>C2348*E2348</x:f>
        <x:v>398.65</x:v>
      </x:c>
      <x:c r="H2348" s="8" t="n">
        <x:f>F2348-G2348</x:f>
        <x:v>468.18000000000006</x:v>
      </x:c>
      <x:c r="I2348" s="10" t="n">
        <x:f>H2348/F2348</x:f>
        <x:v>0.5401059031182586</x:v>
      </x:c>
    </x:row>
    <x:row r="2349" ht="22" customHeight="1">
      <x:c r="A2349" s="11" t="str">
        <x:v>864</x:v>
      </x:c>
      <x:c r="B2349" s="8" t="str">
        <x:v>Contoso Optical USB Mouse M45 White</x:v>
      </x:c>
      <x:c r="C2349" s="8" t="n">
        <x:v>26</x:v>
      </x:c>
      <x:c r="D2349" s="9" t="n">
        <x:v>50.99</x:v>
      </x:c>
      <x:c r="E2349" s="9" t="n">
        <x:v>23.45</x:v>
      </x:c>
      <x:c r="F2349" s="8" t="n">
        <x:f>C2349*D2349</x:f>
        <x:v>1325.74</x:v>
      </x:c>
      <x:c r="G2349" s="8" t="n">
        <x:f>C2349*E2349</x:f>
        <x:v>609.6999999999999</x:v>
      </x:c>
      <x:c r="H2349" s="8" t="n">
        <x:f>F2349-G2349</x:f>
        <x:v>716.0400000000001</x:v>
      </x:c>
      <x:c r="I2349" s="10" t="n">
        <x:f>H2349/F2349</x:f>
        <x:v>0.5401059031182586</x:v>
      </x:c>
    </x:row>
    <x:row r="2350" ht="22" customHeight="1">
      <x:c r="A2350" s="11" t="str">
        <x:v>865</x:v>
      </x:c>
      <x:c r="B2350" s="8" t="str">
        <x:v>Contoso Optical USB Mouse M45 Grey</x:v>
      </x:c>
      <x:c r="C2350" s="8" t="n">
        <x:v>37</x:v>
      </x:c>
      <x:c r="D2350" s="9" t="n">
        <x:v>50.99</x:v>
      </x:c>
      <x:c r="E2350" s="9" t="n">
        <x:v>23.45</x:v>
      </x:c>
      <x:c r="F2350" s="8" t="n">
        <x:f>C2350*D2350</x:f>
        <x:v>1886.63</x:v>
      </x:c>
      <x:c r="G2350" s="8" t="n">
        <x:f>C2350*E2350</x:f>
        <x:v>867.65</x:v>
      </x:c>
      <x:c r="H2350" s="8" t="n">
        <x:f>F2350-G2350</x:f>
        <x:v>1018.9800000000001</x:v>
      </x:c>
      <x:c r="I2350" s="10" t="n">
        <x:f>H2350/F2350</x:f>
        <x:v>0.5401059031182586</x:v>
      </x:c>
    </x:row>
    <x:row r="2351" ht="22" customHeight="1">
      <x:c r="A2351" s="11" t="str">
        <x:v>866</x:v>
      </x:c>
      <x:c r="B2351" s="8" t="str">
        <x:v>Contoso Wireless Laser Mouse M55 Black</x:v>
      </x:c>
      <x:c r="C2351" s="8" t="n">
        <x:v>22</x:v>
      </x:c>
      <x:c r="D2351" s="9" t="n">
        <x:v>69.99</x:v>
      </x:c>
      <x:c r="E2351" s="9" t="n">
        <x:v>32.19</x:v>
      </x:c>
      <x:c r="F2351" s="8" t="n">
        <x:f>C2351*D2351</x:f>
        <x:v>1539.78</x:v>
      </x:c>
      <x:c r="G2351" s="8" t="n">
        <x:f>C2351*E2351</x:f>
        <x:v>708.18</x:v>
      </x:c>
      <x:c r="H2351" s="8" t="n">
        <x:f>F2351-G2351</x:f>
        <x:v>831.6</x:v>
      </x:c>
      <x:c r="I2351" s="10" t="n">
        <x:f>H2351/F2351</x:f>
        <x:v>0.5400771538791256</x:v>
      </x:c>
    </x:row>
    <x:row r="2352" ht="22" customHeight="1">
      <x:c r="A2352" s="11" t="str">
        <x:v>867</x:v>
      </x:c>
      <x:c r="B2352" s="8" t="str">
        <x:v>Contoso Wireless Laser Mouse M55 White</x:v>
      </x:c>
      <x:c r="C2352" s="8" t="n">
        <x:v>27</x:v>
      </x:c>
      <x:c r="D2352" s="9" t="n">
        <x:v>69.99</x:v>
      </x:c>
      <x:c r="E2352" s="9" t="n">
        <x:v>32.19</x:v>
      </x:c>
      <x:c r="F2352" s="8" t="n">
        <x:f>C2352*D2352</x:f>
        <x:v>1889.7299999999998</x:v>
      </x:c>
      <x:c r="G2352" s="8" t="n">
        <x:f>C2352*E2352</x:f>
        <x:v>869.1299999999999</x:v>
      </x:c>
      <x:c r="H2352" s="8" t="n">
        <x:f>F2352-G2352</x:f>
        <x:v>1020.5999999999999</x:v>
      </x:c>
      <x:c r="I2352" s="10" t="n">
        <x:f>H2352/F2352</x:f>
        <x:v>0.5400771538791256</x:v>
      </x:c>
    </x:row>
    <x:row r="2353" ht="22" customHeight="1">
      <x:c r="A2353" s="11" t="str">
        <x:v>868</x:v>
      </x:c>
      <x:c r="B2353" s="8" t="str">
        <x:v>Contoso Wireless Laser Mouse M55 Grey</x:v>
      </x:c>
      <x:c r="C2353" s="8" t="n">
        <x:v>33</x:v>
      </x:c>
      <x:c r="D2353" s="9" t="n">
        <x:v>69.99</x:v>
      </x:c>
      <x:c r="E2353" s="9" t="n">
        <x:v>32.19</x:v>
      </x:c>
      <x:c r="F2353" s="8" t="n">
        <x:f>C2353*D2353</x:f>
        <x:v>2309.6699999999996</x:v>
      </x:c>
      <x:c r="G2353" s="8" t="n">
        <x:f>C2353*E2353</x:f>
        <x:v>1062.27</x:v>
      </x:c>
      <x:c r="H2353" s="8" t="n">
        <x:f>F2353-G2353</x:f>
        <x:v>1247.3999999999996</x:v>
      </x:c>
      <x:c r="I2353" s="10" t="n">
        <x:f>H2353/F2353</x:f>
        <x:v>0.5400771538791255</x:v>
      </x:c>
    </x:row>
    <x:row r="2354" ht="22" customHeight="1">
      <x:c r="A2354" s="11" t="str">
        <x:v>869</x:v>
      </x:c>
      <x:c r="B2354" s="8" t="str">
        <x:v>Contoso Wireless Laser Mouse M55 Silver</x:v>
      </x:c>
      <x:c r="C2354" s="8" t="n">
        <x:v>19</x:v>
      </x:c>
      <x:c r="D2354" s="9" t="n">
        <x:v>69.99</x:v>
      </x:c>
      <x:c r="E2354" s="9" t="n">
        <x:v>32.19</x:v>
      </x:c>
      <x:c r="F2354" s="8" t="n">
        <x:f>C2354*D2354</x:f>
        <x:v>1329.81</x:v>
      </x:c>
      <x:c r="G2354" s="8" t="n">
        <x:f>C2354*E2354</x:f>
        <x:v>611.6099999999999</x:v>
      </x:c>
      <x:c r="H2354" s="8" t="n">
        <x:f>F2354-G2354</x:f>
        <x:v>718.2</x:v>
      </x:c>
      <x:c r="I2354" s="10" t="n">
        <x:f>H2354/F2354</x:f>
        <x:v>0.5400771538791257</x:v>
      </x:c>
    </x:row>
    <x:row r="2355" ht="22" customHeight="1">
      <x:c r="A2355" s="11" t="str">
        <x:v>87</x:v>
      </x:c>
      <x:c r="B2355" s="8" t="str">
        <x:v>NT Wireless Bluetooth Stereo Headphones M402 Purple</x:v>
      </x:c>
      <x:c r="C2355" s="8" t="n">
        <x:v>301</x:v>
      </x:c>
      <x:c r="D2355" s="9" t="n">
        <x:v>99.99</x:v>
      </x:c>
      <x:c r="E2355" s="9" t="n">
        <x:v>45.98</x:v>
      </x:c>
      <x:c r="F2355" s="8" t="n">
        <x:f>C2355*D2355</x:f>
        <x:v>30096.989999999998</x:v>
      </x:c>
      <x:c r="G2355" s="8" t="n">
        <x:f>C2355*E2355</x:f>
        <x:v>13839.98</x:v>
      </x:c>
      <x:c r="H2355" s="8" t="n">
        <x:f>F2355-G2355</x:f>
        <x:v>16257.009999999998</x:v>
      </x:c>
      <x:c r="I2355" s="10" t="n">
        <x:f>H2355/F2355</x:f>
        <x:v>0.5401540154015402</x:v>
      </x:c>
    </x:row>
    <x:row r="2356" ht="22" customHeight="1">
      <x:c r="A2356" s="11" t="str">
        <x:v>870</x:v>
      </x:c>
      <x:c r="B2356" s="8" t="str">
        <x:v>Contoso Wireless Laser Mouse E50 Black</x:v>
      </x:c>
      <x:c r="C2356" s="8" t="n">
        <x:v>21</x:v>
      </x:c>
      <x:c r="D2356" s="9" t="n">
        <x:v>20.96</x:v>
      </x:c>
      <x:c r="E2356" s="9" t="n">
        <x:v>10.69</x:v>
      </x:c>
      <x:c r="F2356" s="8" t="n">
        <x:f>C2356*D2356</x:f>
        <x:v>440.16</x:v>
      </x:c>
      <x:c r="G2356" s="8" t="n">
        <x:f>C2356*E2356</x:f>
        <x:v>224.48999999999998</x:v>
      </x:c>
      <x:c r="H2356" s="8" t="n">
        <x:f>F2356-G2356</x:f>
        <x:v>215.67000000000004</x:v>
      </x:c>
      <x:c r="I2356" s="10" t="n">
        <x:f>H2356/F2356</x:f>
        <x:v>0.4899809160305344</x:v>
      </x:c>
    </x:row>
    <x:row r="2357" ht="22" customHeight="1">
      <x:c r="A2357" s="11" t="str">
        <x:v>871</x:v>
      </x:c>
      <x:c r="B2357" s="8" t="str">
        <x:v>Contoso Wireless Laser Mouse E50 White</x:v>
      </x:c>
      <x:c r="C2357" s="8" t="n">
        <x:v>25</x:v>
      </x:c>
      <x:c r="D2357" s="9" t="n">
        <x:v>20.96</x:v>
      </x:c>
      <x:c r="E2357" s="9" t="n">
        <x:v>10.69</x:v>
      </x:c>
      <x:c r="F2357" s="8" t="n">
        <x:f>C2357*D2357</x:f>
        <x:v>524</x:v>
      </x:c>
      <x:c r="G2357" s="8" t="n">
        <x:f>C2357*E2357</x:f>
        <x:v>267.25</x:v>
      </x:c>
      <x:c r="H2357" s="8" t="n">
        <x:f>F2357-G2357</x:f>
        <x:v>256.75</x:v>
      </x:c>
      <x:c r="I2357" s="10" t="n">
        <x:f>H2357/F2357</x:f>
        <x:v>0.48998091603053434</x:v>
      </x:c>
    </x:row>
    <x:row r="2358" ht="22" customHeight="1">
      <x:c r="A2358" s="11" t="str">
        <x:v>872</x:v>
      </x:c>
      <x:c r="B2358" s="8" t="str">
        <x:v>Contoso Wireless Laser Mouse E50 Silver</x:v>
      </x:c>
      <x:c r="C2358" s="8" t="n">
        <x:v>30</x:v>
      </x:c>
      <x:c r="D2358" s="9" t="n">
        <x:v>20.96</x:v>
      </x:c>
      <x:c r="E2358" s="9" t="n">
        <x:v>10.69</x:v>
      </x:c>
      <x:c r="F2358" s="8" t="n">
        <x:f>C2358*D2358</x:f>
        <x:v>628.8000000000001</x:v>
      </x:c>
      <x:c r="G2358" s="8" t="n">
        <x:f>C2358*E2358</x:f>
        <x:v>320.7</x:v>
      </x:c>
      <x:c r="H2358" s="8" t="n">
        <x:f>F2358-G2358</x:f>
        <x:v>308.1000000000001</x:v>
      </x:c>
      <x:c r="I2358" s="10" t="n">
        <x:f>H2358/F2358</x:f>
        <x:v>0.4899809160305344</x:v>
      </x:c>
    </x:row>
    <x:row r="2359" ht="22" customHeight="1">
      <x:c r="A2359" s="11" t="str">
        <x:v>873</x:v>
      </x:c>
      <x:c r="B2359" s="8" t="str">
        <x:v>Contoso Wireless Laser Mouse E50 Grey</x:v>
      </x:c>
      <x:c r="C2359" s="8" t="n">
        <x:v>38</x:v>
      </x:c>
      <x:c r="D2359" s="9" t="n">
        <x:v>20.96</x:v>
      </x:c>
      <x:c r="E2359" s="9" t="n">
        <x:v>10.69</x:v>
      </x:c>
      <x:c r="F2359" s="8" t="n">
        <x:f>C2359*D2359</x:f>
        <x:v>796.48</x:v>
      </x:c>
      <x:c r="G2359" s="8" t="n">
        <x:f>C2359*E2359</x:f>
        <x:v>406.21999999999997</x:v>
      </x:c>
      <x:c r="H2359" s="8" t="n">
        <x:f>F2359-G2359</x:f>
        <x:v>390.26000000000005</x:v>
      </x:c>
      <x:c r="I2359" s="10" t="n">
        <x:f>H2359/F2359</x:f>
        <x:v>0.4899809160305344</x:v>
      </x:c>
    </x:row>
    <x:row r="2360" ht="22" customHeight="1">
      <x:c r="A2360" s="11" t="str">
        <x:v>874</x:v>
      </x:c>
      <x:c r="B2360" s="8" t="str">
        <x:v>Contoso Wireless Notebook Optical Mouse X205 Black</x:v>
      </x:c>
      <x:c r="C2360" s="8" t="n">
        <x:v>17</x:v>
      </x:c>
      <x:c r="D2360" s="9" t="n">
        <x:v>129.95</x:v>
      </x:c>
      <x:c r="E2360" s="9" t="n">
        <x:v>43.06</x:v>
      </x:c>
      <x:c r="F2360" s="8" t="n">
        <x:f>C2360*D2360</x:f>
        <x:v>2209.1499999999996</x:v>
      </x:c>
      <x:c r="G2360" s="8" t="n">
        <x:f>C2360*E2360</x:f>
        <x:v>732.02</x:v>
      </x:c>
      <x:c r="H2360" s="8" t="n">
        <x:f>F2360-G2360</x:f>
        <x:v>1477.1299999999997</x:v>
      </x:c>
      <x:c r="I2360" s="10" t="n">
        <x:f>H2360/F2360</x:f>
        <x:v>0.6686417853020392</x:v>
      </x:c>
    </x:row>
    <x:row r="2361" ht="22" customHeight="1">
      <x:c r="A2361" s="11" t="str">
        <x:v>875</x:v>
      </x:c>
      <x:c r="B2361" s="8" t="str">
        <x:v>Contoso Wireless Notebook Optical Mouse X205 White</x:v>
      </x:c>
      <x:c r="C2361" s="8" t="n">
        <x:v>21</x:v>
      </x:c>
      <x:c r="D2361" s="9" t="n">
        <x:v>129.95</x:v>
      </x:c>
      <x:c r="E2361" s="9" t="n">
        <x:v>43.06</x:v>
      </x:c>
      <x:c r="F2361" s="8" t="n">
        <x:f>C2361*D2361</x:f>
        <x:v>2728.95</x:v>
      </x:c>
      <x:c r="G2361" s="8" t="n">
        <x:f>C2361*E2361</x:f>
        <x:v>904.26</x:v>
      </x:c>
      <x:c r="H2361" s="8" t="n">
        <x:f>F2361-G2361</x:f>
        <x:v>1824.6899999999998</x:v>
      </x:c>
      <x:c r="I2361" s="10" t="n">
        <x:f>H2361/F2361</x:f>
        <x:v>0.6686417853020392</x:v>
      </x:c>
    </x:row>
    <x:row r="2362" ht="22" customHeight="1">
      <x:c r="A2362" s="11" t="str">
        <x:v>876</x:v>
      </x:c>
      <x:c r="B2362" s="8" t="str">
        <x:v>Contoso Wireless Notebook Optical Mouse X205 Blue</x:v>
      </x:c>
      <x:c r="C2362" s="8" t="n">
        <x:v>11</x:v>
      </x:c>
      <x:c r="D2362" s="9" t="n">
        <x:v>129.95</x:v>
      </x:c>
      <x:c r="E2362" s="9" t="n">
        <x:v>43.06</x:v>
      </x:c>
      <x:c r="F2362" s="8" t="n">
        <x:f>C2362*D2362</x:f>
        <x:v>1429.4499999999998</x:v>
      </x:c>
      <x:c r="G2362" s="8" t="n">
        <x:f>C2362*E2362</x:f>
        <x:v>473.66</x:v>
      </x:c>
      <x:c r="H2362" s="8" t="n">
        <x:f>F2362-G2362</x:f>
        <x:v>955.7899999999997</x:v>
      </x:c>
      <x:c r="I2362" s="10" t="n">
        <x:f>H2362/F2362</x:f>
        <x:v>0.6686417853020391</x:v>
      </x:c>
    </x:row>
    <x:row r="2363" ht="22" customHeight="1">
      <x:c r="A2363" s="11" t="str">
        <x:v>877</x:v>
      </x:c>
      <x:c r="B2363" s="8" t="str">
        <x:v>Contoso Wireless Notebook Optical Mouse X205 Silver</x:v>
      </x:c>
      <x:c r="C2363" s="8" t="n">
        <x:v>15</x:v>
      </x:c>
      <x:c r="D2363" s="9" t="n">
        <x:v>129.95</x:v>
      </x:c>
      <x:c r="E2363" s="9" t="n">
        <x:v>43.06</x:v>
      </x:c>
      <x:c r="F2363" s="8" t="n">
        <x:f>C2363*D2363</x:f>
        <x:v>1949.2499999999998</x:v>
      </x:c>
      <x:c r="G2363" s="8" t="n">
        <x:f>C2363*E2363</x:f>
        <x:v>645.9000000000001</x:v>
      </x:c>
      <x:c r="H2363" s="8" t="n">
        <x:f>F2363-G2363</x:f>
        <x:v>1303.3499999999997</x:v>
      </x:c>
      <x:c r="I2363" s="10" t="n">
        <x:f>H2363/F2363</x:f>
        <x:v>0.6686417853020392</x:v>
      </x:c>
    </x:row>
    <x:row r="2364" ht="22" customHeight="1">
      <x:c r="A2364" s="11" t="str">
        <x:v>878</x:v>
      </x:c>
      <x:c r="B2364" s="8" t="str">
        <x:v>Contoso Wireless Notebook Optical Mouse X205 Orange</x:v>
      </x:c>
      <x:c r="C2364" s="8" t="n">
        <x:v>10</x:v>
      </x:c>
      <x:c r="D2364" s="9" t="n">
        <x:v>129.95</x:v>
      </x:c>
      <x:c r="E2364" s="9" t="n">
        <x:v>43.06</x:v>
      </x:c>
      <x:c r="F2364" s="8" t="n">
        <x:f>C2364*D2364</x:f>
        <x:v>1299.5</x:v>
      </x:c>
      <x:c r="G2364" s="8" t="n">
        <x:f>C2364*E2364</x:f>
        <x:v>430.6</x:v>
      </x:c>
      <x:c r="H2364" s="8" t="n">
        <x:f>F2364-G2364</x:f>
        <x:v>868.9</x:v>
      </x:c>
      <x:c r="I2364" s="10" t="n">
        <x:f>H2364/F2364</x:f>
        <x:v>0.6686417853020392</x:v>
      </x:c>
    </x:row>
    <x:row r="2365" ht="22" customHeight="1">
      <x:c r="A2365" s="11" t="str">
        <x:v>879</x:v>
      </x:c>
      <x:c r="B2365" s="8" t="str">
        <x:v>Contoso Optical Wheel OEM PS/2 Mouse E60 Grey</x:v>
      </x:c>
      <x:c r="C2365" s="8" t="n">
        <x:v>24</x:v>
      </x:c>
      <x:c r="D2365" s="9" t="n">
        <x:v>13</x:v>
      </x:c>
      <x:c r="E2365" s="9" t="n">
        <x:v>6.63</x:v>
      </x:c>
      <x:c r="F2365" s="8" t="n">
        <x:f>C2365*D2365</x:f>
        <x:v>312</x:v>
      </x:c>
      <x:c r="G2365" s="8" t="n">
        <x:f>C2365*E2365</x:f>
        <x:v>159.12</x:v>
      </x:c>
      <x:c r="H2365" s="8" t="n">
        <x:f>F2365-G2365</x:f>
        <x:v>152.88</x:v>
      </x:c>
      <x:c r="I2365" s="10" t="n">
        <x:f>H2365/F2365</x:f>
        <x:v>0.49</x:v>
      </x:c>
    </x:row>
    <x:row r="2366" ht="22" customHeight="1">
      <x:c r="A2366" s="11" t="str">
        <x:v>88</x:v>
      </x:c>
      <x:c r="B2366" s="8" t="str">
        <x:v>NT Wireless Transmitter and Bluetooth Headphones M150 Black</x:v>
      </x:c>
      <x:c r="C2366" s="8" t="n">
        <x:v>251</x:v>
      </x:c>
      <x:c r="D2366" s="9" t="n">
        <x:v>149.99</x:v>
      </x:c>
      <x:c r="E2366" s="9" t="n">
        <x:v>49.69</x:v>
      </x:c>
      <x:c r="F2366" s="8" t="n">
        <x:f>C2366*D2366</x:f>
        <x:v>37647.490000000005</x:v>
      </x:c>
      <x:c r="G2366" s="8" t="n">
        <x:f>C2366*E2366</x:f>
        <x:v>12472.189999999999</x:v>
      </x:c>
      <x:c r="H2366" s="8" t="n">
        <x:f>F2366-G2366</x:f>
        <x:v>25175.300000000007</x:v>
      </x:c>
      <x:c r="I2366" s="10" t="n">
        <x:f>H2366/F2366</x:f>
        <x:v>0.6687112474164945</x:v>
      </x:c>
    </x:row>
    <x:row r="2367" ht="22" customHeight="1">
      <x:c r="A2367" s="11" t="str">
        <x:v>880</x:v>
      </x:c>
      <x:c r="B2367" s="8" t="str">
        <x:v>Contoso Optical Wheel OEM PS/2 Mouse E60 Black</x:v>
      </x:c>
      <x:c r="C2367" s="8" t="n">
        <x:v>8</x:v>
      </x:c>
      <x:c r="D2367" s="9" t="n">
        <x:v>13</x:v>
      </x:c>
      <x:c r="E2367" s="9" t="n">
        <x:v>6.63</x:v>
      </x:c>
      <x:c r="F2367" s="8" t="n">
        <x:f>C2367*D2367</x:f>
        <x:v>104</x:v>
      </x:c>
      <x:c r="G2367" s="8" t="n">
        <x:f>C2367*E2367</x:f>
        <x:v>53.04</x:v>
      </x:c>
      <x:c r="H2367" s="8" t="n">
        <x:f>F2367-G2367</x:f>
        <x:v>50.96</x:v>
      </x:c>
      <x:c r="I2367" s="10" t="n">
        <x:f>H2367/F2367</x:f>
        <x:v>0.49</x:v>
      </x:c>
    </x:row>
    <x:row r="2368" ht="22" customHeight="1">
      <x:c r="A2368" s="11" t="str">
        <x:v>881</x:v>
      </x:c>
      <x:c r="B2368" s="8" t="str">
        <x:v>Contoso Optical Wheel OEM PS/2 Mouse E60 White</x:v>
      </x:c>
      <x:c r="C2368" s="8" t="n">
        <x:v>19</x:v>
      </x:c>
      <x:c r="D2368" s="9" t="n">
        <x:v>13</x:v>
      </x:c>
      <x:c r="E2368" s="9" t="n">
        <x:v>6.63</x:v>
      </x:c>
      <x:c r="F2368" s="8" t="n">
        <x:f>C2368*D2368</x:f>
        <x:v>247</x:v>
      </x:c>
      <x:c r="G2368" s="8" t="n">
        <x:f>C2368*E2368</x:f>
        <x:v>125.97</x:v>
      </x:c>
      <x:c r="H2368" s="8" t="n">
        <x:f>F2368-G2368</x:f>
        <x:v>121.03</x:v>
      </x:c>
      <x:c r="I2368" s="10" t="n">
        <x:f>H2368/F2368</x:f>
        <x:v>0.49</x:v>
      </x:c>
    </x:row>
    <x:row r="2369" ht="22" customHeight="1">
      <x:c r="A2369" s="11" t="str">
        <x:v>882</x:v>
      </x:c>
      <x:c r="B2369" s="8" t="str">
        <x:v>Contoso Optical Wheel OEM PS/2 Mouse E60 Silver</x:v>
      </x:c>
      <x:c r="C2369" s="8" t="n">
        <x:v>47</x:v>
      </x:c>
      <x:c r="D2369" s="9" t="n">
        <x:v>13</x:v>
      </x:c>
      <x:c r="E2369" s="9" t="n">
        <x:v>6.63</x:v>
      </x:c>
      <x:c r="F2369" s="8" t="n">
        <x:f>C2369*D2369</x:f>
        <x:v>611</x:v>
      </x:c>
      <x:c r="G2369" s="8" t="n">
        <x:f>C2369*E2369</x:f>
        <x:v>311.61</x:v>
      </x:c>
      <x:c r="H2369" s="8" t="n">
        <x:f>F2369-G2369</x:f>
        <x:v>299.39</x:v>
      </x:c>
      <x:c r="I2369" s="10" t="n">
        <x:f>H2369/F2369</x:f>
        <x:v>0.49</x:v>
      </x:c>
    </x:row>
    <x:row r="2370" ht="22" customHeight="1">
      <x:c r="A2370" s="11" t="str">
        <x:v>883</x:v>
      </x:c>
      <x:c r="B2370" s="8" t="str">
        <x:v>Contoso Bluetooth Notebook Mouse X305 Black</x:v>
      </x:c>
      <x:c r="C2370" s="8" t="n">
        <x:v>10</x:v>
      </x:c>
      <x:c r="D2370" s="9" t="n">
        <x:v>150</x:v>
      </x:c>
      <x:c r="E2370" s="9" t="n">
        <x:v>49.7</x:v>
      </x:c>
      <x:c r="F2370" s="8" t="n">
        <x:f>C2370*D2370</x:f>
        <x:v>1500</x:v>
      </x:c>
      <x:c r="G2370" s="8" t="n">
        <x:f>C2370*E2370</x:f>
        <x:v>497</x:v>
      </x:c>
      <x:c r="H2370" s="8" t="n">
        <x:f>F2370-G2370</x:f>
        <x:v>1003</x:v>
      </x:c>
      <x:c r="I2370" s="10" t="n">
        <x:f>H2370/F2370</x:f>
        <x:v>0.6686666666666666</x:v>
      </x:c>
    </x:row>
    <x:row r="2371" ht="22" customHeight="1">
      <x:c r="A2371" s="11" t="str">
        <x:v>884</x:v>
      </x:c>
      <x:c r="B2371" s="8" t="str">
        <x:v>Contoso Bluetooth Notebook Mouse X305 White</x:v>
      </x:c>
      <x:c r="C2371" s="8" t="n">
        <x:v>28</x:v>
      </x:c>
      <x:c r="D2371" s="9" t="n">
        <x:v>150</x:v>
      </x:c>
      <x:c r="E2371" s="9" t="n">
        <x:v>49.7</x:v>
      </x:c>
      <x:c r="F2371" s="8" t="n">
        <x:f>C2371*D2371</x:f>
        <x:v>4200</x:v>
      </x:c>
      <x:c r="G2371" s="8" t="n">
        <x:f>C2371*E2371</x:f>
        <x:v>1391.6000000000001</x:v>
      </x:c>
      <x:c r="H2371" s="8" t="n">
        <x:f>F2371-G2371</x:f>
        <x:v>2808.3999999999996</x:v>
      </x:c>
      <x:c r="I2371" s="10" t="n">
        <x:f>H2371/F2371</x:f>
        <x:v>0.6686666666666666</x:v>
      </x:c>
    </x:row>
    <x:row r="2372" ht="22" customHeight="1">
      <x:c r="A2372" s="11" t="str">
        <x:v>885</x:v>
      </x:c>
      <x:c r="B2372" s="8" t="str">
        <x:v>Contoso Bluetooth Notebook Mouse X305 Silver</x:v>
      </x:c>
      <x:c r="C2372" s="8" t="n">
        <x:v>18</x:v>
      </x:c>
      <x:c r="D2372" s="9" t="n">
        <x:v>150</x:v>
      </x:c>
      <x:c r="E2372" s="9" t="n">
        <x:v>49.7</x:v>
      </x:c>
      <x:c r="F2372" s="8" t="n">
        <x:f>C2372*D2372</x:f>
        <x:v>2700</x:v>
      </x:c>
      <x:c r="G2372" s="8" t="n">
        <x:f>C2372*E2372</x:f>
        <x:v>894.6</x:v>
      </x:c>
      <x:c r="H2372" s="8" t="n">
        <x:f>F2372-G2372</x:f>
        <x:v>1805.4</x:v>
      </x:c>
      <x:c r="I2372" s="10" t="n">
        <x:f>H2372/F2372</x:f>
        <x:v>0.6686666666666667</x:v>
      </x:c>
    </x:row>
    <x:row r="2373" ht="22" customHeight="1">
      <x:c r="A2373" s="11" t="str">
        <x:v>886</x:v>
      </x:c>
      <x:c r="B2373" s="8" t="str">
        <x:v>Contoso Bluetooth Notebook Mouse X305 Grey</x:v>
      </x:c>
      <x:c r="C2373" s="8" t="n">
        <x:v>40</x:v>
      </x:c>
      <x:c r="D2373" s="9" t="n">
        <x:v>150</x:v>
      </x:c>
      <x:c r="E2373" s="9" t="n">
        <x:v>49.7</x:v>
      </x:c>
      <x:c r="F2373" s="8" t="n">
        <x:f>C2373*D2373</x:f>
        <x:v>6000</x:v>
      </x:c>
      <x:c r="G2373" s="8" t="n">
        <x:f>C2373*E2373</x:f>
        <x:v>1988</x:v>
      </x:c>
      <x:c r="H2373" s="8" t="n">
        <x:f>F2373-G2373</x:f>
        <x:v>4012</x:v>
      </x:c>
      <x:c r="I2373" s="10" t="n">
        <x:f>H2373/F2373</x:f>
        <x:v>0.6686666666666666</x:v>
      </x:c>
    </x:row>
    <x:row r="2374" ht="22" customHeight="1">
      <x:c r="A2374" s="11" t="str">
        <x:v>887</x:v>
      </x:c>
      <x:c r="B2374" s="8" t="str">
        <x:v>Contoso Bluetooth Notebook Mouse E70 Black</x:v>
      </x:c>
      <x:c r="C2374" s="8" t="n">
        <x:v>20</x:v>
      </x:c>
      <x:c r="D2374" s="9" t="n">
        <x:v>50</x:v>
      </x:c>
      <x:c r="E2374" s="9" t="n">
        <x:v>25.49</x:v>
      </x:c>
      <x:c r="F2374" s="8" t="n">
        <x:f>C2374*D2374</x:f>
        <x:v>1000</x:v>
      </x:c>
      <x:c r="G2374" s="8" t="n">
        <x:f>C2374*E2374</x:f>
        <x:v>509.79999999999995</x:v>
      </x:c>
      <x:c r="H2374" s="8" t="n">
        <x:f>F2374-G2374</x:f>
        <x:v>490.20000000000005</x:v>
      </x:c>
      <x:c r="I2374" s="10" t="n">
        <x:f>H2374/F2374</x:f>
        <x:v>0.4902</x:v>
      </x:c>
    </x:row>
    <x:row r="2375" ht="22" customHeight="1">
      <x:c r="A2375" s="11" t="str">
        <x:v>888</x:v>
      </x:c>
      <x:c r="B2375" s="8" t="str">
        <x:v>Contoso Bluetooth Notebook Mouse E70 White</x:v>
      </x:c>
      <x:c r="C2375" s="8" t="n">
        <x:v>14</x:v>
      </x:c>
      <x:c r="D2375" s="9" t="n">
        <x:v>50</x:v>
      </x:c>
      <x:c r="E2375" s="9" t="n">
        <x:v>25.49</x:v>
      </x:c>
      <x:c r="F2375" s="8" t="n">
        <x:f>C2375*D2375</x:f>
        <x:v>700</x:v>
      </x:c>
      <x:c r="G2375" s="8" t="n">
        <x:f>C2375*E2375</x:f>
        <x:v>356.85999999999996</x:v>
      </x:c>
      <x:c r="H2375" s="8" t="n">
        <x:f>F2375-G2375</x:f>
        <x:v>343.14000000000004</x:v>
      </x:c>
      <x:c r="I2375" s="10" t="n">
        <x:f>H2375/F2375</x:f>
        <x:v>0.4902000000000001</x:v>
      </x:c>
    </x:row>
    <x:row r="2376" ht="22" customHeight="1">
      <x:c r="A2376" s="11" t="str">
        <x:v>889</x:v>
      </x:c>
      <x:c r="B2376" s="8" t="str">
        <x:v>Contoso Bluetooth Notebook Mouse E70 Silver</x:v>
      </x:c>
      <x:c r="C2376" s="8" t="n">
        <x:v>17</x:v>
      </x:c>
      <x:c r="D2376" s="9" t="n">
        <x:v>50</x:v>
      </x:c>
      <x:c r="E2376" s="9" t="n">
        <x:v>25.49</x:v>
      </x:c>
      <x:c r="F2376" s="8" t="n">
        <x:f>C2376*D2376</x:f>
        <x:v>850</x:v>
      </x:c>
      <x:c r="G2376" s="8" t="n">
        <x:f>C2376*E2376</x:f>
        <x:v>433.33</x:v>
      </x:c>
      <x:c r="H2376" s="8" t="n">
        <x:f>F2376-G2376</x:f>
        <x:v>416.67</x:v>
      </x:c>
      <x:c r="I2376" s="10" t="n">
        <x:f>H2376/F2376</x:f>
        <x:v>0.4902</x:v>
      </x:c>
    </x:row>
    <x:row r="2377" ht="22" customHeight="1">
      <x:c r="A2377" s="11" t="str">
        <x:v>89</x:v>
      </x:c>
      <x:c r="B2377" s="8" t="str">
        <x:v>NT Wireless Transmitter and Bluetooth Headphones M150 Blue</x:v>
      </x:c>
      <x:c r="C2377" s="8" t="n">
        <x:v>267</x:v>
      </x:c>
      <x:c r="D2377" s="9" t="n">
        <x:v>149.99</x:v>
      </x:c>
      <x:c r="E2377" s="9" t="n">
        <x:v>49.69</x:v>
      </x:c>
      <x:c r="F2377" s="8" t="n">
        <x:f>C2377*D2377</x:f>
        <x:v>40047.33</x:v>
      </x:c>
      <x:c r="G2377" s="8" t="n">
        <x:f>C2377*E2377</x:f>
        <x:v>13267.23</x:v>
      </x:c>
      <x:c r="H2377" s="8" t="n">
        <x:f>F2377-G2377</x:f>
        <x:v>26780.100000000002</x:v>
      </x:c>
      <x:c r="I2377" s="10" t="n">
        <x:f>H2377/F2377</x:f>
        <x:v>0.6687112474164945</x:v>
      </x:c>
    </x:row>
    <x:row r="2378" ht="22" customHeight="1">
      <x:c r="A2378" s="11" t="str">
        <x:v>890</x:v>
      </x:c>
      <x:c r="B2378" s="8" t="str">
        <x:v>Contoso Bluetooth Notebook Mouse E70 Grey</x:v>
      </x:c>
      <x:c r="C2378" s="8" t="n">
        <x:v>29</x:v>
      </x:c>
      <x:c r="D2378" s="9" t="n">
        <x:v>50</x:v>
      </x:c>
      <x:c r="E2378" s="9" t="n">
        <x:v>25.49</x:v>
      </x:c>
      <x:c r="F2378" s="8" t="n">
        <x:f>C2378*D2378</x:f>
        <x:v>1450</x:v>
      </x:c>
      <x:c r="G2378" s="8" t="n">
        <x:f>C2378*E2378</x:f>
        <x:v>739.2099999999999</x:v>
      </x:c>
      <x:c r="H2378" s="8" t="n">
        <x:f>F2378-G2378</x:f>
        <x:v>710.7900000000001</x:v>
      </x:c>
      <x:c r="I2378" s="10" t="n">
        <x:f>H2378/F2378</x:f>
        <x:v>0.4902000000000001</x:v>
      </x:c>
    </x:row>
    <x:row r="2379" ht="22" customHeight="1">
      <x:c r="A2379" s="11" t="str">
        <x:v>891</x:v>
      </x:c>
      <x:c r="B2379" s="8" t="str">
        <x:v>SV Rechargeable Bluetooth Notebook Mouse E80 Silver</x:v>
      </x:c>
      <x:c r="C2379" s="8" t="n">
        <x:v>10</x:v>
      </x:c>
      <x:c r="D2379" s="9" t="n">
        <x:v>59.99</x:v>
      </x:c>
      <x:c r="E2379" s="9" t="n">
        <x:v>30.58</x:v>
      </x:c>
      <x:c r="F2379" s="8" t="n">
        <x:f>C2379*D2379</x:f>
        <x:v>599.9</x:v>
      </x:c>
      <x:c r="G2379" s="8" t="n">
        <x:f>C2379*E2379</x:f>
        <x:v>305.79999999999995</x:v>
      </x:c>
      <x:c r="H2379" s="8" t="n">
        <x:f>F2379-G2379</x:f>
        <x:v>294.1</x:v>
      </x:c>
      <x:c r="I2379" s="10" t="n">
        <x:f>H2379/F2379</x:f>
        <x:v>0.4902483747291216</x:v>
      </x:c>
    </x:row>
    <x:row r="2380" ht="22" customHeight="1">
      <x:c r="A2380" s="11" t="str">
        <x:v>892</x:v>
      </x:c>
      <x:c r="B2380" s="8" t="str">
        <x:v>SV Rechargeable Bluetooth Notebook Mouse E80 Black</x:v>
      </x:c>
      <x:c r="C2380" s="8" t="n">
        <x:v>37</x:v>
      </x:c>
      <x:c r="D2380" s="9" t="n">
        <x:v>59.99</x:v>
      </x:c>
      <x:c r="E2380" s="9" t="n">
        <x:v>30.58</x:v>
      </x:c>
      <x:c r="F2380" s="8" t="n">
        <x:f>C2380*D2380</x:f>
        <x:v>2219.63</x:v>
      </x:c>
      <x:c r="G2380" s="8" t="n">
        <x:f>C2380*E2380</x:f>
        <x:v>1131.46</x:v>
      </x:c>
      <x:c r="H2380" s="8" t="n">
        <x:f>F2380-G2380</x:f>
        <x:v>1088.17</x:v>
      </x:c>
      <x:c r="I2380" s="10" t="n">
        <x:f>H2380/F2380</x:f>
        <x:v>0.4902483747291215</x:v>
      </x:c>
    </x:row>
    <x:row r="2381" ht="22" customHeight="1">
      <x:c r="A2381" s="11" t="str">
        <x:v>893</x:v>
      </x:c>
      <x:c r="B2381" s="8" t="str">
        <x:v>SV Rechargeable Bluetooth Notebook Mouse E80 White</x:v>
      </x:c>
      <x:c r="C2381" s="8" t="n">
        <x:v>31</x:v>
      </x:c>
      <x:c r="D2381" s="9" t="n">
        <x:v>59.99</x:v>
      </x:c>
      <x:c r="E2381" s="9" t="n">
        <x:v>30.58</x:v>
      </x:c>
      <x:c r="F2381" s="8" t="n">
        <x:f>C2381*D2381</x:f>
        <x:v>1859.69</x:v>
      </x:c>
      <x:c r="G2381" s="8" t="n">
        <x:f>C2381*E2381</x:f>
        <x:v>947.9799999999999</x:v>
      </x:c>
      <x:c r="H2381" s="8" t="n">
        <x:f>F2381-G2381</x:f>
        <x:v>911.7100000000002</x:v>
      </x:c>
      <x:c r="I2381" s="10" t="n">
        <x:f>H2381/F2381</x:f>
        <x:v>0.4902483747291216</x:v>
      </x:c>
    </x:row>
    <x:row r="2382" ht="22" customHeight="1">
      <x:c r="A2382" s="11" t="str">
        <x:v>894</x:v>
      </x:c>
      <x:c r="B2382" s="8" t="str">
        <x:v>SV Rechargeable Bluetooth Notebook Mouse E80 Grey</x:v>
      </x:c>
      <x:c r="C2382" s="8" t="n">
        <x:v>17</x:v>
      </x:c>
      <x:c r="D2382" s="9" t="n">
        <x:v>59.99</x:v>
      </x:c>
      <x:c r="E2382" s="9" t="n">
        <x:v>30.58</x:v>
      </x:c>
      <x:c r="F2382" s="8" t="n">
        <x:f>C2382*D2382</x:f>
        <x:v>1019.83</x:v>
      </x:c>
      <x:c r="G2382" s="8" t="n">
        <x:f>C2382*E2382</x:f>
        <x:v>519.86</x:v>
      </x:c>
      <x:c r="H2382" s="8" t="n">
        <x:f>F2382-G2382</x:f>
        <x:v>499.97</x:v>
      </x:c>
      <x:c r="I2382" s="10" t="n">
        <x:f>H2382/F2382</x:f>
        <x:v>0.4902483747291215</x:v>
      </x:c>
    </x:row>
    <x:row r="2383" ht="22" customHeight="1">
      <x:c r="A2383" s="11" t="str">
        <x:v>895</x:v>
      </x:c>
      <x:c r="B2383" s="8" t="str">
        <x:v>SV Keyboard E90 Silver</x:v>
      </x:c>
      <x:c r="C2383" s="8" t="n">
        <x:v>17</x:v>
      </x:c>
      <x:c r="D2383" s="9" t="n">
        <x:v>41.73</x:v>
      </x:c>
      <x:c r="E2383" s="9" t="n">
        <x:v>21.28</x:v>
      </x:c>
      <x:c r="F2383" s="8" t="n">
        <x:f>C2383*D2383</x:f>
        <x:v>709.41</x:v>
      </x:c>
      <x:c r="G2383" s="8" t="n">
        <x:f>C2383*E2383</x:f>
        <x:v>361.76</x:v>
      </x:c>
      <x:c r="H2383" s="8" t="n">
        <x:f>F2383-G2383</x:f>
        <x:v>347.65</x:v>
      </x:c>
      <x:c r="I2383" s="10" t="n">
        <x:f>H2383/F2383</x:f>
        <x:v>0.4900551162233405</x:v>
      </x:c>
    </x:row>
    <x:row r="2384" ht="22" customHeight="1">
      <x:c r="A2384" s="11" t="str">
        <x:v>896</x:v>
      </x:c>
      <x:c r="B2384" s="8" t="str">
        <x:v>SV Keyboard E90 White</x:v>
      </x:c>
      <x:c r="C2384" s="8" t="n">
        <x:v>10</x:v>
      </x:c>
      <x:c r="D2384" s="9" t="n">
        <x:v>41.73</x:v>
      </x:c>
      <x:c r="E2384" s="9" t="n">
        <x:v>21.28</x:v>
      </x:c>
      <x:c r="F2384" s="8" t="n">
        <x:f>C2384*D2384</x:f>
        <x:v>417.29999999999995</x:v>
      </x:c>
      <x:c r="G2384" s="8" t="n">
        <x:f>C2384*E2384</x:f>
        <x:v>212.8</x:v>
      </x:c>
      <x:c r="H2384" s="8" t="n">
        <x:f>F2384-G2384</x:f>
        <x:v>204.49999999999994</x:v>
      </x:c>
      <x:c r="I2384" s="10" t="n">
        <x:f>H2384/F2384</x:f>
        <x:v>0.4900551162233404</x:v>
      </x:c>
    </x:row>
    <x:row r="2385" ht="22" customHeight="1">
      <x:c r="A2385" s="11" t="str">
        <x:v>897</x:v>
      </x:c>
      <x:c r="B2385" s="8" t="str">
        <x:v>SV Keyboard E90 Black</x:v>
      </x:c>
      <x:c r="C2385" s="8" t="n">
        <x:v>32</x:v>
      </x:c>
      <x:c r="D2385" s="9" t="n">
        <x:v>41.73</x:v>
      </x:c>
      <x:c r="E2385" s="9" t="n">
        <x:v>21.28</x:v>
      </x:c>
      <x:c r="F2385" s="8" t="n">
        <x:f>C2385*D2385</x:f>
        <x:v>1335.36</x:v>
      </x:c>
      <x:c r="G2385" s="8" t="n">
        <x:f>C2385*E2385</x:f>
        <x:v>680.96</x:v>
      </x:c>
      <x:c r="H2385" s="8" t="n">
        <x:f>F2385-G2385</x:f>
        <x:v>654.3999999999999</x:v>
      </x:c>
      <x:c r="I2385" s="10" t="n">
        <x:f>H2385/F2385</x:f>
        <x:v>0.49005511622334047</x:v>
      </x:c>
    </x:row>
    <x:row r="2386" ht="22" customHeight="1">
      <x:c r="A2386" s="11" t="str">
        <x:v>898</x:v>
      </x:c>
      <x:c r="B2386" s="8" t="str">
        <x:v>SV Keyboard E90 Grey</x:v>
      </x:c>
      <x:c r="C2386" s="8" t="n">
        <x:v>7</x:v>
      </x:c>
      <x:c r="D2386" s="9" t="n">
        <x:v>41.73</x:v>
      </x:c>
      <x:c r="E2386" s="9" t="n">
        <x:v>21.28</x:v>
      </x:c>
      <x:c r="F2386" s="8" t="n">
        <x:f>C2386*D2386</x:f>
        <x:v>292.10999999999996</x:v>
      </x:c>
      <x:c r="G2386" s="8" t="n">
        <x:f>C2386*E2386</x:f>
        <x:v>148.96</x:v>
      </x:c>
      <x:c r="H2386" s="8" t="n">
        <x:f>F2386-G2386</x:f>
        <x:v>143.14999999999995</x:v>
      </x:c>
      <x:c r="I2386" s="10" t="n">
        <x:f>H2386/F2386</x:f>
        <x:v>0.4900551162233404</x:v>
      </x:c>
    </x:row>
    <x:row r="2387" ht="22" customHeight="1">
      <x:c r="A2387" s="11" t="str">
        <x:v>899</x:v>
      </x:c>
      <x:c r="B2387" s="8" t="str">
        <x:v>SV Keyboard E10 Silver</x:v>
      </x:c>
      <x:c r="C2387" s="8" t="n">
        <x:v>35</x:v>
      </x:c>
      <x:c r="D2387" s="9" t="n">
        <x:v>44</x:v>
      </x:c>
      <x:c r="E2387" s="9" t="n">
        <x:v>22.43</x:v>
      </x:c>
      <x:c r="F2387" s="8" t="n">
        <x:f>C2387*D2387</x:f>
        <x:v>1540</x:v>
      </x:c>
      <x:c r="G2387" s="8" t="n">
        <x:f>C2387*E2387</x:f>
        <x:v>785.05</x:v>
      </x:c>
      <x:c r="H2387" s="8" t="n">
        <x:f>F2387-G2387</x:f>
        <x:v>754.95</x:v>
      </x:c>
      <x:c r="I2387" s="10" t="n">
        <x:f>H2387/F2387</x:f>
        <x:v>0.49022727272727273</x:v>
      </x:c>
    </x:row>
    <x:row r="2388" ht="22" customHeight="1">
      <x:c r="A2388" s="11" t="str">
        <x:v>9</x:v>
      </x:c>
      <x:c r="B2388" s="8" t="str">
        <x:v>Contoso 4G MP3 Player E400 Black</x:v>
      </x:c>
      <x:c r="C2388" s="8" t="n">
        <x:v>59</x:v>
      </x:c>
      <x:c r="D2388" s="9" t="n">
        <x:v>59.99</x:v>
      </x:c>
      <x:c r="E2388" s="9" t="n">
        <x:v>30.58</x:v>
      </x:c>
      <x:c r="F2388" s="8" t="n">
        <x:f>C2388*D2388</x:f>
        <x:v>3539.4100000000003</x:v>
      </x:c>
      <x:c r="G2388" s="8" t="n">
        <x:f>C2388*E2388</x:f>
        <x:v>1804.2199999999998</x:v>
      </x:c>
      <x:c r="H2388" s="8" t="n">
        <x:f>F2388-G2388</x:f>
        <x:v>1735.1900000000005</x:v>
      </x:c>
      <x:c r="I2388" s="10" t="n">
        <x:f>H2388/F2388</x:f>
        <x:v>0.49024837472912164</x:v>
      </x:c>
    </x:row>
    <x:row r="2389" ht="22" customHeight="1">
      <x:c r="A2389" s="11" t="str">
        <x:v>90</x:v>
      </x:c>
      <x:c r="B2389" s="8" t="str">
        <x:v>NT Wireless Transmitter and Bluetooth Headphones M150 Silver</x:v>
      </x:c>
      <x:c r="C2389" s="8" t="n">
        <x:v>294</x:v>
      </x:c>
      <x:c r="D2389" s="9" t="n">
        <x:v>149.99</x:v>
      </x:c>
      <x:c r="E2389" s="9" t="n">
        <x:v>49.69</x:v>
      </x:c>
      <x:c r="F2389" s="8" t="n">
        <x:f>C2389*D2389</x:f>
        <x:v>44097.060000000005</x:v>
      </x:c>
      <x:c r="G2389" s="8" t="n">
        <x:f>C2389*E2389</x:f>
        <x:v>14608.859999999999</x:v>
      </x:c>
      <x:c r="H2389" s="8" t="n">
        <x:f>F2389-G2389</x:f>
        <x:v>29488.200000000004</x:v>
      </x:c>
      <x:c r="I2389" s="10" t="n">
        <x:f>H2389/F2389</x:f>
        <x:v>0.6687112474164945</x:v>
      </x:c>
    </x:row>
    <x:row r="2390" ht="22" customHeight="1">
      <x:c r="A2390" s="11" t="str">
        <x:v>900</x:v>
      </x:c>
      <x:c r="B2390" s="8" t="str">
        <x:v>SV Keyboard E10 White</x:v>
      </x:c>
      <x:c r="C2390" s="8" t="n">
        <x:v>34</x:v>
      </x:c>
      <x:c r="D2390" s="9" t="n">
        <x:v>44</x:v>
      </x:c>
      <x:c r="E2390" s="9" t="n">
        <x:v>22.43</x:v>
      </x:c>
      <x:c r="F2390" s="8" t="n">
        <x:f>C2390*D2390</x:f>
        <x:v>1496</x:v>
      </x:c>
      <x:c r="G2390" s="8" t="n">
        <x:f>C2390*E2390</x:f>
        <x:v>762.62</x:v>
      </x:c>
      <x:c r="H2390" s="8" t="n">
        <x:f>F2390-G2390</x:f>
        <x:v>733.38</x:v>
      </x:c>
      <x:c r="I2390" s="10" t="n">
        <x:f>H2390/F2390</x:f>
        <x:v>0.49022727272727273</x:v>
      </x:c>
    </x:row>
    <x:row r="2391" ht="22" customHeight="1">
      <x:c r="A2391" s="11" t="str">
        <x:v>901</x:v>
      </x:c>
      <x:c r="B2391" s="8" t="str">
        <x:v>SV Keyboard E10 Black</x:v>
      </x:c>
      <x:c r="C2391" s="8" t="n">
        <x:v>25</x:v>
      </x:c>
      <x:c r="D2391" s="9" t="n">
        <x:v>44</x:v>
      </x:c>
      <x:c r="E2391" s="9" t="n">
        <x:v>22.43</x:v>
      </x:c>
      <x:c r="F2391" s="8" t="n">
        <x:f>C2391*D2391</x:f>
        <x:v>1100</x:v>
      </x:c>
      <x:c r="G2391" s="8" t="n">
        <x:f>C2391*E2391</x:f>
        <x:v>560.75</x:v>
      </x:c>
      <x:c r="H2391" s="8" t="n">
        <x:f>F2391-G2391</x:f>
        <x:v>539.25</x:v>
      </x:c>
      <x:c r="I2391" s="10" t="n">
        <x:f>H2391/F2391</x:f>
        <x:v>0.49022727272727273</x:v>
      </x:c>
    </x:row>
    <x:row r="2392" ht="22" customHeight="1">
      <x:c r="A2392" s="11" t="str">
        <x:v>902</x:v>
      </x:c>
      <x:c r="B2392" s="8" t="str">
        <x:v>SV Keyboard E10 Grey</x:v>
      </x:c>
      <x:c r="C2392" s="8" t="n">
        <x:v>16</x:v>
      </x:c>
      <x:c r="D2392" s="9" t="n">
        <x:v>44</x:v>
      </x:c>
      <x:c r="E2392" s="9" t="n">
        <x:v>22.43</x:v>
      </x:c>
      <x:c r="F2392" s="8" t="n">
        <x:f>C2392*D2392</x:f>
        <x:v>704</x:v>
      </x:c>
      <x:c r="G2392" s="8" t="n">
        <x:f>C2392*E2392</x:f>
        <x:v>358.88</x:v>
      </x:c>
      <x:c r="H2392" s="8" t="n">
        <x:f>F2392-G2392</x:f>
        <x:v>345.12</x:v>
      </x:c>
      <x:c r="I2392" s="10" t="n">
        <x:f>H2392/F2392</x:f>
        <x:v>0.49022727272727273</x:v>
      </x:c>
    </x:row>
    <x:row r="2393" ht="22" customHeight="1">
      <x:c r="A2393" s="11" t="str">
        <x:v>903</x:v>
      </x:c>
      <x:c r="B2393" s="8" t="str">
        <x:v>SV 40GB USB2.0 Portable Hard Disk E400 Red</x:v>
      </x:c>
      <x:c r="C2393" s="8" t="n">
        <x:v>33</x:v>
      </x:c>
      <x:c r="D2393" s="9" t="n">
        <x:v>75.99</x:v>
      </x:c>
      <x:c r="E2393" s="9" t="n">
        <x:v>38.74</x:v>
      </x:c>
      <x:c r="F2393" s="8" t="n">
        <x:f>C2393*D2393</x:f>
        <x:v>2507.6699999999996</x:v>
      </x:c>
      <x:c r="G2393" s="8" t="n">
        <x:f>C2393*E2393</x:f>
        <x:v>1278.42</x:v>
      </x:c>
      <x:c r="H2393" s="8" t="n">
        <x:f>F2393-G2393</x:f>
        <x:v>1229.2499999999995</x:v>
      </x:c>
      <x:c r="I2393" s="10" t="n">
        <x:f>H2393/F2393</x:f>
        <x:v>0.4901960784313724</x:v>
      </x:c>
    </x:row>
    <x:row r="2394" ht="22" customHeight="1">
      <x:c r="A2394" s="11" t="str">
        <x:v>904</x:v>
      </x:c>
      <x:c r="B2394" s="8" t="str">
        <x:v>SV 40GB USB2.0 Portable Hard Disk E400 Silver</x:v>
      </x:c>
      <x:c r="C2394" s="8" t="n">
        <x:v>25</x:v>
      </x:c>
      <x:c r="D2394" s="9" t="n">
        <x:v>75.99</x:v>
      </x:c>
      <x:c r="E2394" s="9" t="n">
        <x:v>38.74</x:v>
      </x:c>
      <x:c r="F2394" s="8" t="n">
        <x:f>C2394*D2394</x:f>
        <x:v>1899.7499999999998</x:v>
      </x:c>
      <x:c r="G2394" s="8" t="n">
        <x:f>C2394*E2394</x:f>
        <x:v>968.5</x:v>
      </x:c>
      <x:c r="H2394" s="8" t="n">
        <x:f>F2394-G2394</x:f>
        <x:v>931.2499999999998</x:v>
      </x:c>
      <x:c r="I2394" s="10" t="n">
        <x:f>H2394/F2394</x:f>
        <x:v>0.4901960784313725</x:v>
      </x:c>
    </x:row>
    <x:row r="2395" ht="22" customHeight="1">
      <x:c r="A2395" s="11" t="str">
        <x:v>905</x:v>
      </x:c>
      <x:c r="B2395" s="8" t="str">
        <x:v>SV 40GB USB2.0 Portable Hard Disk E400 Blue</x:v>
      </x:c>
      <x:c r="C2395" s="8" t="n">
        <x:v>36</x:v>
      </x:c>
      <x:c r="D2395" s="9" t="n">
        <x:v>75.99</x:v>
      </x:c>
      <x:c r="E2395" s="9" t="n">
        <x:v>38.74</x:v>
      </x:c>
      <x:c r="F2395" s="8" t="n">
        <x:f>C2395*D2395</x:f>
        <x:v>2735.64</x:v>
      </x:c>
      <x:c r="G2395" s="8" t="n">
        <x:f>C2395*E2395</x:f>
        <x:v>1394.64</x:v>
      </x:c>
      <x:c r="H2395" s="8" t="n">
        <x:f>F2395-G2395</x:f>
        <x:v>1340.9999999999998</x:v>
      </x:c>
      <x:c r="I2395" s="10" t="n">
        <x:f>H2395/F2395</x:f>
        <x:v>0.4901960784313725</x:v>
      </x:c>
    </x:row>
    <x:row r="2396" ht="22" customHeight="1">
      <x:c r="A2396" s="11" t="str">
        <x:v>906</x:v>
      </x:c>
      <x:c r="B2396" s="8" t="str">
        <x:v>SV 40GB USB2.0 Portable Hard Disk E400 Yellow</x:v>
      </x:c>
      <x:c r="C2396" s="8" t="n">
        <x:v>24</x:v>
      </x:c>
      <x:c r="D2396" s="9" t="n">
        <x:v>75.99</x:v>
      </x:c>
      <x:c r="E2396" s="9" t="n">
        <x:v>38.74</x:v>
      </x:c>
      <x:c r="F2396" s="8" t="n">
        <x:f>C2396*D2396</x:f>
        <x:v>1823.7599999999998</x:v>
      </x:c>
      <x:c r="G2396" s="8" t="n">
        <x:f>C2396*E2396</x:f>
        <x:v>929.76</x:v>
      </x:c>
      <x:c r="H2396" s="8" t="n">
        <x:f>F2396-G2396</x:f>
        <x:v>893.9999999999998</x:v>
      </x:c>
      <x:c r="I2396" s="10" t="n">
        <x:f>H2396/F2396</x:f>
        <x:v>0.4901960784313725</x:v>
      </x:c>
    </x:row>
    <x:row r="2397" ht="22" customHeight="1">
      <x:c r="A2397" s="11" t="str">
        <x:v>907</x:v>
      </x:c>
      <x:c r="B2397" s="8" t="str">
        <x:v>SV 80GB USB2.0 Portable Hard Disk E500 Red</x:v>
      </x:c>
      <x:c r="C2397" s="8" t="n">
        <x:v>21</x:v>
      </x:c>
      <x:c r="D2397" s="9" t="n">
        <x:v>102</x:v>
      </x:c>
      <x:c r="E2397" s="9" t="n">
        <x:v>52</x:v>
      </x:c>
      <x:c r="F2397" s="8" t="n">
        <x:f>C2397*D2397</x:f>
        <x:v>2142</x:v>
      </x:c>
      <x:c r="G2397" s="8" t="n">
        <x:f>C2397*E2397</x:f>
        <x:v>1092</x:v>
      </x:c>
      <x:c r="H2397" s="8" t="n">
        <x:f>F2397-G2397</x:f>
        <x:v>1050</x:v>
      </x:c>
      <x:c r="I2397" s="10" t="n">
        <x:f>H2397/F2397</x:f>
        <x:v>0.49019607843137253</x:v>
      </x:c>
    </x:row>
    <x:row r="2398" ht="22" customHeight="1">
      <x:c r="A2398" s="11" t="str">
        <x:v>908</x:v>
      </x:c>
      <x:c r="B2398" s="8" t="str">
        <x:v>SV 80GB USB2.0 Portable Hard Disk E500 Silver</x:v>
      </x:c>
      <x:c r="C2398" s="8" t="n">
        <x:v>23</x:v>
      </x:c>
      <x:c r="D2398" s="9" t="n">
        <x:v>102</x:v>
      </x:c>
      <x:c r="E2398" s="9" t="n">
        <x:v>52</x:v>
      </x:c>
      <x:c r="F2398" s="8" t="n">
        <x:f>C2398*D2398</x:f>
        <x:v>2346</x:v>
      </x:c>
      <x:c r="G2398" s="8" t="n">
        <x:f>C2398*E2398</x:f>
        <x:v>1196</x:v>
      </x:c>
      <x:c r="H2398" s="8" t="n">
        <x:f>F2398-G2398</x:f>
        <x:v>1150</x:v>
      </x:c>
      <x:c r="I2398" s="10" t="n">
        <x:f>H2398/F2398</x:f>
        <x:v>0.49019607843137253</x:v>
      </x:c>
    </x:row>
    <x:row r="2399" ht="22" customHeight="1">
      <x:c r="A2399" s="11" t="str">
        <x:v>909</x:v>
      </x:c>
      <x:c r="B2399" s="8" t="str">
        <x:v>SV 80GB USB2.0 Portable Hard Disk E500 Blue</x:v>
      </x:c>
      <x:c r="C2399" s="8" t="n">
        <x:v>21</x:v>
      </x:c>
      <x:c r="D2399" s="9" t="n">
        <x:v>102</x:v>
      </x:c>
      <x:c r="E2399" s="9" t="n">
        <x:v>52</x:v>
      </x:c>
      <x:c r="F2399" s="8" t="n">
        <x:f>C2399*D2399</x:f>
        <x:v>2142</x:v>
      </x:c>
      <x:c r="G2399" s="8" t="n">
        <x:f>C2399*E2399</x:f>
        <x:v>1092</x:v>
      </x:c>
      <x:c r="H2399" s="8" t="n">
        <x:f>F2399-G2399</x:f>
        <x:v>1050</x:v>
      </x:c>
      <x:c r="I2399" s="10" t="n">
        <x:f>H2399/F2399</x:f>
        <x:v>0.49019607843137253</x:v>
      </x:c>
    </x:row>
    <x:row r="2400" ht="22" customHeight="1">
      <x:c r="A2400" s="11" t="str">
        <x:v>91</x:v>
      </x:c>
      <x:c r="B2400" s="8" t="str">
        <x:v>NT Wireless Transmitter and Bluetooth Headphones M150 Green</x:v>
      </x:c>
      <x:c r="C2400" s="8" t="n">
        <x:v>220</x:v>
      </x:c>
      <x:c r="D2400" s="9" t="n">
        <x:v>149.99</x:v>
      </x:c>
      <x:c r="E2400" s="9" t="n">
        <x:v>49.69</x:v>
      </x:c>
      <x:c r="F2400" s="8" t="n">
        <x:f>C2400*D2400</x:f>
        <x:v>32997.8</x:v>
      </x:c>
      <x:c r="G2400" s="8" t="n">
        <x:f>C2400*E2400</x:f>
        <x:v>10931.8</x:v>
      </x:c>
      <x:c r="H2400" s="8" t="n">
        <x:f>F2400-G2400</x:f>
        <x:v>22066.000000000004</x:v>
      </x:c>
      <x:c r="I2400" s="10" t="n">
        <x:f>H2400/F2400</x:f>
        <x:v>0.6687112474164945</x:v>
      </x:c>
    </x:row>
    <x:row r="2401" ht="22" customHeight="1">
      <x:c r="A2401" s="11" t="str">
        <x:v>910</x:v>
      </x:c>
      <x:c r="B2401" s="8" t="str">
        <x:v>SV 80GB USB2.0 Portable Hard Disk E500 Yellow</x:v>
      </x:c>
      <x:c r="C2401" s="8" t="n">
        <x:v>27</x:v>
      </x:c>
      <x:c r="D2401" s="9" t="n">
        <x:v>102</x:v>
      </x:c>
      <x:c r="E2401" s="9" t="n">
        <x:v>52</x:v>
      </x:c>
      <x:c r="F2401" s="8" t="n">
        <x:f>C2401*D2401</x:f>
        <x:v>2754</x:v>
      </x:c>
      <x:c r="G2401" s="8" t="n">
        <x:f>C2401*E2401</x:f>
        <x:v>1404</x:v>
      </x:c>
      <x:c r="H2401" s="8" t="n">
        <x:f>F2401-G2401</x:f>
        <x:v>1350</x:v>
      </x:c>
      <x:c r="I2401" s="10" t="n">
        <x:f>H2401/F2401</x:f>
        <x:v>0.49019607843137253</x:v>
      </x:c>
    </x:row>
    <x:row r="2402" ht="22" customHeight="1">
      <x:c r="A2402" s="11" t="str">
        <x:v>911</x:v>
      </x:c>
      <x:c r="B2402" s="8" t="str">
        <x:v>SV 160GB USB2.0 Portable Hard Disk M65 Silver</x:v>
      </x:c>
      <x:c r="C2402" s="8" t="n">
        <x:v>34</x:v>
      </x:c>
      <x:c r="D2402" s="9" t="n">
        <x:v>95.9</x:v>
      </x:c>
      <x:c r="E2402" s="9" t="n">
        <x:v>44.1</x:v>
      </x:c>
      <x:c r="F2402" s="8" t="n">
        <x:f>C2402*D2402</x:f>
        <x:v>3260.6000000000004</x:v>
      </x:c>
      <x:c r="G2402" s="8" t="n">
        <x:f>C2402*E2402</x:f>
        <x:v>1499.4</x:v>
      </x:c>
      <x:c r="H2402" s="8" t="n">
        <x:f>F2402-G2402</x:f>
        <x:v>1761.2000000000003</x:v>
      </x:c>
      <x:c r="I2402" s="10" t="n">
        <x:f>H2402/F2402</x:f>
        <x:v>0.5401459854014599</x:v>
      </x:c>
    </x:row>
    <x:row r="2403" ht="22" customHeight="1">
      <x:c r="A2403" s="11" t="str">
        <x:v>912</x:v>
      </x:c>
      <x:c r="B2403" s="8" t="str">
        <x:v>SV 160GB USB2.0 Portable Hard Disk M65 Black</x:v>
      </x:c>
      <x:c r="C2403" s="8" t="n">
        <x:v>14</x:v>
      </x:c>
      <x:c r="D2403" s="9" t="n">
        <x:v>95.9</x:v>
      </x:c>
      <x:c r="E2403" s="9" t="n">
        <x:v>44.1</x:v>
      </x:c>
      <x:c r="F2403" s="8" t="n">
        <x:f>C2403*D2403</x:f>
        <x:v>1342.6000000000001</x:v>
      </x:c>
      <x:c r="G2403" s="8" t="n">
        <x:f>C2403*E2403</x:f>
        <x:v>617.4</x:v>
      </x:c>
      <x:c r="H2403" s="8" t="n">
        <x:f>F2403-G2403</x:f>
        <x:v>725.2000000000002</x:v>
      </x:c>
      <x:c r="I2403" s="10" t="n">
        <x:f>H2403/F2403</x:f>
        <x:v>0.54014598540146</x:v>
      </x:c>
    </x:row>
    <x:row r="2404" ht="22" customHeight="1">
      <x:c r="A2404" s="11" t="str">
        <x:v>913</x:v>
      </x:c>
      <x:c r="B2404" s="8" t="str">
        <x:v>SV 160GB USB2.0 Portable Hard Disk M65 White</x:v>
      </x:c>
      <x:c r="C2404" s="8" t="n">
        <x:v>15</x:v>
      </x:c>
      <x:c r="D2404" s="9" t="n">
        <x:v>95.9</x:v>
      </x:c>
      <x:c r="E2404" s="9" t="n">
        <x:v>44.1</x:v>
      </x:c>
      <x:c r="F2404" s="8" t="n">
        <x:f>C2404*D2404</x:f>
        <x:v>1438.5</x:v>
      </x:c>
      <x:c r="G2404" s="8" t="n">
        <x:f>C2404*E2404</x:f>
        <x:v>661.5</x:v>
      </x:c>
      <x:c r="H2404" s="8" t="n">
        <x:f>F2404-G2404</x:f>
        <x:v>777</x:v>
      </x:c>
      <x:c r="I2404" s="10" t="n">
        <x:f>H2404/F2404</x:f>
        <x:v>0.5401459854014599</x:v>
      </x:c>
    </x:row>
    <x:row r="2405" ht="22" customHeight="1">
      <x:c r="A2405" s="11" t="str">
        <x:v>914</x:v>
      </x:c>
      <x:c r="B2405" s="8" t="str">
        <x:v>SV 160GB USB2.0 Portable Hard Disk M65 Grey</x:v>
      </x:c>
      <x:c r="C2405" s="8" t="n">
        <x:v>14</x:v>
      </x:c>
      <x:c r="D2405" s="9" t="n">
        <x:v>95.9</x:v>
      </x:c>
      <x:c r="E2405" s="9" t="n">
        <x:v>44.1</x:v>
      </x:c>
      <x:c r="F2405" s="8" t="n">
        <x:f>C2405*D2405</x:f>
        <x:v>1342.6000000000001</x:v>
      </x:c>
      <x:c r="G2405" s="8" t="n">
        <x:f>C2405*E2405</x:f>
        <x:v>617.4</x:v>
      </x:c>
      <x:c r="H2405" s="8" t="n">
        <x:f>F2405-G2405</x:f>
        <x:v>725.2000000000002</x:v>
      </x:c>
      <x:c r="I2405" s="10" t="n">
        <x:f>H2405/F2405</x:f>
        <x:v>0.54014598540146</x:v>
      </x:c>
    </x:row>
    <x:row r="2406" ht="22" customHeight="1">
      <x:c r="A2406" s="11" t="str">
        <x:v>915</x:v>
      </x:c>
      <x:c r="B2406" s="8" t="str">
        <x:v>SV 500GB USB 2.0 Portable External Hard Drive X405 Pink</x:v>
      </x:c>
      <x:c r="C2406" s="8" t="n">
        <x:v>18</x:v>
      </x:c>
      <x:c r="D2406" s="9" t="n">
        <x:v>179</x:v>
      </x:c>
      <x:c r="E2406" s="9" t="n">
        <x:v>59.31</x:v>
      </x:c>
      <x:c r="F2406" s="8" t="n">
        <x:f>C2406*D2406</x:f>
        <x:v>3222</x:v>
      </x:c>
      <x:c r="G2406" s="8" t="n">
        <x:f>C2406*E2406</x:f>
        <x:v>1067.58</x:v>
      </x:c>
      <x:c r="H2406" s="8" t="n">
        <x:f>F2406-G2406</x:f>
        <x:v>2154.42</x:v>
      </x:c>
      <x:c r="I2406" s="10" t="n">
        <x:f>H2406/F2406</x:f>
        <x:v>0.668659217877095</x:v>
      </x:c>
    </x:row>
    <x:row r="2407" ht="22" customHeight="1">
      <x:c r="A2407" s="11" t="str">
        <x:v>916</x:v>
      </x:c>
      <x:c r="B2407" s="8" t="str">
        <x:v>SV 500GB USB 2.0 Portable External Hard Drive X405 Blue</x:v>
      </x:c>
      <x:c r="C2407" s="8" t="n">
        <x:v>21</x:v>
      </x:c>
      <x:c r="D2407" s="9" t="n">
        <x:v>179</x:v>
      </x:c>
      <x:c r="E2407" s="9" t="n">
        <x:v>59.31</x:v>
      </x:c>
      <x:c r="F2407" s="8" t="n">
        <x:f>C2407*D2407</x:f>
        <x:v>3759</x:v>
      </x:c>
      <x:c r="G2407" s="8" t="n">
        <x:f>C2407*E2407</x:f>
        <x:v>1245.51</x:v>
      </x:c>
      <x:c r="H2407" s="8" t="n">
        <x:f>F2407-G2407</x:f>
        <x:v>2513.49</x:v>
      </x:c>
      <x:c r="I2407" s="10" t="n">
        <x:f>H2407/F2407</x:f>
        <x:v>0.6686592178770949</x:v>
      </x:c>
    </x:row>
    <x:row r="2408" ht="22" customHeight="1">
      <x:c r="A2408" s="11" t="str">
        <x:v>917</x:v>
      </x:c>
      <x:c r="B2408" s="8" t="str">
        <x:v>SV 500GB USB 2.0 Portable External Hard Drive X405 White</x:v>
      </x:c>
      <x:c r="C2408" s="8" t="n">
        <x:v>27</x:v>
      </x:c>
      <x:c r="D2408" s="9" t="n">
        <x:v>179</x:v>
      </x:c>
      <x:c r="E2408" s="9" t="n">
        <x:v>59.31</x:v>
      </x:c>
      <x:c r="F2408" s="8" t="n">
        <x:f>C2408*D2408</x:f>
        <x:v>4833</x:v>
      </x:c>
      <x:c r="G2408" s="8" t="n">
        <x:f>C2408*E2408</x:f>
        <x:v>1601.3700000000001</x:v>
      </x:c>
      <x:c r="H2408" s="8" t="n">
        <x:f>F2408-G2408</x:f>
        <x:v>3231.63</x:v>
      </x:c>
      <x:c r="I2408" s="10" t="n">
        <x:f>H2408/F2408</x:f>
        <x:v>0.668659217877095</x:v>
      </x:c>
    </x:row>
    <x:row r="2409" ht="22" customHeight="1">
      <x:c r="A2409" s="11" t="str">
        <x:v>918</x:v>
      </x:c>
      <x:c r="B2409" s="8" t="str">
        <x:v>SV 500GB USB 2.0 Portable External Hard Drive X405 Black</x:v>
      </x:c>
      <x:c r="C2409" s="8" t="n">
        <x:v>21</x:v>
      </x:c>
      <x:c r="D2409" s="9" t="n">
        <x:v>179</x:v>
      </x:c>
      <x:c r="E2409" s="9" t="n">
        <x:v>59.31</x:v>
      </x:c>
      <x:c r="F2409" s="8" t="n">
        <x:f>C2409*D2409</x:f>
        <x:v>3759</x:v>
      </x:c>
      <x:c r="G2409" s="8" t="n">
        <x:f>C2409*E2409</x:f>
        <x:v>1245.51</x:v>
      </x:c>
      <x:c r="H2409" s="8" t="n">
        <x:f>F2409-G2409</x:f>
        <x:v>2513.49</x:v>
      </x:c>
      <x:c r="I2409" s="10" t="n">
        <x:f>H2409/F2409</x:f>
        <x:v>0.6686592178770949</x:v>
      </x:c>
    </x:row>
    <x:row r="2410" ht="22" customHeight="1">
      <x:c r="A2410" s="11" t="str">
        <x:v>919</x:v>
      </x:c>
      <x:c r="B2410" s="8" t="str">
        <x:v>SV USB Data Cable E600 Pink</x:v>
      </x:c>
      <x:c r="C2410" s="8" t="n">
        <x:v>27</x:v>
      </x:c>
      <x:c r="D2410" s="9" t="n">
        <x:v>0.95</x:v>
      </x:c>
      <x:c r="E2410" s="9" t="n">
        <x:v>0.48</x:v>
      </x:c>
      <x:c r="F2410" s="8" t="n">
        <x:f>C2410*D2410</x:f>
        <x:v>25.65</x:v>
      </x:c>
      <x:c r="G2410" s="8" t="n">
        <x:f>C2410*E2410</x:f>
        <x:v>12.959999999999999</x:v>
      </x:c>
      <x:c r="H2410" s="8" t="n">
        <x:f>F2410-G2410</x:f>
        <x:v>12.69</x:v>
      </x:c>
      <x:c r="I2410" s="10" t="n">
        <x:f>H2410/F2410</x:f>
        <x:v>0.49473684210526314</x:v>
      </x:c>
    </x:row>
    <x:row r="2411" ht="22" customHeight="1">
      <x:c r="A2411" s="11" t="str">
        <x:v>92</x:v>
      </x:c>
      <x:c r="B2411" s="8" t="str">
        <x:v>NT Wireless Transmitter and Bluetooth Headphones M150 Red</x:v>
      </x:c>
      <x:c r="C2411" s="8" t="n">
        <x:v>220</x:v>
      </x:c>
      <x:c r="D2411" s="9" t="n">
        <x:v>149.99</x:v>
      </x:c>
      <x:c r="E2411" s="9" t="n">
        <x:v>49.69</x:v>
      </x:c>
      <x:c r="F2411" s="8" t="n">
        <x:f>C2411*D2411</x:f>
        <x:v>32997.8</x:v>
      </x:c>
      <x:c r="G2411" s="8" t="n">
        <x:f>C2411*E2411</x:f>
        <x:v>10931.8</x:v>
      </x:c>
      <x:c r="H2411" s="8" t="n">
        <x:f>F2411-G2411</x:f>
        <x:v>22066.000000000004</x:v>
      </x:c>
      <x:c r="I2411" s="10" t="n">
        <x:f>H2411/F2411</x:f>
        <x:v>0.6687112474164945</x:v>
      </x:c>
    </x:row>
    <x:row r="2412" ht="22" customHeight="1">
      <x:c r="A2412" s="11" t="str">
        <x:v>920</x:v>
      </x:c>
      <x:c r="B2412" s="8" t="str">
        <x:v>SV USB Data Cable E600 Black</x:v>
      </x:c>
      <x:c r="C2412" s="8" t="n">
        <x:v>32</x:v>
      </x:c>
      <x:c r="D2412" s="9" t="n">
        <x:v>0.95</x:v>
      </x:c>
      <x:c r="E2412" s="9" t="n">
        <x:v>0.48</x:v>
      </x:c>
      <x:c r="F2412" s="8" t="n">
        <x:f>C2412*D2412</x:f>
        <x:v>30.4</x:v>
      </x:c>
      <x:c r="G2412" s="8" t="n">
        <x:f>C2412*E2412</x:f>
        <x:v>15.36</x:v>
      </x:c>
      <x:c r="H2412" s="8" t="n">
        <x:f>F2412-G2412</x:f>
        <x:v>15.04</x:v>
      </x:c>
      <x:c r="I2412" s="10" t="n">
        <x:f>H2412/F2412</x:f>
        <x:v>0.49473684210526314</x:v>
      </x:c>
    </x:row>
    <x:row r="2413" ht="22" customHeight="1">
      <x:c r="A2413" s="11" t="str">
        <x:v>921</x:v>
      </x:c>
      <x:c r="B2413" s="8" t="str">
        <x:v>SV USB Data Cable E600 Silver</x:v>
      </x:c>
      <x:c r="C2413" s="8" t="n">
        <x:v>16</x:v>
      </x:c>
      <x:c r="D2413" s="9" t="n">
        <x:v>0.95</x:v>
      </x:c>
      <x:c r="E2413" s="9" t="n">
        <x:v>0.48</x:v>
      </x:c>
      <x:c r="F2413" s="8" t="n">
        <x:f>C2413*D2413</x:f>
        <x:v>15.2</x:v>
      </x:c>
      <x:c r="G2413" s="8" t="n">
        <x:f>C2413*E2413</x:f>
        <x:v>7.68</x:v>
      </x:c>
      <x:c r="H2413" s="8" t="n">
        <x:f>F2413-G2413</x:f>
        <x:v>7.52</x:v>
      </x:c>
      <x:c r="I2413" s="10" t="n">
        <x:f>H2413/F2413</x:f>
        <x:v>0.49473684210526314</x:v>
      </x:c>
    </x:row>
    <x:row r="2414" ht="22" customHeight="1">
      <x:c r="A2414" s="11" t="str">
        <x:v>922</x:v>
      </x:c>
      <x:c r="B2414" s="8" t="str">
        <x:v>SV USB Data Cable E600 Grey</x:v>
      </x:c>
      <x:c r="C2414" s="8" t="n">
        <x:v>23</x:v>
      </x:c>
      <x:c r="D2414" s="9" t="n">
        <x:v>0.95</x:v>
      </x:c>
      <x:c r="E2414" s="9" t="n">
        <x:v>0.48</x:v>
      </x:c>
      <x:c r="F2414" s="8" t="n">
        <x:f>C2414*D2414</x:f>
        <x:v>21.849999999999998</x:v>
      </x:c>
      <x:c r="G2414" s="8" t="n">
        <x:f>C2414*E2414</x:f>
        <x:v>11.04</x:v>
      </x:c>
      <x:c r="H2414" s="8" t="n">
        <x:f>F2414-G2414</x:f>
        <x:v>10.809999999999999</x:v>
      </x:c>
      <x:c r="I2414" s="10" t="n">
        <x:f>H2414/F2414</x:f>
        <x:v>0.49473684210526314</x:v>
      </x:c>
    </x:row>
    <x:row r="2415" ht="22" customHeight="1">
      <x:c r="A2415" s="11" t="str">
        <x:v>923</x:v>
      </x:c>
      <x:c r="B2415" s="8" t="str">
        <x:v>SV USB Sync Charge Cable E700 Blue</x:v>
      </x:c>
      <x:c r="C2415" s="8" t="n">
        <x:v>18</x:v>
      </x:c>
      <x:c r="D2415" s="9" t="n">
        <x:v>1.99</x:v>
      </x:c>
      <x:c r="E2415" s="9" t="n">
        <x:v>1.01</x:v>
      </x:c>
      <x:c r="F2415" s="8" t="n">
        <x:f>C2415*D2415</x:f>
        <x:v>35.82</x:v>
      </x:c>
      <x:c r="G2415" s="8" t="n">
        <x:f>C2415*E2415</x:f>
        <x:v>18.18</x:v>
      </x:c>
      <x:c r="H2415" s="8" t="n">
        <x:f>F2415-G2415</x:f>
        <x:v>17.64</x:v>
      </x:c>
      <x:c r="I2415" s="10" t="n">
        <x:f>H2415/F2415</x:f>
        <x:v>0.49246231155778897</x:v>
      </x:c>
    </x:row>
    <x:row r="2416" ht="22" customHeight="1">
      <x:c r="A2416" s="11" t="str">
        <x:v>924</x:v>
      </x:c>
      <x:c r="B2416" s="8" t="str">
        <x:v>SV USB Sync Charge Cable E700 Black</x:v>
      </x:c>
      <x:c r="C2416" s="8" t="n">
        <x:v>19</x:v>
      </x:c>
      <x:c r="D2416" s="9" t="n">
        <x:v>1.99</x:v>
      </x:c>
      <x:c r="E2416" s="9" t="n">
        <x:v>1.01</x:v>
      </x:c>
      <x:c r="F2416" s="8" t="n">
        <x:f>C2416*D2416</x:f>
        <x:v>37.81</x:v>
      </x:c>
      <x:c r="G2416" s="8" t="n">
        <x:f>C2416*E2416</x:f>
        <x:v>19.19</x:v>
      </x:c>
      <x:c r="H2416" s="8" t="n">
        <x:f>F2416-G2416</x:f>
        <x:v>18.62</x:v>
      </x:c>
      <x:c r="I2416" s="10" t="n">
        <x:f>H2416/F2416</x:f>
        <x:v>0.49246231155778897</x:v>
      </x:c>
    </x:row>
    <x:row r="2417" ht="22" customHeight="1">
      <x:c r="A2417" s="11" t="str">
        <x:v>925</x:v>
      </x:c>
      <x:c r="B2417" s="8" t="str">
        <x:v>SV USB Sync Charge Cable E700 White</x:v>
      </x:c>
      <x:c r="C2417" s="8" t="n">
        <x:v>24</x:v>
      </x:c>
      <x:c r="D2417" s="9" t="n">
        <x:v>1.99</x:v>
      </x:c>
      <x:c r="E2417" s="9" t="n">
        <x:v>1.01</x:v>
      </x:c>
      <x:c r="F2417" s="8" t="n">
        <x:f>C2417*D2417</x:f>
        <x:v>47.76</x:v>
      </x:c>
      <x:c r="G2417" s="8" t="n">
        <x:f>C2417*E2417</x:f>
        <x:v>24.240000000000002</x:v>
      </x:c>
      <x:c r="H2417" s="8" t="n">
        <x:f>F2417-G2417</x:f>
        <x:v>23.519999999999996</x:v>
      </x:c>
      <x:c r="I2417" s="10" t="n">
        <x:f>H2417/F2417</x:f>
        <x:v>0.49246231155778886</x:v>
      </x:c>
    </x:row>
    <x:row r="2418" ht="22" customHeight="1">
      <x:c r="A2418" s="11" t="str">
        <x:v>926</x:v>
      </x:c>
      <x:c r="B2418" s="8" t="str">
        <x:v>SV USB Sync Charge Cable E700 Silver</x:v>
      </x:c>
      <x:c r="C2418" s="8" t="n">
        <x:v>8</x:v>
      </x:c>
      <x:c r="D2418" s="9" t="n">
        <x:v>1.99</x:v>
      </x:c>
      <x:c r="E2418" s="9" t="n">
        <x:v>1.01</x:v>
      </x:c>
      <x:c r="F2418" s="8" t="n">
        <x:f>C2418*D2418</x:f>
        <x:v>15.92</x:v>
      </x:c>
      <x:c r="G2418" s="8" t="n">
        <x:f>C2418*E2418</x:f>
        <x:v>8.08</x:v>
      </x:c>
      <x:c r="H2418" s="8" t="n">
        <x:f>F2418-G2418</x:f>
        <x:v>7.84</x:v>
      </x:c>
      <x:c r="I2418" s="10" t="n">
        <x:f>H2418/F2418</x:f>
        <x:v>0.4924623115577889</x:v>
      </x:c>
    </x:row>
    <x:row r="2419" ht="22" customHeight="1">
      <x:c r="A2419" s="11" t="str">
        <x:v>927</x:v>
      </x:c>
      <x:c r="B2419" s="8" t="str">
        <x:v>SV 512MB Laptop memory E800 White</x:v>
      </x:c>
      <x:c r="C2419" s="8" t="n">
        <x:v>41</x:v>
      </x:c>
      <x:c r="D2419" s="9" t="n">
        <x:v>33.99</x:v>
      </x:c>
      <x:c r="E2419" s="9" t="n">
        <x:v>17.33</x:v>
      </x:c>
      <x:c r="F2419" s="8" t="n">
        <x:f>C2419*D2419</x:f>
        <x:v>1393.5900000000001</x:v>
      </x:c>
      <x:c r="G2419" s="8" t="n">
        <x:f>C2419*E2419</x:f>
        <x:v>710.53</x:v>
      </x:c>
      <x:c r="H2419" s="8" t="n">
        <x:f>F2419-G2419</x:f>
        <x:v>683.0600000000002</x:v>
      </x:c>
      <x:c r="I2419" s="10" t="n">
        <x:f>H2419/F2419</x:f>
        <x:v>0.49014416004707273</x:v>
      </x:c>
    </x:row>
    <x:row r="2420" ht="22" customHeight="1">
      <x:c r="A2420" s="11" t="str">
        <x:v>928</x:v>
      </x:c>
      <x:c r="B2420" s="8" t="str">
        <x:v>SV 512MB Laptop memory E800 Silver</x:v>
      </x:c>
      <x:c r="C2420" s="8" t="n">
        <x:v>23</x:v>
      </x:c>
      <x:c r="D2420" s="9" t="n">
        <x:v>33.99</x:v>
      </x:c>
      <x:c r="E2420" s="9" t="n">
        <x:v>17.33</x:v>
      </x:c>
      <x:c r="F2420" s="8" t="n">
        <x:f>C2420*D2420</x:f>
        <x:v>781.7700000000001</x:v>
      </x:c>
      <x:c r="G2420" s="8" t="n">
        <x:f>C2420*E2420</x:f>
        <x:v>398.59</x:v>
      </x:c>
      <x:c r="H2420" s="8" t="n">
        <x:f>F2420-G2420</x:f>
        <x:v>383.1800000000001</x:v>
      </x:c>
      <x:c r="I2420" s="10" t="n">
        <x:f>H2420/F2420</x:f>
        <x:v>0.4901441600470728</x:v>
      </x:c>
    </x:row>
    <x:row r="2421" ht="22" customHeight="1">
      <x:c r="A2421" s="11" t="str">
        <x:v>929</x:v>
      </x:c>
      <x:c r="B2421" s="8" t="str">
        <x:v>SV 512MB Laptop memory E800 Black</x:v>
      </x:c>
      <x:c r="C2421" s="8" t="n">
        <x:v>25</x:v>
      </x:c>
      <x:c r="D2421" s="9" t="n">
        <x:v>33.99</x:v>
      </x:c>
      <x:c r="E2421" s="9" t="n">
        <x:v>17.33</x:v>
      </x:c>
      <x:c r="F2421" s="8" t="n">
        <x:f>C2421*D2421</x:f>
        <x:v>849.75</x:v>
      </x:c>
      <x:c r="G2421" s="8" t="n">
        <x:f>C2421*E2421</x:f>
        <x:v>433.24999999999994</x:v>
      </x:c>
      <x:c r="H2421" s="8" t="n">
        <x:f>F2421-G2421</x:f>
        <x:v>416.50000000000006</x:v>
      </x:c>
      <x:c r="I2421" s="10" t="n">
        <x:f>H2421/F2421</x:f>
        <x:v>0.49014416004707273</x:v>
      </x:c>
    </x:row>
    <x:row r="2422" ht="22" customHeight="1">
      <x:c r="A2422" s="11" t="str">
        <x:v>93</x:v>
      </x:c>
      <x:c r="B2422" s="8" t="str">
        <x:v>WWI Stereo Bluetooth Headphones E1000 Blue</x:v>
      </x:c>
      <x:c r="C2422" s="8" t="n">
        <x:v>321</x:v>
      </x:c>
      <x:c r="D2422" s="9" t="n">
        <x:v>67.4</x:v>
      </x:c>
      <x:c r="E2422" s="9" t="n">
        <x:v>34.36</x:v>
      </x:c>
      <x:c r="F2422" s="8" t="n">
        <x:f>C2422*D2422</x:f>
        <x:v>21635.4</x:v>
      </x:c>
      <x:c r="G2422" s="8" t="n">
        <x:f>C2422*E2422</x:f>
        <x:v>11029.56</x:v>
      </x:c>
      <x:c r="H2422" s="8" t="n">
        <x:f>F2422-G2422</x:f>
        <x:v>10605.840000000002</x:v>
      </x:c>
      <x:c r="I2422" s="10" t="n">
        <x:f>H2422/F2422</x:f>
        <x:v>0.49020771513353123</x:v>
      </x:c>
    </x:row>
    <x:row r="2423" ht="22" customHeight="1">
      <x:c r="A2423" s="11" t="str">
        <x:v>930</x:v>
      </x:c>
      <x:c r="B2423" s="8" t="str">
        <x:v>SV 512MB Laptop memory E800 Yellow</x:v>
      </x:c>
      <x:c r="C2423" s="8" t="n">
        <x:v>29</x:v>
      </x:c>
      <x:c r="D2423" s="9" t="n">
        <x:v>33.99</x:v>
      </x:c>
      <x:c r="E2423" s="9" t="n">
        <x:v>17.33</x:v>
      </x:c>
      <x:c r="F2423" s="8" t="n">
        <x:f>C2423*D2423</x:f>
        <x:v>985.71</x:v>
      </x:c>
      <x:c r="G2423" s="8" t="n">
        <x:f>C2423*E2423</x:f>
        <x:v>502.56999999999994</x:v>
      </x:c>
      <x:c r="H2423" s="8" t="n">
        <x:f>F2423-G2423</x:f>
        <x:v>483.1400000000001</x:v>
      </x:c>
      <x:c r="I2423" s="10" t="n">
        <x:f>H2423/F2423</x:f>
        <x:v>0.49014416004707273</x:v>
      </x:c>
    </x:row>
    <x:row r="2424" ht="22" customHeight="1">
      <x:c r="A2424" s="11" t="str">
        <x:v>931</x:v>
      </x:c>
      <x:c r="B2424" s="8" t="str">
        <x:v>SV 2GB Laptop memory E800 Silver</x:v>
      </x:c>
      <x:c r="C2424" s="8" t="n">
        <x:v>31</x:v>
      </x:c>
      <x:c r="D2424" s="9" t="n">
        <x:v>55</x:v>
      </x:c>
      <x:c r="E2424" s="9" t="n">
        <x:v>28.04</x:v>
      </x:c>
      <x:c r="F2424" s="8" t="n">
        <x:f>C2424*D2424</x:f>
        <x:v>1705</x:v>
      </x:c>
      <x:c r="G2424" s="8" t="n">
        <x:f>C2424*E2424</x:f>
        <x:v>869.24</x:v>
      </x:c>
      <x:c r="H2424" s="8" t="n">
        <x:f>F2424-G2424</x:f>
        <x:v>835.76</x:v>
      </x:c>
      <x:c r="I2424" s="10" t="n">
        <x:f>H2424/F2424</x:f>
        <x:v>0.49018181818181816</x:v>
      </x:c>
    </x:row>
    <x:row r="2425" ht="22" customHeight="1">
      <x:c r="A2425" s="11" t="str">
        <x:v>932</x:v>
      </x:c>
      <x:c r="B2425" s="8" t="str">
        <x:v>SV 2GB Laptop memory E800 Black</x:v>
      </x:c>
      <x:c r="C2425" s="8" t="n">
        <x:v>25</x:v>
      </x:c>
      <x:c r="D2425" s="9" t="n">
        <x:v>55</x:v>
      </x:c>
      <x:c r="E2425" s="9" t="n">
        <x:v>28.04</x:v>
      </x:c>
      <x:c r="F2425" s="8" t="n">
        <x:f>C2425*D2425</x:f>
        <x:v>1375</x:v>
      </x:c>
      <x:c r="G2425" s="8" t="n">
        <x:f>C2425*E2425</x:f>
        <x:v>701</x:v>
      </x:c>
      <x:c r="H2425" s="8" t="n">
        <x:f>F2425-G2425</x:f>
        <x:v>674</x:v>
      </x:c>
      <x:c r="I2425" s="10" t="n">
        <x:f>H2425/F2425</x:f>
        <x:v>0.49018181818181816</x:v>
      </x:c>
    </x:row>
    <x:row r="2426" ht="22" customHeight="1">
      <x:c r="A2426" s="11" t="str">
        <x:v>933</x:v>
      </x:c>
      <x:c r="B2426" s="8" t="str">
        <x:v>SV 2GB Laptop memory E800 White</x:v>
      </x:c>
      <x:c r="C2426" s="8" t="n">
        <x:v>29</x:v>
      </x:c>
      <x:c r="D2426" s="9" t="n">
        <x:v>55</x:v>
      </x:c>
      <x:c r="E2426" s="9" t="n">
        <x:v>28.04</x:v>
      </x:c>
      <x:c r="F2426" s="8" t="n">
        <x:f>C2426*D2426</x:f>
        <x:v>1595</x:v>
      </x:c>
      <x:c r="G2426" s="8" t="n">
        <x:f>C2426*E2426</x:f>
        <x:v>813.16</x:v>
      </x:c>
      <x:c r="H2426" s="8" t="n">
        <x:f>F2426-G2426</x:f>
        <x:v>781.84</x:v>
      </x:c>
      <x:c r="I2426" s="10" t="n">
        <x:f>H2426/F2426</x:f>
        <x:v>0.4901818181818182</x:v>
      </x:c>
    </x:row>
    <x:row r="2427" ht="22" customHeight="1">
      <x:c r="A2427" s="11" t="str">
        <x:v>934</x:v>
      </x:c>
      <x:c r="B2427" s="8" t="str">
        <x:v>SV 4GB Laptop Memory M65 Blue</x:v>
      </x:c>
      <x:c r="C2427" s="8" t="n">
        <x:v>6</x:v>
      </x:c>
      <x:c r="D2427" s="9" t="n">
        <x:v>79</x:v>
      </x:c>
      <x:c r="E2427" s="9" t="n">
        <x:v>36.33</x:v>
      </x:c>
      <x:c r="F2427" s="8" t="n">
        <x:f>C2427*D2427</x:f>
        <x:v>474</x:v>
      </x:c>
      <x:c r="G2427" s="8" t="n">
        <x:f>C2427*E2427</x:f>
        <x:v>217.98</x:v>
      </x:c>
      <x:c r="H2427" s="8" t="n">
        <x:f>F2427-G2427</x:f>
        <x:v>256.02</x:v>
      </x:c>
      <x:c r="I2427" s="10" t="n">
        <x:f>H2427/F2427</x:f>
        <x:v>0.540126582278481</x:v>
      </x:c>
    </x:row>
    <x:row r="2428" ht="22" customHeight="1">
      <x:c r="A2428" s="11" t="str">
        <x:v>935</x:v>
      </x:c>
      <x:c r="B2428" s="8" t="str">
        <x:v>SV 4GB Laptop Memory M65 Yellow</x:v>
      </x:c>
      <x:c r="C2428" s="8" t="n">
        <x:v>16</x:v>
      </x:c>
      <x:c r="D2428" s="9" t="n">
        <x:v>79</x:v>
      </x:c>
      <x:c r="E2428" s="9" t="n">
        <x:v>36.33</x:v>
      </x:c>
      <x:c r="F2428" s="8" t="n">
        <x:f>C2428*D2428</x:f>
        <x:v>1264</x:v>
      </x:c>
      <x:c r="G2428" s="8" t="n">
        <x:f>C2428*E2428</x:f>
        <x:v>581.28</x:v>
      </x:c>
      <x:c r="H2428" s="8" t="n">
        <x:f>F2428-G2428</x:f>
        <x:v>682.72</x:v>
      </x:c>
      <x:c r="I2428" s="10" t="n">
        <x:f>H2428/F2428</x:f>
        <x:v>0.540126582278481</x:v>
      </x:c>
    </x:row>
    <x:row r="2429" ht="22" customHeight="1">
      <x:c r="A2429" s="11" t="str">
        <x:v>936</x:v>
      </x:c>
      <x:c r="B2429" s="8" t="str">
        <x:v>SV 4GB Laptop Memory M65 Black</x:v>
      </x:c>
      <x:c r="C2429" s="8" t="n">
        <x:v>6</x:v>
      </x:c>
      <x:c r="D2429" s="9" t="n">
        <x:v>79</x:v>
      </x:c>
      <x:c r="E2429" s="9" t="n">
        <x:v>36.33</x:v>
      </x:c>
      <x:c r="F2429" s="8" t="n">
        <x:f>C2429*D2429</x:f>
        <x:v>474</x:v>
      </x:c>
      <x:c r="G2429" s="8" t="n">
        <x:f>C2429*E2429</x:f>
        <x:v>217.98</x:v>
      </x:c>
      <x:c r="H2429" s="8" t="n">
        <x:f>F2429-G2429</x:f>
        <x:v>256.02</x:v>
      </x:c>
      <x:c r="I2429" s="10" t="n">
        <x:f>H2429/F2429</x:f>
        <x:v>0.540126582278481</x:v>
      </x:c>
    </x:row>
    <x:row r="2430" ht="22" customHeight="1">
      <x:c r="A2430" s="11" t="str">
        <x:v>937</x:v>
      </x:c>
      <x:c r="B2430" s="8" t="str">
        <x:v>SV 4GB Laptop Memory M65 White</x:v>
      </x:c>
      <x:c r="C2430" s="8" t="n">
        <x:v>29</x:v>
      </x:c>
      <x:c r="D2430" s="9" t="n">
        <x:v>79</x:v>
      </x:c>
      <x:c r="E2430" s="9" t="n">
        <x:v>36.33</x:v>
      </x:c>
      <x:c r="F2430" s="8" t="n">
        <x:f>C2430*D2430</x:f>
        <x:v>2291</x:v>
      </x:c>
      <x:c r="G2430" s="8" t="n">
        <x:f>C2430*E2430</x:f>
        <x:v>1053.57</x:v>
      </x:c>
      <x:c r="H2430" s="8" t="n">
        <x:f>F2430-G2430</x:f>
        <x:v>1237.43</x:v>
      </x:c>
      <x:c r="I2430" s="10" t="n">
        <x:f>H2430/F2430</x:f>
        <x:v>0.5401265822784811</x:v>
      </x:c>
    </x:row>
    <x:row r="2431" ht="22" customHeight="1">
      <x:c r="A2431" s="11" t="str">
        <x:v>938</x:v>
      </x:c>
      <x:c r="B2431" s="8" t="str">
        <x:v>SV Wireless LAN PCI Network Card Adapter E900 Black</x:v>
      </x:c>
      <x:c r="C2431" s="8" t="n">
        <x:v>12</x:v>
      </x:c>
      <x:c r="D2431" s="9" t="n">
        <x:v>99</x:v>
      </x:c>
      <x:c r="E2431" s="9" t="n">
        <x:v>50.47</x:v>
      </x:c>
      <x:c r="F2431" s="8" t="n">
        <x:f>C2431*D2431</x:f>
        <x:v>1188</x:v>
      </x:c>
      <x:c r="G2431" s="8" t="n">
        <x:f>C2431*E2431</x:f>
        <x:v>605.64</x:v>
      </x:c>
      <x:c r="H2431" s="8" t="n">
        <x:f>F2431-G2431</x:f>
        <x:v>582.36</x:v>
      </x:c>
      <x:c r="I2431" s="10" t="n">
        <x:f>H2431/F2431</x:f>
        <x:v>0.4902020202020202</x:v>
      </x:c>
    </x:row>
    <x:row r="2432" ht="22" customHeight="1">
      <x:c r="A2432" s="11" t="str">
        <x:v>939</x:v>
      </x:c>
      <x:c r="B2432" s="8" t="str">
        <x:v>SV Wireless LAN PCI Network Card Adapter E901 Black</x:v>
      </x:c>
      <x:c r="C2432" s="8" t="n">
        <x:v>27</x:v>
      </x:c>
      <x:c r="D2432" s="9" t="n">
        <x:v>99</x:v>
      </x:c>
      <x:c r="E2432" s="9" t="n">
        <x:v>50.47</x:v>
      </x:c>
      <x:c r="F2432" s="8" t="n">
        <x:f>C2432*D2432</x:f>
        <x:v>2673</x:v>
      </x:c>
      <x:c r="G2432" s="8" t="n">
        <x:f>C2432*E2432</x:f>
        <x:v>1362.69</x:v>
      </x:c>
      <x:c r="H2432" s="8" t="n">
        <x:f>F2432-G2432</x:f>
        <x:v>1310.31</x:v>
      </x:c>
      <x:c r="I2432" s="10" t="n">
        <x:f>H2432/F2432</x:f>
        <x:v>0.4902020202020202</x:v>
      </x:c>
    </x:row>
    <x:row r="2433" ht="22" customHeight="1">
      <x:c r="A2433" s="11" t="str">
        <x:v>94</x:v>
      </x:c>
      <x:c r="B2433" s="8" t="str">
        <x:v>WWI Stereo Bluetooth Headphones E1000 Black</x:v>
      </x:c>
      <x:c r="C2433" s="8" t="n">
        <x:v>303</x:v>
      </x:c>
      <x:c r="D2433" s="9" t="n">
        <x:v>67.4</x:v>
      </x:c>
      <x:c r="E2433" s="9" t="n">
        <x:v>34.36</x:v>
      </x:c>
      <x:c r="F2433" s="8" t="n">
        <x:f>C2433*D2433</x:f>
        <x:v>20422.2</x:v>
      </x:c>
      <x:c r="G2433" s="8" t="n">
        <x:f>C2433*E2433</x:f>
        <x:v>10411.08</x:v>
      </x:c>
      <x:c r="H2433" s="8" t="n">
        <x:f>F2433-G2433</x:f>
        <x:v>10011.12</x:v>
      </x:c>
      <x:c r="I2433" s="10" t="n">
        <x:f>H2433/F2433</x:f>
        <x:v>0.4902077151335312</x:v>
      </x:c>
    </x:row>
    <x:row r="2434" ht="22" customHeight="1">
      <x:c r="A2434" s="11" t="str">
        <x:v>940</x:v>
      </x:c>
      <x:c r="B2434" s="8" t="str">
        <x:v>SV Wireless LAN PCI Network Card Adapter E902 Black</x:v>
      </x:c>
      <x:c r="C2434" s="8" t="n">
        <x:v>24</x:v>
      </x:c>
      <x:c r="D2434" s="9" t="n">
        <x:v>99</x:v>
      </x:c>
      <x:c r="E2434" s="9" t="n">
        <x:v>50.47</x:v>
      </x:c>
      <x:c r="F2434" s="8" t="n">
        <x:f>C2434*D2434</x:f>
        <x:v>2376</x:v>
      </x:c>
      <x:c r="G2434" s="8" t="n">
        <x:f>C2434*E2434</x:f>
        <x:v>1211.28</x:v>
      </x:c>
      <x:c r="H2434" s="8" t="n">
        <x:f>F2434-G2434</x:f>
        <x:v>1164.72</x:v>
      </x:c>
      <x:c r="I2434" s="10" t="n">
        <x:f>H2434/F2434</x:f>
        <x:v>0.4902020202020202</x:v>
      </x:c>
    </x:row>
    <x:row r="2435" ht="22" customHeight="1">
      <x:c r="A2435" s="11" t="str">
        <x:v>941</x:v>
      </x:c>
      <x:c r="B2435" s="8" t="str">
        <x:v>SV PCI Network Adapter E903 Silver</x:v>
      </x:c>
      <x:c r="C2435" s="8" t="n">
        <x:v>17</x:v>
      </x:c>
      <x:c r="D2435" s="9" t="n">
        <x:v>41.99</x:v>
      </x:c>
      <x:c r="E2435" s="9" t="n">
        <x:v>21.41</x:v>
      </x:c>
      <x:c r="F2435" s="8" t="n">
        <x:f>C2435*D2435</x:f>
        <x:v>713.83</x:v>
      </x:c>
      <x:c r="G2435" s="8" t="n">
        <x:f>C2435*E2435</x:f>
        <x:v>363.97</x:v>
      </x:c>
      <x:c r="H2435" s="8" t="n">
        <x:f>F2435-G2435</x:f>
        <x:v>349.86</x:v>
      </x:c>
      <x:c r="I2435" s="10" t="n">
        <x:f>H2435/F2435</x:f>
        <x:v>0.49011669445105976</x:v>
      </x:c>
    </x:row>
    <x:row r="2436" ht="22" customHeight="1">
      <x:c r="A2436" s="11" t="str">
        <x:v>942</x:v>
      </x:c>
      <x:c r="B2436" s="8" t="str">
        <x:v>SV PCI Network Adapter E904 Silver</x:v>
      </x:c>
      <x:c r="C2436" s="8" t="n">
        <x:v>15</x:v>
      </x:c>
      <x:c r="D2436" s="9" t="n">
        <x:v>41.99</x:v>
      </x:c>
      <x:c r="E2436" s="9" t="n">
        <x:v>21.41</x:v>
      </x:c>
      <x:c r="F2436" s="8" t="n">
        <x:f>C2436*D2436</x:f>
        <x:v>629.85</x:v>
      </x:c>
      <x:c r="G2436" s="8" t="n">
        <x:f>C2436*E2436</x:f>
        <x:v>321.15</x:v>
      </x:c>
      <x:c r="H2436" s="8" t="n">
        <x:f>F2436-G2436</x:f>
        <x:v>308.70000000000005</x:v>
      </x:c>
      <x:c r="I2436" s="10" t="n">
        <x:f>H2436/F2436</x:f>
        <x:v>0.4901166944510598</x:v>
      </x:c>
    </x:row>
    <x:row r="2437" ht="22" customHeight="1">
      <x:c r="A2437" s="11" t="str">
        <x:v>943</x:v>
      </x:c>
      <x:c r="B2437" s="8" t="str">
        <x:v>SV PCI Network Adapter E905 Silver</x:v>
      </x:c>
      <x:c r="C2437" s="8" t="n">
        <x:v>18</x:v>
      </x:c>
      <x:c r="D2437" s="9" t="n">
        <x:v>41.99</x:v>
      </x:c>
      <x:c r="E2437" s="9" t="n">
        <x:v>21.41</x:v>
      </x:c>
      <x:c r="F2437" s="8" t="n">
        <x:f>C2437*D2437</x:f>
        <x:v>755.82</x:v>
      </x:c>
      <x:c r="G2437" s="8" t="n">
        <x:f>C2437*E2437</x:f>
        <x:v>385.38</x:v>
      </x:c>
      <x:c r="H2437" s="8" t="n">
        <x:f>F2437-G2437</x:f>
        <x:v>370.44000000000005</x:v>
      </x:c>
      <x:c r="I2437" s="10" t="n">
        <x:f>H2437/F2437</x:f>
        <x:v>0.4901166944510598</x:v>
      </x:c>
    </x:row>
    <x:row r="2438" ht="22" customHeight="1">
      <x:c r="A2438" s="11" t="str">
        <x:v>944</x:v>
      </x:c>
      <x:c r="B2438" s="8" t="str">
        <x:v>A. Datum Compact Digital Camera M200 Black</x:v>
      </x:c>
      <x:c r="C2438" s="8" t="n">
        <x:v>24</x:v>
      </x:c>
      <x:c r="D2438" s="9" t="n">
        <x:v>129</x:v>
      </x:c>
      <x:c r="E2438" s="9" t="n">
        <x:v>59.32</x:v>
      </x:c>
      <x:c r="F2438" s="8" t="n">
        <x:f>C2438*D2438</x:f>
        <x:v>3096</x:v>
      </x:c>
      <x:c r="G2438" s="8" t="n">
        <x:f>C2438*E2438</x:f>
        <x:v>1423.68</x:v>
      </x:c>
      <x:c r="H2438" s="8" t="n">
        <x:f>F2438-G2438</x:f>
        <x:v>1672.32</x:v>
      </x:c>
      <x:c r="I2438" s="10" t="n">
        <x:f>H2438/F2438</x:f>
        <x:v>0.54015503875969</x:v>
      </x:c>
    </x:row>
    <x:row r="2439" ht="22" customHeight="1">
      <x:c r="A2439" s="11" t="str">
        <x:v>945</x:v>
      </x:c>
      <x:c r="B2439" s="8" t="str">
        <x:v>A. Datum Rangefinder Digital Camera X200 Black</x:v>
      </x:c>
      <x:c r="C2439" s="8" t="n">
        <x:v>26</x:v>
      </x:c>
      <x:c r="D2439" s="9" t="n">
        <x:v>200</x:v>
      </x:c>
      <x:c r="E2439" s="9" t="n">
        <x:v>66.26</x:v>
      </x:c>
      <x:c r="F2439" s="8" t="n">
        <x:f>C2439*D2439</x:f>
        <x:v>5200</x:v>
      </x:c>
      <x:c r="G2439" s="8" t="n">
        <x:f>C2439*E2439</x:f>
        <x:v>1722.7600000000002</x:v>
      </x:c>
      <x:c r="H2439" s="8" t="n">
        <x:f>F2439-G2439</x:f>
        <x:v>3477.24</x:v>
      </x:c>
      <x:c r="I2439" s="10" t="n">
        <x:f>H2439/F2439</x:f>
        <x:v>0.6687</x:v>
      </x:c>
    </x:row>
    <x:row r="2440" ht="22" customHeight="1">
      <x:c r="A2440" s="11" t="str">
        <x:v>946</x:v>
      </x:c>
      <x:c r="B2440" s="8" t="str">
        <x:v>A. Datum Slim Digital Camera M180 Black</x:v>
      </x:c>
      <x:c r="C2440" s="8" t="n">
        <x:v>53</x:v>
      </x:c>
      <x:c r="D2440" s="9" t="n">
        <x:v>148</x:v>
      </x:c>
      <x:c r="E2440" s="9" t="n">
        <x:v>68.06</x:v>
      </x:c>
      <x:c r="F2440" s="8" t="n">
        <x:f>C2440*D2440</x:f>
        <x:v>7844</x:v>
      </x:c>
      <x:c r="G2440" s="8" t="n">
        <x:f>C2440*E2440</x:f>
        <x:v>3607.1800000000003</x:v>
      </x:c>
      <x:c r="H2440" s="8" t="n">
        <x:f>F2440-G2440</x:f>
        <x:v>4236.82</x:v>
      </x:c>
      <x:c r="I2440" s="10" t="n">
        <x:f>H2440/F2440</x:f>
        <x:v>0.5401351351351351</x:v>
      </x:c>
    </x:row>
    <x:row r="2441" ht="22" customHeight="1">
      <x:c r="A2441" s="11" t="str">
        <x:v>947</x:v>
      </x:c>
      <x:c r="B2441" s="8" t="str">
        <x:v>A. Datum Ultra Compact Digital Camera M190 Black</x:v>
      </x:c>
      <x:c r="C2441" s="8" t="n">
        <x:v>30</x:v>
      </x:c>
      <x:c r="D2441" s="9" t="n">
        <x:v>165</x:v>
      </x:c>
      <x:c r="E2441" s="9" t="n">
        <x:v>75.88</x:v>
      </x:c>
      <x:c r="F2441" s="8" t="n">
        <x:f>C2441*D2441</x:f>
        <x:v>4950</x:v>
      </x:c>
      <x:c r="G2441" s="8" t="n">
        <x:f>C2441*E2441</x:f>
        <x:v>2276.3999999999996</x:v>
      </x:c>
      <x:c r="H2441" s="8" t="n">
        <x:f>F2441-G2441</x:f>
        <x:v>2673.6000000000004</x:v>
      </x:c>
      <x:c r="I2441" s="10" t="n">
        <x:f>H2441/F2441</x:f>
        <x:v>0.5401212121212122</x:v>
      </x:c>
    </x:row>
    <x:row r="2442" ht="22" customHeight="1">
      <x:c r="A2442" s="11" t="str">
        <x:v>948</x:v>
      </x:c>
      <x:c r="B2442" s="8" t="str">
        <x:v>A. Datum All in One Digital Camera M200 Black</x:v>
      </x:c>
      <x:c r="C2442" s="8" t="n">
        <x:v>29</x:v>
      </x:c>
      <x:c r="D2442" s="9" t="n">
        <x:v>188</x:v>
      </x:c>
      <x:c r="E2442" s="9" t="n">
        <x:v>86.45</x:v>
      </x:c>
      <x:c r="F2442" s="8" t="n">
        <x:f>C2442*D2442</x:f>
        <x:v>5452</x:v>
      </x:c>
      <x:c r="G2442" s="8" t="n">
        <x:f>C2442*E2442</x:f>
        <x:v>2507.05</x:v>
      </x:c>
      <x:c r="H2442" s="8" t="n">
        <x:f>F2442-G2442</x:f>
        <x:v>2944.95</x:v>
      </x:c>
      <x:c r="I2442" s="10" t="n">
        <x:f>H2442/F2442</x:f>
        <x:v>0.540159574468085</x:v>
      </x:c>
    </x:row>
    <x:row r="2443" ht="22" customHeight="1">
      <x:c r="A2443" s="11" t="str">
        <x:v>949</x:v>
      </x:c>
      <x:c r="B2443" s="8" t="str">
        <x:v>A. Datum Interchangeable lens Non-SLR Digital Camera X250 Black</x:v>
      </x:c>
      <x:c r="C2443" s="8" t="n">
        <x:v>42</x:v>
      </x:c>
      <x:c r="D2443" s="9" t="n">
        <x:v>268</x:v>
      </x:c>
      <x:c r="E2443" s="9" t="n">
        <x:v>88.79</x:v>
      </x:c>
      <x:c r="F2443" s="8" t="n">
        <x:f>C2443*D2443</x:f>
        <x:v>11256</x:v>
      </x:c>
      <x:c r="G2443" s="8" t="n">
        <x:f>C2443*E2443</x:f>
        <x:v>3729.1800000000003</x:v>
      </x:c>
      <x:c r="H2443" s="8" t="n">
        <x:f>F2443-G2443</x:f>
        <x:v>7526.82</x:v>
      </x:c>
      <x:c r="I2443" s="10" t="n">
        <x:f>H2443/F2443</x:f>
        <x:v>0.6686940298507462</x:v>
      </x:c>
    </x:row>
    <x:row r="2444" ht="22" customHeight="1">
      <x:c r="A2444" s="11" t="str">
        <x:v>95</x:v>
      </x:c>
      <x:c r="B2444" s="8" t="str">
        <x:v>WWI Stereo Bluetooth Headphones E1000 Silver</x:v>
      </x:c>
      <x:c r="C2444" s="8" t="n">
        <x:v>274</x:v>
      </x:c>
      <x:c r="D2444" s="9" t="n">
        <x:v>67.4</x:v>
      </x:c>
      <x:c r="E2444" s="9" t="n">
        <x:v>34.36</x:v>
      </x:c>
      <x:c r="F2444" s="8" t="n">
        <x:f>C2444*D2444</x:f>
        <x:v>18467.600000000002</x:v>
      </x:c>
      <x:c r="G2444" s="8" t="n">
        <x:f>C2444*E2444</x:f>
        <x:v>9414.64</x:v>
      </x:c>
      <x:c r="H2444" s="8" t="n">
        <x:f>F2444-G2444</x:f>
        <x:v>9052.960000000003</x:v>
      </x:c>
      <x:c r="I2444" s="10" t="n">
        <x:f>H2444/F2444</x:f>
        <x:v>0.49020771513353123</x:v>
      </x:c>
    </x:row>
    <x:row r="2445" ht="22" customHeight="1">
      <x:c r="A2445" s="11" t="str">
        <x:v>950</x:v>
      </x:c>
      <x:c r="B2445" s="8" t="str">
        <x:v>A. Datum Super-zoom Digital Camera X300 Black</x:v>
      </x:c>
      <x:c r="C2445" s="8" t="n">
        <x:v>22</x:v>
      </x:c>
      <x:c r="D2445" s="9" t="n">
        <x:v>290</x:v>
      </x:c>
      <x:c r="E2445" s="9" t="n">
        <x:v>96.08</x:v>
      </x:c>
      <x:c r="F2445" s="8" t="n">
        <x:f>C2445*D2445</x:f>
        <x:v>6380</x:v>
      </x:c>
      <x:c r="G2445" s="8" t="n">
        <x:f>C2445*E2445</x:f>
        <x:v>2113.7599999999998</x:v>
      </x:c>
      <x:c r="H2445" s="8" t="n">
        <x:f>F2445-G2445</x:f>
        <x:v>4266.24</x:v>
      </x:c>
      <x:c r="I2445" s="10" t="n">
        <x:f>H2445/F2445</x:f>
        <x:v>0.6686896551724137</x:v>
      </x:c>
    </x:row>
    <x:row r="2446" ht="22" customHeight="1">
      <x:c r="A2446" s="11" t="str">
        <x:v>951</x:v>
      </x:c>
      <x:c r="B2446" s="8" t="str">
        <x:v>A. Datum Consumer Digital Camera E100 Black</x:v>
      </x:c>
      <x:c r="C2446" s="8" t="n">
        <x:v>79</x:v>
      </x:c>
      <x:c r="D2446" s="9" t="n">
        <x:v>281</x:v>
      </x:c>
      <x:c r="E2446" s="9" t="n">
        <x:v>143.26</x:v>
      </x:c>
      <x:c r="F2446" s="8" t="n">
        <x:f>C2446*D2446</x:f>
        <x:v>22199</x:v>
      </x:c>
      <x:c r="G2446" s="8" t="n">
        <x:f>C2446*E2446</x:f>
        <x:v>11317.539999999999</x:v>
      </x:c>
      <x:c r="H2446" s="8" t="n">
        <x:f>F2446-G2446</x:f>
        <x:v>10881.460000000001</x:v>
      </x:c>
      <x:c r="I2446" s="10" t="n">
        <x:f>H2446/F2446</x:f>
        <x:v>0.4901779359430605</x:v>
      </x:c>
    </x:row>
    <x:row r="2447" ht="22" customHeight="1">
      <x:c r="A2447" s="11" t="str">
        <x:v>952</x:v>
      </x:c>
      <x:c r="B2447" s="8" t="str">
        <x:v>A. Datum Consumer Digital Camera M300 Black</x:v>
      </x:c>
      <x:c r="C2447" s="8" t="n">
        <x:v>43</x:v>
      </x:c>
      <x:c r="D2447" s="9" t="n">
        <x:v>184.5</x:v>
      </x:c>
      <x:c r="E2447" s="9" t="n">
        <x:v>84.84</x:v>
      </x:c>
      <x:c r="F2447" s="8" t="n">
        <x:f>C2447*D2447</x:f>
        <x:v>7933.5</x:v>
      </x:c>
      <x:c r="G2447" s="8" t="n">
        <x:f>C2447*E2447</x:f>
        <x:v>3648.1200000000003</x:v>
      </x:c>
      <x:c r="H2447" s="8" t="n">
        <x:f>F2447-G2447</x:f>
        <x:v>4285.379999999999</x:v>
      </x:c>
      <x:c r="I2447" s="10" t="n">
        <x:f>H2447/F2447</x:f>
        <x:v>0.5401626016260161</x:v>
      </x:c>
    </x:row>
    <x:row r="2448" ht="22" customHeight="1">
      <x:c r="A2448" s="11" t="str">
        <x:v>953</x:v>
      </x:c>
      <x:c r="B2448" s="8" t="str">
        <x:v>A. Datum Advanced Digital Camera M300 Black</x:v>
      </x:c>
      <x:c r="C2448" s="8" t="n">
        <x:v>34</x:v>
      </x:c>
      <x:c r="D2448" s="9" t="n">
        <x:v>188.5</x:v>
      </x:c>
      <x:c r="E2448" s="9" t="n">
        <x:v>86.68</x:v>
      </x:c>
      <x:c r="F2448" s="8" t="n">
        <x:f>C2448*D2448</x:f>
        <x:v>6409</x:v>
      </x:c>
      <x:c r="G2448" s="8" t="n">
        <x:f>C2448*E2448</x:f>
        <x:v>2947.1200000000003</x:v>
      </x:c>
      <x:c r="H2448" s="8" t="n">
        <x:f>F2448-G2448</x:f>
        <x:v>3461.8799999999997</x:v>
      </x:c>
      <x:c r="I2448" s="10" t="n">
        <x:f>H2448/F2448</x:f>
        <x:v>0.5401591511936339</x:v>
      </x:c>
    </x:row>
    <x:row r="2449" ht="22" customHeight="1">
      <x:c r="A2449" s="11" t="str">
        <x:v>954</x:v>
      </x:c>
      <x:c r="B2449" s="8" t="str">
        <x:v>A. Datum Bridge Digital Camera M300 Black</x:v>
      </x:c>
      <x:c r="C2449" s="8" t="n">
        <x:v>34</x:v>
      </x:c>
      <x:c r="D2449" s="9" t="n">
        <x:v>186.9</x:v>
      </x:c>
      <x:c r="E2449" s="9" t="n">
        <x:v>85.95</x:v>
      </x:c>
      <x:c r="F2449" s="8" t="n">
        <x:f>C2449*D2449</x:f>
        <x:v>6354.6</x:v>
      </x:c>
      <x:c r="G2449" s="8" t="n">
        <x:f>C2449*E2449</x:f>
        <x:v>2922.3</x:v>
      </x:c>
      <x:c r="H2449" s="8" t="n">
        <x:f>F2449-G2449</x:f>
        <x:v>3432.3</x:v>
      </x:c>
      <x:c r="I2449" s="10" t="n">
        <x:f>H2449/F2449</x:f>
        <x:v>0.5401284109149278</x:v>
      </x:c>
    </x:row>
    <x:row r="2450" ht="22" customHeight="1">
      <x:c r="A2450" s="11" t="str">
        <x:v>955</x:v>
      </x:c>
      <x:c r="B2450" s="8" t="str">
        <x:v>A. Datum SLR-like Digital Camera M400 Black</x:v>
      </x:c>
      <x:c r="C2450" s="8" t="n">
        <x:v>37</x:v>
      </x:c>
      <x:c r="D2450" s="9" t="n">
        <x:v>196.9</x:v>
      </x:c>
      <x:c r="E2450" s="9" t="n">
        <x:v>90.55</x:v>
      </x:c>
      <x:c r="F2450" s="8" t="n">
        <x:f>C2450*D2450</x:f>
        <x:v>7285.3</x:v>
      </x:c>
      <x:c r="G2450" s="8" t="n">
        <x:f>C2450*E2450</x:f>
        <x:v>3350.35</x:v>
      </x:c>
      <x:c r="H2450" s="8" t="n">
        <x:f>F2450-G2450</x:f>
        <x:v>3934.9500000000003</x:v>
      </x:c>
      <x:c r="I2450" s="10" t="n">
        <x:f>H2450/F2450</x:f>
        <x:v>0.5401218892839005</x:v>
      </x:c>
    </x:row>
    <x:row r="2451" ht="22" customHeight="1">
      <x:c r="A2451" s="11" t="str">
        <x:v>956</x:v>
      </x:c>
      <x:c r="B2451" s="8" t="str">
        <x:v>A. Datum Point Shoot Digital Camera M500 Black</x:v>
      </x:c>
      <x:c r="C2451" s="8" t="n">
        <x:v>40</x:v>
      </x:c>
      <x:c r="D2451" s="9" t="n">
        <x:v>198</x:v>
      </x:c>
      <x:c r="E2451" s="9" t="n">
        <x:v>91.05</x:v>
      </x:c>
      <x:c r="F2451" s="8" t="n">
        <x:f>C2451*D2451</x:f>
        <x:v>7920</x:v>
      </x:c>
      <x:c r="G2451" s="8" t="n">
        <x:f>C2451*E2451</x:f>
        <x:v>3642</x:v>
      </x:c>
      <x:c r="H2451" s="8" t="n">
        <x:f>F2451-G2451</x:f>
        <x:v>4278</x:v>
      </x:c>
      <x:c r="I2451" s="10" t="n">
        <x:f>H2451/F2451</x:f>
        <x:v>0.5401515151515152</x:v>
      </x:c>
    </x:row>
    <x:row r="2452" ht="22" customHeight="1">
      <x:c r="A2452" s="11" t="str">
        <x:v>957</x:v>
      </x:c>
      <x:c r="B2452" s="8" t="str">
        <x:v>A. Datum Full Frame Digital Camera X300 Black</x:v>
      </x:c>
      <x:c r="C2452" s="8" t="n">
        <x:v>82</x:v>
      </x:c>
      <x:c r="D2452" s="9" t="n">
        <x:v>231</x:v>
      </x:c>
      <x:c r="E2452" s="9" t="n">
        <x:v>76.53</x:v>
      </x:c>
      <x:c r="F2452" s="8" t="n">
        <x:f>C2452*D2452</x:f>
        <x:v>18942</x:v>
      </x:c>
      <x:c r="G2452" s="8" t="n">
        <x:f>C2452*E2452</x:f>
        <x:v>6275.46</x:v>
      </x:c>
      <x:c r="H2452" s="8" t="n">
        <x:f>F2452-G2452</x:f>
        <x:v>12666.54</x:v>
      </x:c>
      <x:c r="I2452" s="10" t="n">
        <x:f>H2452/F2452</x:f>
        <x:v>0.6687012987012988</x:v>
      </x:c>
    </x:row>
    <x:row r="2453" ht="22" customHeight="1">
      <x:c r="A2453" s="11" t="str">
        <x:v>958</x:v>
      </x:c>
      <x:c r="B2453" s="8" t="str">
        <x:v>A. Datum Compact Digital Camera M200 Grey</x:v>
      </x:c>
      <x:c r="C2453" s="8" t="n">
        <x:v>19</x:v>
      </x:c>
      <x:c r="D2453" s="9" t="n">
        <x:v>129</x:v>
      </x:c>
      <x:c r="E2453" s="9" t="n">
        <x:v>59.32</x:v>
      </x:c>
      <x:c r="F2453" s="8" t="n">
        <x:f>C2453*D2453</x:f>
        <x:v>2451</x:v>
      </x:c>
      <x:c r="G2453" s="8" t="n">
        <x:f>C2453*E2453</x:f>
        <x:v>1127.08</x:v>
      </x:c>
      <x:c r="H2453" s="8" t="n">
        <x:f>F2453-G2453</x:f>
        <x:v>1323.92</x:v>
      </x:c>
      <x:c r="I2453" s="10" t="n">
        <x:f>H2453/F2453</x:f>
        <x:v>0.54015503875969</x:v>
      </x:c>
    </x:row>
    <x:row r="2454" ht="22" customHeight="1">
      <x:c r="A2454" s="11" t="str">
        <x:v>959</x:v>
      </x:c>
      <x:c r="B2454" s="8" t="str">
        <x:v>A. Datum Rangefinder Digital Camera X200 Grey</x:v>
      </x:c>
      <x:c r="C2454" s="8" t="n">
        <x:v>27</x:v>
      </x:c>
      <x:c r="D2454" s="9" t="n">
        <x:v>200</x:v>
      </x:c>
      <x:c r="E2454" s="9" t="n">
        <x:v>66.26</x:v>
      </x:c>
      <x:c r="F2454" s="8" t="n">
        <x:f>C2454*D2454</x:f>
        <x:v>5400</x:v>
      </x:c>
      <x:c r="G2454" s="8" t="n">
        <x:f>C2454*E2454</x:f>
        <x:v>1789.0200000000002</x:v>
      </x:c>
      <x:c r="H2454" s="8" t="n">
        <x:f>F2454-G2454</x:f>
        <x:v>3610.9799999999996</x:v>
      </x:c>
      <x:c r="I2454" s="10" t="n">
        <x:f>H2454/F2454</x:f>
        <x:v>0.6687</x:v>
      </x:c>
    </x:row>
    <x:row r="2455" ht="22" customHeight="1">
      <x:c r="A2455" s="11" t="str">
        <x:v>96</x:v>
      </x:c>
      <x:c r="B2455" s="8" t="str">
        <x:v>WWI Stereo Bluetooth Headphones E1000 White</x:v>
      </x:c>
      <x:c r="C2455" s="8" t="n">
        <x:v>262</x:v>
      </x:c>
      <x:c r="D2455" s="9" t="n">
        <x:v>67.4</x:v>
      </x:c>
      <x:c r="E2455" s="9" t="n">
        <x:v>34.36</x:v>
      </x:c>
      <x:c r="F2455" s="8" t="n">
        <x:f>C2455*D2455</x:f>
        <x:v>17658.800000000003</x:v>
      </x:c>
      <x:c r="G2455" s="8" t="n">
        <x:f>C2455*E2455</x:f>
        <x:v>9002.32</x:v>
      </x:c>
      <x:c r="H2455" s="8" t="n">
        <x:f>F2455-G2455</x:f>
        <x:v>8656.480000000003</x:v>
      </x:c>
      <x:c r="I2455" s="10" t="n">
        <x:f>H2455/F2455</x:f>
        <x:v>0.4902077151335313</x:v>
      </x:c>
    </x:row>
    <x:row r="2456" ht="22" customHeight="1">
      <x:c r="A2456" s="11" t="str">
        <x:v>960</x:v>
      </x:c>
      <x:c r="B2456" s="8" t="str">
        <x:v>A. Datum Slim Digital Camera M180 Grey</x:v>
      </x:c>
      <x:c r="C2456" s="8" t="n">
        <x:v>48</x:v>
      </x:c>
      <x:c r="D2456" s="9" t="n">
        <x:v>148</x:v>
      </x:c>
      <x:c r="E2456" s="9" t="n">
        <x:v>68.06</x:v>
      </x:c>
      <x:c r="F2456" s="8" t="n">
        <x:f>C2456*D2456</x:f>
        <x:v>7104</x:v>
      </x:c>
      <x:c r="G2456" s="8" t="n">
        <x:f>C2456*E2456</x:f>
        <x:v>3266.88</x:v>
      </x:c>
      <x:c r="H2456" s="8" t="n">
        <x:f>F2456-G2456</x:f>
        <x:v>3837.12</x:v>
      </x:c>
      <x:c r="I2456" s="10" t="n">
        <x:f>H2456/F2456</x:f>
        <x:v>0.5401351351351351</x:v>
      </x:c>
    </x:row>
    <x:row r="2457" ht="22" customHeight="1">
      <x:c r="A2457" s="11" t="str">
        <x:v>961</x:v>
      </x:c>
      <x:c r="B2457" s="8" t="str">
        <x:v>A. Datum Ultra Compact Digital Camera M190 Grey</x:v>
      </x:c>
      <x:c r="C2457" s="8" t="n">
        <x:v>55</x:v>
      </x:c>
      <x:c r="D2457" s="9" t="n">
        <x:v>165</x:v>
      </x:c>
      <x:c r="E2457" s="9" t="n">
        <x:v>75.88</x:v>
      </x:c>
      <x:c r="F2457" s="8" t="n">
        <x:f>C2457*D2457</x:f>
        <x:v>9075</x:v>
      </x:c>
      <x:c r="G2457" s="8" t="n">
        <x:f>C2457*E2457</x:f>
        <x:v>4173.4</x:v>
      </x:c>
      <x:c r="H2457" s="8" t="n">
        <x:f>F2457-G2457</x:f>
        <x:v>4901.6</x:v>
      </x:c>
      <x:c r="I2457" s="10" t="n">
        <x:f>H2457/F2457</x:f>
        <x:v>0.5401212121212121</x:v>
      </x:c>
    </x:row>
    <x:row r="2458" ht="22" customHeight="1">
      <x:c r="A2458" s="11" t="str">
        <x:v>962</x:v>
      </x:c>
      <x:c r="B2458" s="8" t="str">
        <x:v>A. Datum All in One Digital Camera M200 Grey</x:v>
      </x:c>
      <x:c r="C2458" s="8" t="n">
        <x:v>51</x:v>
      </x:c>
      <x:c r="D2458" s="9" t="n">
        <x:v>188</x:v>
      </x:c>
      <x:c r="E2458" s="9" t="n">
        <x:v>86.45</x:v>
      </x:c>
      <x:c r="F2458" s="8" t="n">
        <x:f>C2458*D2458</x:f>
        <x:v>9588</x:v>
      </x:c>
      <x:c r="G2458" s="8" t="n">
        <x:f>C2458*E2458</x:f>
        <x:v>4408.95</x:v>
      </x:c>
      <x:c r="H2458" s="8" t="n">
        <x:f>F2458-G2458</x:f>
        <x:v>5179.05</x:v>
      </x:c>
      <x:c r="I2458" s="10" t="n">
        <x:f>H2458/F2458</x:f>
        <x:v>0.5401595744680852</x:v>
      </x:c>
    </x:row>
    <x:row r="2459" ht="22" customHeight="1">
      <x:c r="A2459" s="11" t="str">
        <x:v>963</x:v>
      </x:c>
      <x:c r="B2459" s="8" t="str">
        <x:v>A. Datum Interchangeable lens Non-SLR Digital Camera X250 Grey</x:v>
      </x:c>
      <x:c r="C2459" s="8" t="n">
        <x:v>37</x:v>
      </x:c>
      <x:c r="D2459" s="9" t="n">
        <x:v>268</x:v>
      </x:c>
      <x:c r="E2459" s="9" t="n">
        <x:v>88.79</x:v>
      </x:c>
      <x:c r="F2459" s="8" t="n">
        <x:f>C2459*D2459</x:f>
        <x:v>9916</x:v>
      </x:c>
      <x:c r="G2459" s="8" t="n">
        <x:f>C2459*E2459</x:f>
        <x:v>3285.23</x:v>
      </x:c>
      <x:c r="H2459" s="8" t="n">
        <x:f>F2459-G2459</x:f>
        <x:v>6630.77</x:v>
      </x:c>
      <x:c r="I2459" s="10" t="n">
        <x:f>H2459/F2459</x:f>
        <x:v>0.6686940298507463</x:v>
      </x:c>
    </x:row>
    <x:row r="2460" ht="22" customHeight="1">
      <x:c r="A2460" s="11" t="str">
        <x:v>964</x:v>
      </x:c>
      <x:c r="B2460" s="8" t="str">
        <x:v>A. Datum Super-zoom Digital Camera X300 Grey</x:v>
      </x:c>
      <x:c r="C2460" s="8" t="n">
        <x:v>41</x:v>
      </x:c>
      <x:c r="D2460" s="9" t="n">
        <x:v>290</x:v>
      </x:c>
      <x:c r="E2460" s="9" t="n">
        <x:v>96.08</x:v>
      </x:c>
      <x:c r="F2460" s="8" t="n">
        <x:f>C2460*D2460</x:f>
        <x:v>11890</x:v>
      </x:c>
      <x:c r="G2460" s="8" t="n">
        <x:f>C2460*E2460</x:f>
        <x:v>3939.2799999999997</x:v>
      </x:c>
      <x:c r="H2460" s="8" t="n">
        <x:f>F2460-G2460</x:f>
        <x:v>7950.72</x:v>
      </x:c>
      <x:c r="I2460" s="10" t="n">
        <x:f>H2460/F2460</x:f>
        <x:v>0.6686896551724139</x:v>
      </x:c>
    </x:row>
    <x:row r="2461" ht="22" customHeight="1">
      <x:c r="A2461" s="11" t="str">
        <x:v>965</x:v>
      </x:c>
      <x:c r="B2461" s="8" t="str">
        <x:v>A. Datum Consumer Digital Camera E100 Grey</x:v>
      </x:c>
      <x:c r="C2461" s="8" t="n">
        <x:v>70</x:v>
      </x:c>
      <x:c r="D2461" s="9" t="n">
        <x:v>281</x:v>
      </x:c>
      <x:c r="E2461" s="9" t="n">
        <x:v>143.26</x:v>
      </x:c>
      <x:c r="F2461" s="8" t="n">
        <x:f>C2461*D2461</x:f>
        <x:v>19670</x:v>
      </x:c>
      <x:c r="G2461" s="8" t="n">
        <x:f>C2461*E2461</x:f>
        <x:v>10028.199999999999</x:v>
      </x:c>
      <x:c r="H2461" s="8" t="n">
        <x:f>F2461-G2461</x:f>
        <x:v>9641.800000000001</x:v>
      </x:c>
      <x:c r="I2461" s="10" t="n">
        <x:f>H2461/F2461</x:f>
        <x:v>0.4901779359430605</x:v>
      </x:c>
    </x:row>
    <x:row r="2462" ht="22" customHeight="1">
      <x:c r="A2462" s="11" t="str">
        <x:v>966</x:v>
      </x:c>
      <x:c r="B2462" s="8" t="str">
        <x:v>A. Datum Consumer Digital Camera M300 Grey</x:v>
      </x:c>
      <x:c r="C2462" s="8" t="n">
        <x:v>39</x:v>
      </x:c>
      <x:c r="D2462" s="9" t="n">
        <x:v>184.5</x:v>
      </x:c>
      <x:c r="E2462" s="9" t="n">
        <x:v>84.84</x:v>
      </x:c>
      <x:c r="F2462" s="8" t="n">
        <x:f>C2462*D2462</x:f>
        <x:v>7195.5</x:v>
      </x:c>
      <x:c r="G2462" s="8" t="n">
        <x:f>C2462*E2462</x:f>
        <x:v>3308.76</x:v>
      </x:c>
      <x:c r="H2462" s="8" t="n">
        <x:f>F2462-G2462</x:f>
        <x:v>3886.74</x:v>
      </x:c>
      <x:c r="I2462" s="10" t="n">
        <x:f>H2462/F2462</x:f>
        <x:v>0.5401626016260163</x:v>
      </x:c>
    </x:row>
    <x:row r="2463" ht="22" customHeight="1">
      <x:c r="A2463" s="11" t="str">
        <x:v>967</x:v>
      </x:c>
      <x:c r="B2463" s="8" t="str">
        <x:v>A. Datum Advanced Digital Camera M300 Grey</x:v>
      </x:c>
      <x:c r="C2463" s="8" t="n">
        <x:v>49</x:v>
      </x:c>
      <x:c r="D2463" s="9" t="n">
        <x:v>188.5</x:v>
      </x:c>
      <x:c r="E2463" s="9" t="n">
        <x:v>86.68</x:v>
      </x:c>
      <x:c r="F2463" s="8" t="n">
        <x:f>C2463*D2463</x:f>
        <x:v>9236.5</x:v>
      </x:c>
      <x:c r="G2463" s="8" t="n">
        <x:f>C2463*E2463</x:f>
        <x:v>4247.320000000001</x:v>
      </x:c>
      <x:c r="H2463" s="8" t="n">
        <x:f>F2463-G2463</x:f>
        <x:v>4989.179999999999</x:v>
      </x:c>
      <x:c r="I2463" s="10" t="n">
        <x:f>H2463/F2463</x:f>
        <x:v>0.5401591511936339</x:v>
      </x:c>
    </x:row>
    <x:row r="2464" ht="22" customHeight="1">
      <x:c r="A2464" s="11" t="str">
        <x:v>968</x:v>
      </x:c>
      <x:c r="B2464" s="8" t="str">
        <x:v>A. Datum Bridge Digital Camera M300 Grey</x:v>
      </x:c>
      <x:c r="C2464" s="8" t="n">
        <x:v>57</x:v>
      </x:c>
      <x:c r="D2464" s="9" t="n">
        <x:v>186.9</x:v>
      </x:c>
      <x:c r="E2464" s="9" t="n">
        <x:v>85.95</x:v>
      </x:c>
      <x:c r="F2464" s="8" t="n">
        <x:f>C2464*D2464</x:f>
        <x:v>10653.300000000001</x:v>
      </x:c>
      <x:c r="G2464" s="8" t="n">
        <x:f>C2464*E2464</x:f>
        <x:v>4899.150000000001</x:v>
      </x:c>
      <x:c r="H2464" s="8" t="n">
        <x:f>F2464-G2464</x:f>
        <x:v>5754.150000000001</x:v>
      </x:c>
      <x:c r="I2464" s="10" t="n">
        <x:f>H2464/F2464</x:f>
        <x:v>0.5401284109149278</x:v>
      </x:c>
    </x:row>
    <x:row r="2465" ht="22" customHeight="1">
      <x:c r="A2465" s="11" t="str">
        <x:v>969</x:v>
      </x:c>
      <x:c r="B2465" s="8" t="str">
        <x:v>A. Datum SLR-like Digital Camera M400 Grey</x:v>
      </x:c>
      <x:c r="C2465" s="8" t="n">
        <x:v>47</x:v>
      </x:c>
      <x:c r="D2465" s="9" t="n">
        <x:v>196.9</x:v>
      </x:c>
      <x:c r="E2465" s="9" t="n">
        <x:v>90.55</x:v>
      </x:c>
      <x:c r="F2465" s="8" t="n">
        <x:f>C2465*D2465</x:f>
        <x:v>9254.300000000001</x:v>
      </x:c>
      <x:c r="G2465" s="8" t="n">
        <x:f>C2465*E2465</x:f>
        <x:v>4255.849999999999</x:v>
      </x:c>
      <x:c r="H2465" s="8" t="n">
        <x:f>F2465-G2465</x:f>
        <x:v>4998.450000000002</x:v>
      </x:c>
      <x:c r="I2465" s="10" t="n">
        <x:f>H2465/F2465</x:f>
        <x:v>0.5401218892839006</x:v>
      </x:c>
    </x:row>
    <x:row r="2466" ht="22" customHeight="1">
      <x:c r="A2466" s="11" t="str">
        <x:v>97</x:v>
      </x:c>
      <x:c r="B2466" s="8" t="str">
        <x:v>WWI Stereo Bluetooth Headphones E1000 Green</x:v>
      </x:c>
      <x:c r="C2466" s="8" t="n">
        <x:v>300</x:v>
      </x:c>
      <x:c r="D2466" s="9" t="n">
        <x:v>67.4</x:v>
      </x:c>
      <x:c r="E2466" s="9" t="n">
        <x:v>34.36</x:v>
      </x:c>
      <x:c r="F2466" s="8" t="n">
        <x:f>C2466*D2466</x:f>
        <x:v>20220</x:v>
      </x:c>
      <x:c r="G2466" s="8" t="n">
        <x:f>C2466*E2466</x:f>
        <x:v>10308</x:v>
      </x:c>
      <x:c r="H2466" s="8" t="n">
        <x:f>F2466-G2466</x:f>
        <x:v>9912</x:v>
      </x:c>
      <x:c r="I2466" s="10" t="n">
        <x:f>H2466/F2466</x:f>
        <x:v>0.4902077151335312</x:v>
      </x:c>
    </x:row>
    <x:row r="2467" ht="22" customHeight="1">
      <x:c r="A2467" s="11" t="str">
        <x:v>970</x:v>
      </x:c>
      <x:c r="B2467" s="8" t="str">
        <x:v>A. Datum Point n' Shoot Digital Camera M500 Grey</x:v>
      </x:c>
      <x:c r="C2467" s="8" t="n">
        <x:v>25</x:v>
      </x:c>
      <x:c r="D2467" s="9" t="n">
        <x:v>198</x:v>
      </x:c>
      <x:c r="E2467" s="9" t="n">
        <x:v>91.05</x:v>
      </x:c>
      <x:c r="F2467" s="8" t="n">
        <x:f>C2467*D2467</x:f>
        <x:v>4950</x:v>
      </x:c>
      <x:c r="G2467" s="8" t="n">
        <x:f>C2467*E2467</x:f>
        <x:v>2276.25</x:v>
      </x:c>
      <x:c r="H2467" s="8" t="n">
        <x:f>F2467-G2467</x:f>
        <x:v>2673.75</x:v>
      </x:c>
      <x:c r="I2467" s="10" t="n">
        <x:f>H2467/F2467</x:f>
        <x:v>0.5401515151515152</x:v>
      </x:c>
    </x:row>
    <x:row r="2468" ht="22" customHeight="1">
      <x:c r="A2468" s="11" t="str">
        <x:v>971</x:v>
      </x:c>
      <x:c r="B2468" s="8" t="str">
        <x:v>A. Datum Full Frame Digital Camera X300 Grey</x:v>
      </x:c>
      <x:c r="C2468" s="8" t="n">
        <x:v>43</x:v>
      </x:c>
      <x:c r="D2468" s="9" t="n">
        <x:v>231</x:v>
      </x:c>
      <x:c r="E2468" s="9" t="n">
        <x:v>76.53</x:v>
      </x:c>
      <x:c r="F2468" s="8" t="n">
        <x:f>C2468*D2468</x:f>
        <x:v>9933</x:v>
      </x:c>
      <x:c r="G2468" s="8" t="n">
        <x:f>C2468*E2468</x:f>
        <x:v>3290.79</x:v>
      </x:c>
      <x:c r="H2468" s="8" t="n">
        <x:f>F2468-G2468</x:f>
        <x:v>6642.21</x:v>
      </x:c>
      <x:c r="I2468" s="10" t="n">
        <x:f>H2468/F2468</x:f>
        <x:v>0.6687012987012987</x:v>
      </x:c>
    </x:row>
    <x:row r="2469" ht="22" customHeight="1">
      <x:c r="A2469" s="11" t="str">
        <x:v>972</x:v>
      </x:c>
      <x:c r="B2469" s="8" t="str">
        <x:v>A. Datum Compact Digital Camera M200 Pink</x:v>
      </x:c>
      <x:c r="C2469" s="8" t="n">
        <x:v>30</x:v>
      </x:c>
      <x:c r="D2469" s="9" t="n">
        <x:v>129</x:v>
      </x:c>
      <x:c r="E2469" s="9" t="n">
        <x:v>59.32</x:v>
      </x:c>
      <x:c r="F2469" s="8" t="n">
        <x:f>C2469*D2469</x:f>
        <x:v>3870</x:v>
      </x:c>
      <x:c r="G2469" s="8" t="n">
        <x:f>C2469*E2469</x:f>
        <x:v>1779.6</x:v>
      </x:c>
      <x:c r="H2469" s="8" t="n">
        <x:f>F2469-G2469</x:f>
        <x:v>2090.4</x:v>
      </x:c>
      <x:c r="I2469" s="10" t="n">
        <x:f>H2469/F2469</x:f>
        <x:v>0.54015503875969</x:v>
      </x:c>
    </x:row>
    <x:row r="2470" ht="22" customHeight="1">
      <x:c r="A2470" s="11" t="str">
        <x:v>973</x:v>
      </x:c>
      <x:c r="B2470" s="8" t="str">
        <x:v>A. Datum Rangefinder Digital Camera X200 Pink</x:v>
      </x:c>
      <x:c r="C2470" s="8" t="n">
        <x:v>75</x:v>
      </x:c>
      <x:c r="D2470" s="9" t="n">
        <x:v>200</x:v>
      </x:c>
      <x:c r="E2470" s="9" t="n">
        <x:v>66.26</x:v>
      </x:c>
      <x:c r="F2470" s="8" t="n">
        <x:f>C2470*D2470</x:f>
        <x:v>15000</x:v>
      </x:c>
      <x:c r="G2470" s="8" t="n">
        <x:f>C2470*E2470</x:f>
        <x:v>4969.5</x:v>
      </x:c>
      <x:c r="H2470" s="8" t="n">
        <x:f>F2470-G2470</x:f>
        <x:v>10030.5</x:v>
      </x:c>
      <x:c r="I2470" s="10" t="n">
        <x:f>H2470/F2470</x:f>
        <x:v>0.6687</x:v>
      </x:c>
    </x:row>
    <x:row r="2471" ht="22" customHeight="1">
      <x:c r="A2471" s="11" t="str">
        <x:v>974</x:v>
      </x:c>
      <x:c r="B2471" s="8" t="str">
        <x:v>A. Datum Slim Digital Camera M180 Pink</x:v>
      </x:c>
      <x:c r="C2471" s="8" t="n">
        <x:v>53</x:v>
      </x:c>
      <x:c r="D2471" s="9" t="n">
        <x:v>148</x:v>
      </x:c>
      <x:c r="E2471" s="9" t="n">
        <x:v>68.06</x:v>
      </x:c>
      <x:c r="F2471" s="8" t="n">
        <x:f>C2471*D2471</x:f>
        <x:v>7844</x:v>
      </x:c>
      <x:c r="G2471" s="8" t="n">
        <x:f>C2471*E2471</x:f>
        <x:v>3607.1800000000003</x:v>
      </x:c>
      <x:c r="H2471" s="8" t="n">
        <x:f>F2471-G2471</x:f>
        <x:v>4236.82</x:v>
      </x:c>
      <x:c r="I2471" s="10" t="n">
        <x:f>H2471/F2471</x:f>
        <x:v>0.5401351351351351</x:v>
      </x:c>
    </x:row>
    <x:row r="2472" ht="22" customHeight="1">
      <x:c r="A2472" s="11" t="str">
        <x:v>975</x:v>
      </x:c>
      <x:c r="B2472" s="8" t="str">
        <x:v>A. Datum Ultra Compact Digital Camera M190 Pink</x:v>
      </x:c>
      <x:c r="C2472" s="8" t="n">
        <x:v>32</x:v>
      </x:c>
      <x:c r="D2472" s="9" t="n">
        <x:v>165</x:v>
      </x:c>
      <x:c r="E2472" s="9" t="n">
        <x:v>75.88</x:v>
      </x:c>
      <x:c r="F2472" s="8" t="n">
        <x:f>C2472*D2472</x:f>
        <x:v>5280</x:v>
      </x:c>
      <x:c r="G2472" s="8" t="n">
        <x:f>C2472*E2472</x:f>
        <x:v>2428.16</x:v>
      </x:c>
      <x:c r="H2472" s="8" t="n">
        <x:f>F2472-G2472</x:f>
        <x:v>2851.84</x:v>
      </x:c>
      <x:c r="I2472" s="10" t="n">
        <x:f>H2472/F2472</x:f>
        <x:v>0.5401212121212121</x:v>
      </x:c>
    </x:row>
    <x:row r="2473" ht="22" customHeight="1">
      <x:c r="A2473" s="11" t="str">
        <x:v>976</x:v>
      </x:c>
      <x:c r="B2473" s="8" t="str">
        <x:v>A. Datum All in One Digital Camera M200 Pink</x:v>
      </x:c>
      <x:c r="C2473" s="8" t="n">
        <x:v>49</x:v>
      </x:c>
      <x:c r="D2473" s="9" t="n">
        <x:v>188</x:v>
      </x:c>
      <x:c r="E2473" s="9" t="n">
        <x:v>86.45</x:v>
      </x:c>
      <x:c r="F2473" s="8" t="n">
        <x:f>C2473*D2473</x:f>
        <x:v>9212</x:v>
      </x:c>
      <x:c r="G2473" s="8" t="n">
        <x:f>C2473*E2473</x:f>
        <x:v>4236.05</x:v>
      </x:c>
      <x:c r="H2473" s="8" t="n">
        <x:f>F2473-G2473</x:f>
        <x:v>4975.95</x:v>
      </x:c>
      <x:c r="I2473" s="10" t="n">
        <x:f>H2473/F2473</x:f>
        <x:v>0.540159574468085</x:v>
      </x:c>
    </x:row>
    <x:row r="2474" ht="22" customHeight="1">
      <x:c r="A2474" s="11" t="str">
        <x:v>977</x:v>
      </x:c>
      <x:c r="B2474" s="8" t="str">
        <x:v>A. Datum Interchangeable lens Non-SLR Digital Camera X250 Pink</x:v>
      </x:c>
      <x:c r="C2474" s="8" t="n">
        <x:v>46</x:v>
      </x:c>
      <x:c r="D2474" s="9" t="n">
        <x:v>268</x:v>
      </x:c>
      <x:c r="E2474" s="9" t="n">
        <x:v>88.79</x:v>
      </x:c>
      <x:c r="F2474" s="8" t="n">
        <x:f>C2474*D2474</x:f>
        <x:v>12328</x:v>
      </x:c>
      <x:c r="G2474" s="8" t="n">
        <x:f>C2474*E2474</x:f>
        <x:v>4084.34</x:v>
      </x:c>
      <x:c r="H2474" s="8" t="n">
        <x:f>F2474-G2474</x:f>
        <x:v>8243.66</x:v>
      </x:c>
      <x:c r="I2474" s="10" t="n">
        <x:f>H2474/F2474</x:f>
        <x:v>0.6686940298507462</x:v>
      </x:c>
    </x:row>
    <x:row r="2475" ht="22" customHeight="1">
      <x:c r="A2475" s="11" t="str">
        <x:v>978</x:v>
      </x:c>
      <x:c r="B2475" s="8" t="str">
        <x:v>A. Datum Super-zoom Digital Camera X300 Pink</x:v>
      </x:c>
      <x:c r="C2475" s="8" t="n">
        <x:v>41</x:v>
      </x:c>
      <x:c r="D2475" s="9" t="n">
        <x:v>290</x:v>
      </x:c>
      <x:c r="E2475" s="9" t="n">
        <x:v>96.08</x:v>
      </x:c>
      <x:c r="F2475" s="8" t="n">
        <x:f>C2475*D2475</x:f>
        <x:v>11890</x:v>
      </x:c>
      <x:c r="G2475" s="8" t="n">
        <x:f>C2475*E2475</x:f>
        <x:v>3939.2799999999997</x:v>
      </x:c>
      <x:c r="H2475" s="8" t="n">
        <x:f>F2475-G2475</x:f>
        <x:v>7950.72</x:v>
      </x:c>
      <x:c r="I2475" s="10" t="n">
        <x:f>H2475/F2475</x:f>
        <x:v>0.6686896551724139</x:v>
      </x:c>
    </x:row>
    <x:row r="2476" ht="22" customHeight="1">
      <x:c r="A2476" s="11" t="str">
        <x:v>979</x:v>
      </x:c>
      <x:c r="B2476" s="8" t="str">
        <x:v>A. Datum Consumer Digital Camera E100 Pink</x:v>
      </x:c>
      <x:c r="C2476" s="8" t="n">
        <x:v>43</x:v>
      </x:c>
      <x:c r="D2476" s="9" t="n">
        <x:v>281</x:v>
      </x:c>
      <x:c r="E2476" s="9" t="n">
        <x:v>143.26</x:v>
      </x:c>
      <x:c r="F2476" s="8" t="n">
        <x:f>C2476*D2476</x:f>
        <x:v>12083</x:v>
      </x:c>
      <x:c r="G2476" s="8" t="n">
        <x:f>C2476*E2476</x:f>
        <x:v>6160.179999999999</x:v>
      </x:c>
      <x:c r="H2476" s="8" t="n">
        <x:f>F2476-G2476</x:f>
        <x:v>5922.820000000001</x:v>
      </x:c>
      <x:c r="I2476" s="10" t="n">
        <x:f>H2476/F2476</x:f>
        <x:v>0.4901779359430605</x:v>
      </x:c>
    </x:row>
    <x:row r="2477" ht="22" customHeight="1">
      <x:c r="A2477" s="11" t="str">
        <x:v>98</x:v>
      </x:c>
      <x:c r="B2477" s="8" t="str">
        <x:v>WWI Wireless Bluetooth Stereo Headphones M170 Silver</x:v>
      </x:c>
      <x:c r="C2477" s="8" t="n">
        <x:v>280</x:v>
      </x:c>
      <x:c r="D2477" s="9" t="n">
        <x:v>120</x:v>
      </x:c>
      <x:c r="E2477" s="9" t="n">
        <x:v>55.18</x:v>
      </x:c>
      <x:c r="F2477" s="8" t="n">
        <x:f>C2477*D2477</x:f>
        <x:v>33600</x:v>
      </x:c>
      <x:c r="G2477" s="8" t="n">
        <x:f>C2477*E2477</x:f>
        <x:v>15450.4</x:v>
      </x:c>
      <x:c r="H2477" s="8" t="n">
        <x:f>F2477-G2477</x:f>
        <x:v>18149.6</x:v>
      </x:c>
      <x:c r="I2477" s="10" t="n">
        <x:f>H2477/F2477</x:f>
        <x:v>0.5401666666666666</x:v>
      </x:c>
    </x:row>
    <x:row r="2478" ht="22" customHeight="1">
      <x:c r="A2478" s="11" t="str">
        <x:v>980</x:v>
      </x:c>
      <x:c r="B2478" s="8" t="str">
        <x:v>A. Datum Consumer Digital Camera M300 Pink</x:v>
      </x:c>
      <x:c r="C2478" s="8" t="n">
        <x:v>26</x:v>
      </x:c>
      <x:c r="D2478" s="9" t="n">
        <x:v>184.5</x:v>
      </x:c>
      <x:c r="E2478" s="9" t="n">
        <x:v>84.84</x:v>
      </x:c>
      <x:c r="F2478" s="8" t="n">
        <x:f>C2478*D2478</x:f>
        <x:v>4797</x:v>
      </x:c>
      <x:c r="G2478" s="8" t="n">
        <x:f>C2478*E2478</x:f>
        <x:v>2205.84</x:v>
      </x:c>
      <x:c r="H2478" s="8" t="n">
        <x:f>F2478-G2478</x:f>
        <x:v>2591.16</x:v>
      </x:c>
      <x:c r="I2478" s="10" t="n">
        <x:f>H2478/F2478</x:f>
        <x:v>0.5401626016260163</x:v>
      </x:c>
    </x:row>
    <x:row r="2479" ht="22" customHeight="1">
      <x:c r="A2479" s="11" t="str">
        <x:v>981</x:v>
      </x:c>
      <x:c r="B2479" s="8" t="str">
        <x:v>A. Datum Advanced Digital Camera M300 Pink</x:v>
      </x:c>
      <x:c r="C2479" s="8" t="n">
        <x:v>33</x:v>
      </x:c>
      <x:c r="D2479" s="9" t="n">
        <x:v>188.5</x:v>
      </x:c>
      <x:c r="E2479" s="9" t="n">
        <x:v>86.68</x:v>
      </x:c>
      <x:c r="F2479" s="8" t="n">
        <x:f>C2479*D2479</x:f>
        <x:v>6220.5</x:v>
      </x:c>
      <x:c r="G2479" s="8" t="n">
        <x:f>C2479*E2479</x:f>
        <x:v>2860.44</x:v>
      </x:c>
      <x:c r="H2479" s="8" t="n">
        <x:f>F2479-G2479</x:f>
        <x:v>3360.06</x:v>
      </x:c>
      <x:c r="I2479" s="10" t="n">
        <x:f>H2479/F2479</x:f>
        <x:v>0.5401591511936339</x:v>
      </x:c>
    </x:row>
    <x:row r="2480" ht="22" customHeight="1">
      <x:c r="A2480" s="11" t="str">
        <x:v>982</x:v>
      </x:c>
      <x:c r="B2480" s="8" t="str">
        <x:v>A. Datum Bridge Digital Camera M300 Pink</x:v>
      </x:c>
      <x:c r="C2480" s="8" t="n">
        <x:v>36</x:v>
      </x:c>
      <x:c r="D2480" s="9" t="n">
        <x:v>186.9</x:v>
      </x:c>
      <x:c r="E2480" s="9" t="n">
        <x:v>85.95</x:v>
      </x:c>
      <x:c r="F2480" s="8" t="n">
        <x:f>C2480*D2480</x:f>
        <x:v>6728.400000000001</x:v>
      </x:c>
      <x:c r="G2480" s="8" t="n">
        <x:f>C2480*E2480</x:f>
        <x:v>3094.2000000000003</x:v>
      </x:c>
      <x:c r="H2480" s="8" t="n">
        <x:f>F2480-G2480</x:f>
        <x:v>3634.2000000000003</x:v>
      </x:c>
      <x:c r="I2480" s="10" t="n">
        <x:f>H2480/F2480</x:f>
        <x:v>0.5401284109149278</x:v>
      </x:c>
    </x:row>
    <x:row r="2481" ht="22" customHeight="1">
      <x:c r="A2481" s="11" t="str">
        <x:v>983</x:v>
      </x:c>
      <x:c r="B2481" s="8" t="str">
        <x:v>A. Datum SLR-like Digital Camera M400 Pink</x:v>
      </x:c>
      <x:c r="C2481" s="8" t="n">
        <x:v>35</x:v>
      </x:c>
      <x:c r="D2481" s="9" t="n">
        <x:v>196.9</x:v>
      </x:c>
      <x:c r="E2481" s="9" t="n">
        <x:v>90.55</x:v>
      </x:c>
      <x:c r="F2481" s="8" t="n">
        <x:f>C2481*D2481</x:f>
        <x:v>6891.5</x:v>
      </x:c>
      <x:c r="G2481" s="8" t="n">
        <x:f>C2481*E2481</x:f>
        <x:v>3169.25</x:v>
      </x:c>
      <x:c r="H2481" s="8" t="n">
        <x:f>F2481-G2481</x:f>
        <x:v>3722.25</x:v>
      </x:c>
      <x:c r="I2481" s="10" t="n">
        <x:f>H2481/F2481</x:f>
        <x:v>0.5401218892839005</x:v>
      </x:c>
    </x:row>
    <x:row r="2482" ht="22" customHeight="1">
      <x:c r="A2482" s="11" t="str">
        <x:v>984</x:v>
      </x:c>
      <x:c r="B2482" s="8" t="str">
        <x:v>A. Datum Point Shoot Digital Camera M500 Pink</x:v>
      </x:c>
      <x:c r="C2482" s="8" t="n">
        <x:v>64</x:v>
      </x:c>
      <x:c r="D2482" s="9" t="n">
        <x:v>198</x:v>
      </x:c>
      <x:c r="E2482" s="9" t="n">
        <x:v>91.05</x:v>
      </x:c>
      <x:c r="F2482" s="8" t="n">
        <x:f>C2482*D2482</x:f>
        <x:v>12672</x:v>
      </x:c>
      <x:c r="G2482" s="8" t="n">
        <x:f>C2482*E2482</x:f>
        <x:v>5827.2</x:v>
      </x:c>
      <x:c r="H2482" s="8" t="n">
        <x:f>F2482-G2482</x:f>
        <x:v>6844.8</x:v>
      </x:c>
      <x:c r="I2482" s="10" t="n">
        <x:f>H2482/F2482</x:f>
        <x:v>0.5401515151515152</x:v>
      </x:c>
    </x:row>
    <x:row r="2483" ht="22" customHeight="1">
      <x:c r="A2483" s="11" t="str">
        <x:v>985</x:v>
      </x:c>
      <x:c r="B2483" s="8" t="str">
        <x:v>A. Datum Full Frame Digital Camera X300 Pink</x:v>
      </x:c>
      <x:c r="C2483" s="8" t="n">
        <x:v>57</x:v>
      </x:c>
      <x:c r="D2483" s="9" t="n">
        <x:v>231</x:v>
      </x:c>
      <x:c r="E2483" s="9" t="n">
        <x:v>76.53</x:v>
      </x:c>
      <x:c r="F2483" s="8" t="n">
        <x:f>C2483*D2483</x:f>
        <x:v>13167</x:v>
      </x:c>
      <x:c r="G2483" s="8" t="n">
        <x:f>C2483*E2483</x:f>
        <x:v>4362.21</x:v>
      </x:c>
      <x:c r="H2483" s="8" t="n">
        <x:f>F2483-G2483</x:f>
        <x:v>8804.79</x:v>
      </x:c>
      <x:c r="I2483" s="10" t="n">
        <x:f>H2483/F2483</x:f>
        <x:v>0.6687012987012988</x:v>
      </x:c>
    </x:row>
    <x:row r="2484" ht="22" customHeight="1">
      <x:c r="A2484" s="11" t="str">
        <x:v>986</x:v>
      </x:c>
      <x:c r="B2484" s="8" t="str">
        <x:v>A. Datum Compact Digital Camera M200 Silver</x:v>
      </x:c>
      <x:c r="C2484" s="8" t="n">
        <x:v>69</x:v>
      </x:c>
      <x:c r="D2484" s="9" t="n">
        <x:v>129</x:v>
      </x:c>
      <x:c r="E2484" s="9" t="n">
        <x:v>59.32</x:v>
      </x:c>
      <x:c r="F2484" s="8" t="n">
        <x:f>C2484*D2484</x:f>
        <x:v>8901</x:v>
      </x:c>
      <x:c r="G2484" s="8" t="n">
        <x:f>C2484*E2484</x:f>
        <x:v>4093.08</x:v>
      </x:c>
      <x:c r="H2484" s="8" t="n">
        <x:f>F2484-G2484</x:f>
        <x:v>4807.92</x:v>
      </x:c>
      <x:c r="I2484" s="10" t="n">
        <x:f>H2484/F2484</x:f>
        <x:v>0.54015503875969</x:v>
      </x:c>
    </x:row>
    <x:row r="2485" ht="22" customHeight="1">
      <x:c r="A2485" s="11" t="str">
        <x:v>987</x:v>
      </x:c>
      <x:c r="B2485" s="8" t="str">
        <x:v>A. Datum Rangefinder Digital Camera X200 Silver</x:v>
      </x:c>
      <x:c r="C2485" s="8" t="n">
        <x:v>34</x:v>
      </x:c>
      <x:c r="D2485" s="9" t="n">
        <x:v>200</x:v>
      </x:c>
      <x:c r="E2485" s="9" t="n">
        <x:v>66.26</x:v>
      </x:c>
      <x:c r="F2485" s="8" t="n">
        <x:f>C2485*D2485</x:f>
        <x:v>6800</x:v>
      </x:c>
      <x:c r="G2485" s="8" t="n">
        <x:f>C2485*E2485</x:f>
        <x:v>2252.84</x:v>
      </x:c>
      <x:c r="H2485" s="8" t="n">
        <x:f>F2485-G2485</x:f>
        <x:v>4547.16</x:v>
      </x:c>
      <x:c r="I2485" s="10" t="n">
        <x:f>H2485/F2485</x:f>
        <x:v>0.6687</x:v>
      </x:c>
    </x:row>
    <x:row r="2486" ht="22" customHeight="1">
      <x:c r="A2486" s="11" t="str">
        <x:v>988</x:v>
      </x:c>
      <x:c r="B2486" s="8" t="str">
        <x:v>A. Datum Slim Digital Camera M180 Silver</x:v>
      </x:c>
      <x:c r="C2486" s="8" t="n">
        <x:v>27</x:v>
      </x:c>
      <x:c r="D2486" s="9" t="n">
        <x:v>148</x:v>
      </x:c>
      <x:c r="E2486" s="9" t="n">
        <x:v>68.06</x:v>
      </x:c>
      <x:c r="F2486" s="8" t="n">
        <x:f>C2486*D2486</x:f>
        <x:v>3996</x:v>
      </x:c>
      <x:c r="G2486" s="8" t="n">
        <x:f>C2486*E2486</x:f>
        <x:v>1837.6200000000001</x:v>
      </x:c>
      <x:c r="H2486" s="8" t="n">
        <x:f>F2486-G2486</x:f>
        <x:v>2158.38</x:v>
      </x:c>
      <x:c r="I2486" s="10" t="n">
        <x:f>H2486/F2486</x:f>
        <x:v>0.5401351351351351</x:v>
      </x:c>
    </x:row>
    <x:row r="2487" ht="22" customHeight="1">
      <x:c r="A2487" s="11" t="str">
        <x:v>989</x:v>
      </x:c>
      <x:c r="B2487" s="8" t="str">
        <x:v>A. Datum Ultra Compact Digital Camera M190 Silver</x:v>
      </x:c>
      <x:c r="C2487" s="8" t="n">
        <x:v>58</x:v>
      </x:c>
      <x:c r="D2487" s="9" t="n">
        <x:v>165</x:v>
      </x:c>
      <x:c r="E2487" s="9" t="n">
        <x:v>75.88</x:v>
      </x:c>
      <x:c r="F2487" s="8" t="n">
        <x:f>C2487*D2487</x:f>
        <x:v>9570</x:v>
      </x:c>
      <x:c r="G2487" s="8" t="n">
        <x:f>C2487*E2487</x:f>
        <x:v>4401.04</x:v>
      </x:c>
      <x:c r="H2487" s="8" t="n">
        <x:f>F2487-G2487</x:f>
        <x:v>5168.96</x:v>
      </x:c>
      <x:c r="I2487" s="10" t="n">
        <x:f>H2487/F2487</x:f>
        <x:v>0.5401212121212121</x:v>
      </x:c>
    </x:row>
    <x:row r="2488" ht="22" customHeight="1">
      <x:c r="A2488" s="11" t="str">
        <x:v>99</x:v>
      </x:c>
      <x:c r="B2488" s="8" t="str">
        <x:v>WWI Wireless Bluetooth Stereo Headphones M170 Black</x:v>
      </x:c>
      <x:c r="C2488" s="8" t="n">
        <x:v>209</x:v>
      </x:c>
      <x:c r="D2488" s="9" t="n">
        <x:v>120</x:v>
      </x:c>
      <x:c r="E2488" s="9" t="n">
        <x:v>55.18</x:v>
      </x:c>
      <x:c r="F2488" s="8" t="n">
        <x:f>C2488*D2488</x:f>
        <x:v>25080</x:v>
      </x:c>
      <x:c r="G2488" s="8" t="n">
        <x:f>C2488*E2488</x:f>
        <x:v>11532.62</x:v>
      </x:c>
      <x:c r="H2488" s="8" t="n">
        <x:f>F2488-G2488</x:f>
        <x:v>13547.38</x:v>
      </x:c>
      <x:c r="I2488" s="10" t="n">
        <x:f>H2488/F2488</x:f>
        <x:v>0.5401666666666667</x:v>
      </x:c>
    </x:row>
    <x:row r="2489" ht="22" customHeight="1">
      <x:c r="A2489" s="11" t="str">
        <x:v>990</x:v>
      </x:c>
      <x:c r="B2489" s="8" t="str">
        <x:v>A. Datum All in One Digital Camera M200 Silver</x:v>
      </x:c>
      <x:c r="C2489" s="8" t="n">
        <x:v>64</x:v>
      </x:c>
      <x:c r="D2489" s="9" t="n">
        <x:v>188</x:v>
      </x:c>
      <x:c r="E2489" s="9" t="n">
        <x:v>86.45</x:v>
      </x:c>
      <x:c r="F2489" s="8" t="n">
        <x:f>C2489*D2489</x:f>
        <x:v>12032</x:v>
      </x:c>
      <x:c r="G2489" s="8" t="n">
        <x:f>C2489*E2489</x:f>
        <x:v>5532.8</x:v>
      </x:c>
      <x:c r="H2489" s="8" t="n">
        <x:f>F2489-G2489</x:f>
        <x:v>6499.2</x:v>
      </x:c>
      <x:c r="I2489" s="10" t="n">
        <x:f>H2489/F2489</x:f>
        <x:v>0.540159574468085</x:v>
      </x:c>
    </x:row>
    <x:row r="2490" ht="22" customHeight="1">
      <x:c r="A2490" s="11" t="str">
        <x:v>991</x:v>
      </x:c>
      <x:c r="B2490" s="8" t="str">
        <x:v>A. Datum Interchangeable lens Non-SLR Digital Camera X250 Silver</x:v>
      </x:c>
      <x:c r="C2490" s="8" t="n">
        <x:v>42</x:v>
      </x:c>
      <x:c r="D2490" s="9" t="n">
        <x:v>268</x:v>
      </x:c>
      <x:c r="E2490" s="9" t="n">
        <x:v>88.79</x:v>
      </x:c>
      <x:c r="F2490" s="8" t="n">
        <x:f>C2490*D2490</x:f>
        <x:v>11256</x:v>
      </x:c>
      <x:c r="G2490" s="8" t="n">
        <x:f>C2490*E2490</x:f>
        <x:v>3729.1800000000003</x:v>
      </x:c>
      <x:c r="H2490" s="8" t="n">
        <x:f>F2490-G2490</x:f>
        <x:v>7526.82</x:v>
      </x:c>
      <x:c r="I2490" s="10" t="n">
        <x:f>H2490/F2490</x:f>
        <x:v>0.6686940298507462</x:v>
      </x:c>
    </x:row>
    <x:row r="2491" ht="22" customHeight="1">
      <x:c r="A2491" s="11" t="str">
        <x:v>992</x:v>
      </x:c>
      <x:c r="B2491" s="8" t="str">
        <x:v>A. Datum Super-zoom Digital Camera X300 Silver</x:v>
      </x:c>
      <x:c r="C2491" s="8" t="n">
        <x:v>43</x:v>
      </x:c>
      <x:c r="D2491" s="9" t="n">
        <x:v>290</x:v>
      </x:c>
      <x:c r="E2491" s="9" t="n">
        <x:v>96.08</x:v>
      </x:c>
      <x:c r="F2491" s="8" t="n">
        <x:f>C2491*D2491</x:f>
        <x:v>12470</x:v>
      </x:c>
      <x:c r="G2491" s="8" t="n">
        <x:f>C2491*E2491</x:f>
        <x:v>4131.44</x:v>
      </x:c>
      <x:c r="H2491" s="8" t="n">
        <x:f>F2491-G2491</x:f>
        <x:v>8338.560000000001</x:v>
      </x:c>
      <x:c r="I2491" s="10" t="n">
        <x:f>H2491/F2491</x:f>
        <x:v>0.6686896551724139</x:v>
      </x:c>
    </x:row>
    <x:row r="2492" ht="22" customHeight="1">
      <x:c r="A2492" s="11" t="str">
        <x:v>993</x:v>
      </x:c>
      <x:c r="B2492" s="8" t="str">
        <x:v>A. Datum Consumer Digital Camera E100 Silver</x:v>
      </x:c>
      <x:c r="C2492" s="8" t="n">
        <x:v>41</x:v>
      </x:c>
      <x:c r="D2492" s="9" t="n">
        <x:v>281</x:v>
      </x:c>
      <x:c r="E2492" s="9" t="n">
        <x:v>143.26</x:v>
      </x:c>
      <x:c r="F2492" s="8" t="n">
        <x:f>C2492*D2492</x:f>
        <x:v>11521</x:v>
      </x:c>
      <x:c r="G2492" s="8" t="n">
        <x:f>C2492*E2492</x:f>
        <x:v>5873.66</x:v>
      </x:c>
      <x:c r="H2492" s="8" t="n">
        <x:f>F2492-G2492</x:f>
        <x:v>5647.34</x:v>
      </x:c>
      <x:c r="I2492" s="10" t="n">
        <x:f>H2492/F2492</x:f>
        <x:v>0.4901779359430605</x:v>
      </x:c>
    </x:row>
    <x:row r="2493" ht="22" customHeight="1">
      <x:c r="A2493" s="11" t="str">
        <x:v>994</x:v>
      </x:c>
      <x:c r="B2493" s="8" t="str">
        <x:v>A. Datum Consumer Digital Camera M300 Silver</x:v>
      </x:c>
      <x:c r="C2493" s="8" t="n">
        <x:v>48</x:v>
      </x:c>
      <x:c r="D2493" s="9" t="n">
        <x:v>184.5</x:v>
      </x:c>
      <x:c r="E2493" s="9" t="n">
        <x:v>84.84</x:v>
      </x:c>
      <x:c r="F2493" s="8" t="n">
        <x:f>C2493*D2493</x:f>
        <x:v>8856</x:v>
      </x:c>
      <x:c r="G2493" s="8" t="n">
        <x:f>C2493*E2493</x:f>
        <x:v>4072.32</x:v>
      </x:c>
      <x:c r="H2493" s="8" t="n">
        <x:f>F2493-G2493</x:f>
        <x:v>4783.68</x:v>
      </x:c>
      <x:c r="I2493" s="10" t="n">
        <x:f>H2493/F2493</x:f>
        <x:v>0.5401626016260163</x:v>
      </x:c>
    </x:row>
    <x:row r="2494" ht="22" customHeight="1">
      <x:c r="A2494" s="11" t="str">
        <x:v>995</x:v>
      </x:c>
      <x:c r="B2494" s="8" t="str">
        <x:v>A. Datum Advanced Digital Camera M300 Silver</x:v>
      </x:c>
      <x:c r="C2494" s="8" t="n">
        <x:v>35</x:v>
      </x:c>
      <x:c r="D2494" s="9" t="n">
        <x:v>188.5</x:v>
      </x:c>
      <x:c r="E2494" s="9" t="n">
        <x:v>86.68</x:v>
      </x:c>
      <x:c r="F2494" s="8" t="n">
        <x:f>C2494*D2494</x:f>
        <x:v>6597.5</x:v>
      </x:c>
      <x:c r="G2494" s="8" t="n">
        <x:f>C2494*E2494</x:f>
        <x:v>3033.8</x:v>
      </x:c>
      <x:c r="H2494" s="8" t="n">
        <x:f>F2494-G2494</x:f>
        <x:v>3563.7</x:v>
      </x:c>
      <x:c r="I2494" s="10" t="n">
        <x:f>H2494/F2494</x:f>
        <x:v>0.5401591511936339</x:v>
      </x:c>
    </x:row>
    <x:row r="2495" ht="22" customHeight="1">
      <x:c r="A2495" s="11" t="str">
        <x:v>996</x:v>
      </x:c>
      <x:c r="B2495" s="8" t="str">
        <x:v>A. Datum Bridge Digital Camera M300 Silver</x:v>
      </x:c>
      <x:c r="C2495" s="8" t="n">
        <x:v>31</x:v>
      </x:c>
      <x:c r="D2495" s="9" t="n">
        <x:v>186.9</x:v>
      </x:c>
      <x:c r="E2495" s="9" t="n">
        <x:v>85.95</x:v>
      </x:c>
      <x:c r="F2495" s="8" t="n">
        <x:f>C2495*D2495</x:f>
        <x:v>5793.900000000001</x:v>
      </x:c>
      <x:c r="G2495" s="8" t="n">
        <x:f>C2495*E2495</x:f>
        <x:v>2664.4500000000003</x:v>
      </x:c>
      <x:c r="H2495" s="8" t="n">
        <x:f>F2495-G2495</x:f>
        <x:v>3129.4500000000003</x:v>
      </x:c>
      <x:c r="I2495" s="10" t="n">
        <x:f>H2495/F2495</x:f>
        <x:v>0.5401284109149278</x:v>
      </x:c>
    </x:row>
    <x:row r="2496" ht="22" customHeight="1">
      <x:c r="A2496" s="11" t="str">
        <x:v>997</x:v>
      </x:c>
      <x:c r="B2496" s="8" t="str">
        <x:v>A. Datum SLR-like Digital Camera M400 Silver</x:v>
      </x:c>
      <x:c r="C2496" s="8" t="n">
        <x:v>34</x:v>
      </x:c>
      <x:c r="D2496" s="9" t="n">
        <x:v>196.9</x:v>
      </x:c>
      <x:c r="E2496" s="9" t="n">
        <x:v>90.55</x:v>
      </x:c>
      <x:c r="F2496" s="8" t="n">
        <x:f>C2496*D2496</x:f>
        <x:v>6694.6</x:v>
      </x:c>
      <x:c r="G2496" s="8" t="n">
        <x:f>C2496*E2496</x:f>
        <x:v>3078.7</x:v>
      </x:c>
      <x:c r="H2496" s="8" t="n">
        <x:f>F2496-G2496</x:f>
        <x:v>3615.9000000000005</x:v>
      </x:c>
      <x:c r="I2496" s="10" t="n">
        <x:f>H2496/F2496</x:f>
        <x:v>0.5401218892839005</x:v>
      </x:c>
    </x:row>
    <x:row r="2497" ht="22" customHeight="1">
      <x:c r="A2497" s="11" t="str">
        <x:v>998</x:v>
      </x:c>
      <x:c r="B2497" s="8" t="str">
        <x:v>A. Datum Point Shoot Digital Camera M500 Silver</x:v>
      </x:c>
      <x:c r="C2497" s="8" t="n">
        <x:v>22</x:v>
      </x:c>
      <x:c r="D2497" s="9" t="n">
        <x:v>198</x:v>
      </x:c>
      <x:c r="E2497" s="9" t="n">
        <x:v>91.05</x:v>
      </x:c>
      <x:c r="F2497" s="8" t="n">
        <x:f>C2497*D2497</x:f>
        <x:v>4356</x:v>
      </x:c>
      <x:c r="G2497" s="8" t="n">
        <x:f>C2497*E2497</x:f>
        <x:v>2003.1</x:v>
      </x:c>
      <x:c r="H2497" s="8" t="n">
        <x:f>F2497-G2497</x:f>
        <x:v>2352.9</x:v>
      </x:c>
      <x:c r="I2497" s="10" t="n">
        <x:f>H2497/F2497</x:f>
        <x:v>0.5401515151515152</x:v>
      </x:c>
    </x:row>
    <x:row r="2498" ht="22" customHeight="1">
      <x:c r="A2498" s="11" t="str">
        <x:v>999</x:v>
      </x:c>
      <x:c r="B2498" s="8" t="str">
        <x:v>A. Datum Full Frame Digital Camera X300 Silver</x:v>
      </x:c>
      <x:c r="C2498" s="8" t="n">
        <x:v>29</x:v>
      </x:c>
      <x:c r="D2498" s="9" t="n">
        <x:v>231</x:v>
      </x:c>
      <x:c r="E2498" s="9" t="n">
        <x:v>76.53</x:v>
      </x:c>
      <x:c r="F2498" s="8" t="n">
        <x:f>C2498*D2498</x:f>
        <x:v>6699</x:v>
      </x:c>
      <x:c r="G2498" s="8" t="n">
        <x:f>C2498*E2498</x:f>
        <x:v>2219.37</x:v>
      </x:c>
      <x:c r="H2498" s="8" t="n">
        <x:f>F2498-G2498</x:f>
        <x:v>4479.63</x:v>
      </x:c>
      <x:c r="I2498" s="10" t="n">
        <x:f>H2498/F2498</x:f>
        <x:v>0.6687012987012987</x:v>
      </x:c>
    </x:row>
    <x:row r="2499" ht="22" customHeight="1">
      <x:c r="A2499" s="2"/>
      <x:c r="B2499" s="2"/>
      <x:c r="C2499" s="2"/>
      <x:c r="D2499" s="2"/>
      <x:c r="E2499" s="2"/>
      <x:c r="F2499" s="2"/>
      <x:c r="G2499" s="2"/>
      <x:c r="H2499" s="2"/>
      <x:c r="I2499" s="2"/>
    </x:row>
    <x:row r="2500" ht="22" customHeight="1">
      <x:c r="A2500" s="2"/>
      <x:c r="B2500" s="2"/>
      <x:c r="C2500" s="2"/>
      <x:c r="D2500" s="2"/>
      <x:c r="E2500" s="2"/>
      <x:c r="F2500" s="2"/>
      <x:c r="G2500" s="2"/>
      <x:c r="H2500" s="2"/>
      <x:c r="I2500" s="2"/>
    </x:row>
    <x:row r="2501" ht="22" customHeight="1">
      <x:c r="A2501" s="2"/>
      <x:c r="B2501" s="2"/>
      <x:c r="C2501" s="2"/>
      <x:c r="D2501" s="2"/>
      <x:c r="E2501" s="2"/>
      <x:c r="F2501" s="2"/>
      <x:c r="G2501" s="2"/>
      <x:c r="H2501" s="2"/>
      <x:c r="I250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2D4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E3. Monthly channel performance (USD)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2" customHeight="1">
      <x:c r="A4" s="2" t="str">
        <x:v>Prepared monthly sums from E2_Priced_Sales_Lines.csv. Orders counted distinctly before grouping.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8" customHeight="1">
      <x:c r="A6" s="7" t="str">
        <x:v>Month</x:v>
      </x:c>
      <x:c r="B6" s="7" t="str">
        <x:v>Year</x:v>
      </x:c>
      <x:c r="C6" s="7" t="str">
        <x:v>Channel</x:v>
      </x:c>
      <x:c r="D6" s="7" t="str">
        <x:v>Est. sales</x:v>
      </x:c>
      <x:c r="E6" s="7" t="str">
        <x:v>Cost</x:v>
      </x:c>
      <x:c r="F6" s="7" t="str">
        <x:v>Est. gross profit</x:v>
      </x:c>
      <x:c r="G6" s="7" t="str">
        <x:v>Orders</x:v>
      </x:c>
      <x:c r="H6" s="7" t="str">
        <x:v>Units</x:v>
      </x:c>
      <x:c r="I6" s="7" t="str">
        <x:v>AOV</x:v>
      </x:c>
      <x:c r="J6" s="7" t="str">
        <x:v>Units / order</x:v>
      </x:c>
      <x:c r="K6" s="7" t="str">
        <x:v>Margin</x:v>
      </x:c>
    </x:row>
    <x:row r="7" ht="22" customHeight="1">
      <x:c r="A7" s="8" t="str">
        <x:v>2016-01</x:v>
      </x:c>
      <x:c r="B7" s="12" t="n">
        <x:v>2016</x:v>
      </x:c>
      <x:c r="C7" s="8" t="str">
        <x:v>Online</x:v>
      </x:c>
      <x:c r="D7" s="8" t="n">
        <x:v>68194.13</x:v>
      </x:c>
      <x:c r="E7" s="8" t="n">
        <x:v>26890.69</x:v>
      </x:c>
      <x:c r="F7" s="8" t="n">
        <x:f>D7-E7</x:f>
        <x:v>41303.44</x:v>
      </x:c>
      <x:c r="G7" s="8" t="n">
        <x:v>43</x:v>
      </x:c>
      <x:c r="H7" s="8" t="n">
        <x:v>299</x:v>
      </x:c>
      <x:c r="I7" s="9" t="n">
        <x:f>D7/G7</x:f>
        <x:v>1585.91</x:v>
      </x:c>
      <x:c r="J7" s="9" t="n">
        <x:f>H7/G7</x:f>
        <x:v>6.953488372093023</x:v>
      </x:c>
      <x:c r="K7" s="10" t="n">
        <x:f>F7/D7</x:f>
        <x:v>0.6056744180180904</x:v>
      </x:c>
    </x:row>
    <x:row r="8" ht="22" customHeight="1">
      <x:c r="A8" s="8" t="str">
        <x:v>2016-01</x:v>
      </x:c>
      <x:c r="B8" s="12" t="n">
        <x:v>2016</x:v>
      </x:c>
      <x:c r="C8" s="8" t="str">
        <x:v>Store</x:v>
      </x:c>
      <x:c r="D8" s="8" t="n">
        <x:v>581724.65</x:v>
      </x:c>
      <x:c r="E8" s="8" t="n">
        <x:v>234759.13</x:v>
      </x:c>
      <x:c r="F8" s="8" t="n">
        <x:f>D8-E8</x:f>
        <x:v>346965.52</x:v>
      </x:c>
      <x:c r="G8" s="8" t="n">
        <x:v>249</x:v>
      </x:c>
      <x:c r="H8" s="8" t="n">
        <x:v>1817</x:v>
      </x:c>
      <x:c r="I8" s="9" t="n">
        <x:f>D8/G8</x:f>
        <x:v>2336.243574297189</x:v>
      </x:c>
      <x:c r="J8" s="9" t="n">
        <x:f>H8/G8</x:f>
        <x:v>7.2971887550200805</x:v>
      </x:c>
      <x:c r="K8" s="10" t="n">
        <x:f>F8/D8</x:f>
        <x:v>0.5964428703511189</x:v>
      </x:c>
    </x:row>
    <x:row r="9" ht="22" customHeight="1">
      <x:c r="A9" s="8" t="str">
        <x:v>2016-02</x:v>
      </x:c>
      <x:c r="B9" s="12" t="n">
        <x:v>2016</x:v>
      </x:c>
      <x:c r="C9" s="8" t="str">
        <x:v>Online</x:v>
      </x:c>
      <x:c r="D9" s="8" t="n">
        <x:v>97945.22</x:v>
      </x:c>
      <x:c r="E9" s="8" t="n">
        <x:v>41850.74</x:v>
      </x:c>
      <x:c r="F9" s="8" t="n">
        <x:f>D9-E9</x:f>
        <x:v>56094.48</x:v>
      </x:c>
      <x:c r="G9" s="8" t="n">
        <x:v>50</x:v>
      </x:c>
      <x:c r="H9" s="8" t="n">
        <x:v>330</x:v>
      </x:c>
      <x:c r="I9" s="9" t="n">
        <x:f>D9/G9</x:f>
        <x:v>1958.9044000000001</x:v>
      </x:c>
      <x:c r="J9" s="9" t="n">
        <x:f>H9/G9</x:f>
        <x:v>6.6</x:v>
      </x:c>
      <x:c r="K9" s="10" t="n">
        <x:f>F9/D9</x:f>
        <x:v>0.5727127878216007</x:v>
      </x:c>
    </x:row>
    <x:row r="10" ht="22" customHeight="1">
      <x:c r="A10" s="8" t="str">
        <x:v>2016-02</x:v>
      </x:c>
      <x:c r="B10" s="12" t="n">
        <x:v>2016</x:v>
      </x:c>
      <x:c r="C10" s="8" t="str">
        <x:v>Store</x:v>
      </x:c>
      <x:c r="D10" s="8" t="n">
        <x:v>793153.08</x:v>
      </x:c>
      <x:c r="E10" s="8" t="n">
        <x:v>317524.81</x:v>
      </x:c>
      <x:c r="F10" s="8" t="n">
        <x:f>D10-E10</x:f>
        <x:v>475628.26999999996</x:v>
      </x:c>
      <x:c r="G10" s="8" t="n">
        <x:v>284</x:v>
      </x:c>
      <x:c r="H10" s="8" t="n">
        <x:v>2346</x:v>
      </x:c>
      <x:c r="I10" s="9" t="n">
        <x:f>D10/G10</x:f>
        <x:v>2792.7925352112675</x:v>
      </x:c>
      <x:c r="J10" s="9" t="n">
        <x:f>H10/G10</x:f>
        <x:v>8.26056338028169</x:v>
      </x:c>
      <x:c r="K10" s="10" t="n">
        <x:f>F10/D10</x:f>
        <x:v>0.5996676833178282</x:v>
      </x:c>
    </x:row>
    <x:row r="11" ht="22" customHeight="1">
      <x:c r="A11" s="8" t="str">
        <x:v>2016-03</x:v>
      </x:c>
      <x:c r="B11" s="12" t="n">
        <x:v>2016</x:v>
      </x:c>
      <x:c r="C11" s="8" t="str">
        <x:v>Online</x:v>
      </x:c>
      <x:c r="D11" s="8" t="n">
        <x:v>22409.49</x:v>
      </x:c>
      <x:c r="E11" s="8" t="n">
        <x:v>8612.03</x:v>
      </x:c>
      <x:c r="F11" s="8" t="n">
        <x:f>D11-E11</x:f>
        <x:v>13797.460000000001</x:v>
      </x:c>
      <x:c r="G11" s="8" t="n">
        <x:v>15</x:v>
      </x:c>
      <x:c r="H11" s="8" t="n">
        <x:v>70</x:v>
      </x:c>
      <x:c r="I11" s="9" t="n">
        <x:f>D11/G11</x:f>
        <x:v>1493.9660000000001</x:v>
      </x:c>
      <x:c r="J11" s="9" t="n">
        <x:f>H11/G11</x:f>
        <x:v>4.666666666666667</x:v>
      </x:c>
      <x:c r="K11" s="10" t="n">
        <x:f>F11/D11</x:f>
        <x:v>0.6156971890034089</x:v>
      </x:c>
    </x:row>
    <x:row r="12" ht="22" customHeight="1">
      <x:c r="A12" s="8" t="str">
        <x:v>2016-03</x:v>
      </x:c>
      <x:c r="B12" s="12" t="n">
        <x:v>2016</x:v>
      </x:c>
      <x:c r="C12" s="8" t="str">
        <x:v>Store</x:v>
      </x:c>
      <x:c r="D12" s="8" t="n">
        <x:v>315997.87</x:v>
      </x:c>
      <x:c r="E12" s="8" t="n">
        <x:v>126288.34</x:v>
      </x:c>
      <x:c r="F12" s="8" t="n">
        <x:f>D12-E12</x:f>
        <x:v>189709.53</x:v>
      </x:c>
      <x:c r="G12" s="8" t="n">
        <x:v>94</x:v>
      </x:c>
      <x:c r="H12" s="8" t="n">
        <x:v>825</x:v>
      </x:c>
      <x:c r="I12" s="9" t="n">
        <x:f>D12/G12</x:f>
        <x:v>3361.6794680851062</x:v>
      </x:c>
      <x:c r="J12" s="9" t="n">
        <x:f>H12/G12</x:f>
        <x:v>8.77659574468085</x:v>
      </x:c>
      <x:c r="K12" s="10" t="n">
        <x:f>F12/D12</x:f>
        <x:v>0.600350660591478</x:v>
      </x:c>
    </x:row>
    <x:row r="13" ht="22" customHeight="1">
      <x:c r="A13" s="8" t="str">
        <x:v>2016-04</x:v>
      </x:c>
      <x:c r="B13" s="12" t="n">
        <x:v>2016</x:v>
      </x:c>
      <x:c r="C13" s="8" t="str">
        <x:v>Online</x:v>
      </x:c>
      <x:c r="D13" s="8" t="n">
        <x:v>15898.22</x:v>
      </x:c>
      <x:c r="E13" s="8" t="n">
        <x:v>6437.81</x:v>
      </x:c>
      <x:c r="F13" s="8" t="n">
        <x:f>D13-E13</x:f>
        <x:v>9460.41</x:v>
      </x:c>
      <x:c r="G13" s="8" t="n">
        <x:v>5</x:v>
      </x:c>
      <x:c r="H13" s="8" t="n">
        <x:v>44</x:v>
      </x:c>
      <x:c r="I13" s="9" t="n">
        <x:f>D13/G13</x:f>
        <x:v>3179.644</x:v>
      </x:c>
      <x:c r="J13" s="9" t="n">
        <x:f>H13/G13</x:f>
        <x:v>8.8</x:v>
      </x:c>
      <x:c r="K13" s="10" t="n">
        <x:f>F13/D13</x:f>
        <x:v>0.5950609565095967</x:v>
      </x:c>
    </x:row>
    <x:row r="14" ht="22" customHeight="1">
      <x:c r="A14" s="8" t="str">
        <x:v>2016-04</x:v>
      </x:c>
      <x:c r="B14" s="12" t="n">
        <x:v>2016</x:v>
      </x:c>
      <x:c r="C14" s="8" t="str">
        <x:v>Store</x:v>
      </x:c>
      <x:c r="D14" s="8" t="n">
        <x:v>94693.41</x:v>
      </x:c>
      <x:c r="E14" s="8" t="n">
        <x:v>37922.63</x:v>
      </x:c>
      <x:c r="F14" s="8" t="n">
        <x:f>D14-E14</x:f>
        <x:v>56770.780000000006</x:v>
      </x:c>
      <x:c r="G14" s="8" t="n">
        <x:v>36</x:v>
      </x:c>
      <x:c r="H14" s="8" t="n">
        <x:v>282</x:v>
      </x:c>
      <x:c r="I14" s="9" t="n">
        <x:f>D14/G14</x:f>
        <x:v>2630.3725</x:v>
      </x:c>
      <x:c r="J14" s="9" t="n">
        <x:f>H14/G14</x:f>
        <x:v>7.833333333333333</x:v>
      </x:c>
      <x:c r="K14" s="10" t="n">
        <x:f>F14/D14</x:f>
        <x:v>0.5995219730707766</x:v>
      </x:c>
    </x:row>
    <x:row r="15" ht="22" customHeight="1">
      <x:c r="A15" s="8" t="str">
        <x:v>2016-05</x:v>
      </x:c>
      <x:c r="B15" s="12" t="n">
        <x:v>2016</x:v>
      </x:c>
      <x:c r="C15" s="8" t="str">
        <x:v>Online</x:v>
      </x:c>
      <x:c r="D15" s="8" t="n">
        <x:v>52770.82</x:v>
      </x:c>
      <x:c r="E15" s="8" t="n">
        <x:v>22591.48</x:v>
      </x:c>
      <x:c r="F15" s="8" t="n">
        <x:f>D15-E15</x:f>
        <x:v>30179.34</x:v>
      </x:c>
      <x:c r="G15" s="8" t="n">
        <x:v>26</x:v>
      </x:c>
      <x:c r="H15" s="8" t="n">
        <x:v>218</x:v>
      </x:c>
      <x:c r="I15" s="9" t="n">
        <x:f>D15/G15</x:f>
        <x:v>2029.646923076923</x:v>
      </x:c>
      <x:c r="J15" s="9" t="n">
        <x:f>H15/G15</x:f>
        <x:v>8.384615384615385</x:v>
      </x:c>
      <x:c r="K15" s="10" t="n">
        <x:f>F15/D15</x:f>
        <x:v>0.5718944674348437</x:v>
      </x:c>
    </x:row>
    <x:row r="16" ht="22" customHeight="1">
      <x:c r="A16" s="8" t="str">
        <x:v>2016-05</x:v>
      </x:c>
      <x:c r="B16" s="12" t="n">
        <x:v>2016</x:v>
      </x:c>
      <x:c r="C16" s="8" t="str">
        <x:v>Store</x:v>
      </x:c>
      <x:c r="D16" s="8" t="n">
        <x:v>543215.36</x:v>
      </x:c>
      <x:c r="E16" s="8" t="n">
        <x:v>217345.38</x:v>
      </x:c>
      <x:c r="F16" s="8" t="n">
        <x:f>D16-E16</x:f>
        <x:v>325869.98</x:v>
      </x:c>
      <x:c r="G16" s="8" t="n">
        <x:v>194</x:v>
      </x:c>
      <x:c r="H16" s="8" t="n">
        <x:v>1428</x:v>
      </x:c>
      <x:c r="I16" s="9" t="n">
        <x:f>D16/G16</x:f>
        <x:v>2800.079175257732</x:v>
      </x:c>
      <x:c r="J16" s="9" t="n">
        <x:f>H16/G16</x:f>
        <x:v>7.360824742268041</x:v>
      </x:c>
      <x:c r="K16" s="10" t="n">
        <x:f>F16/D16</x:f>
        <x:v>0.5998909530098707</x:v>
      </x:c>
    </x:row>
    <x:row r="17" ht="22" customHeight="1">
      <x:c r="A17" s="8" t="str">
        <x:v>2016-06</x:v>
      </x:c>
      <x:c r="B17" s="12" t="n">
        <x:v>2016</x:v>
      </x:c>
      <x:c r="C17" s="8" t="str">
        <x:v>Online</x:v>
      </x:c>
      <x:c r="D17" s="8" t="n">
        <x:v>89869.5</x:v>
      </x:c>
      <x:c r="E17" s="8" t="n">
        <x:v>38417.96</x:v>
      </x:c>
      <x:c r="F17" s="8" t="n">
        <x:f>D17-E17</x:f>
        <x:v>51451.54</x:v>
      </x:c>
      <x:c r="G17" s="8" t="n">
        <x:v>39</x:v>
      </x:c>
      <x:c r="H17" s="8" t="n">
        <x:v>335</x:v>
      </x:c>
      <x:c r="I17" s="9" t="n">
        <x:f>D17/G17</x:f>
        <x:v>2304.346153846154</x:v>
      </x:c>
      <x:c r="J17" s="9" t="n">
        <x:f>H17/G17</x:f>
        <x:v>8.58974358974359</x:v>
      </x:c>
      <x:c r="K17" s="10" t="n">
        <x:f>F17/D17</x:f>
        <x:v>0.5725139229660786</x:v>
      </x:c>
    </x:row>
    <x:row r="18" ht="22" customHeight="1">
      <x:c r="A18" s="8" t="str">
        <x:v>2016-06</x:v>
      </x:c>
      <x:c r="B18" s="12" t="n">
        <x:v>2016</x:v>
      </x:c>
      <x:c r="C18" s="8" t="str">
        <x:v>Store</x:v>
      </x:c>
      <x:c r="D18" s="8" t="n">
        <x:v>428715.78</x:v>
      </x:c>
      <x:c r="E18" s="8" t="n">
        <x:v>185896.83</x:v>
      </x:c>
      <x:c r="F18" s="8" t="n">
        <x:f>D18-E18</x:f>
        <x:v>242818.95000000004</x:v>
      </x:c>
      <x:c r="G18" s="8" t="n">
        <x:v>204</x:v>
      </x:c>
      <x:c r="H18" s="8" t="n">
        <x:v>1529</x:v>
      </x:c>
      <x:c r="I18" s="9" t="n">
        <x:f>D18/G18</x:f>
        <x:v>2101.547941176471</x:v>
      </x:c>
      <x:c r="J18" s="9" t="n">
        <x:f>H18/G18</x:f>
        <x:v>7.495098039215686</x:v>
      </x:c>
      <x:c r="K18" s="10" t="n">
        <x:f>F18/D18</x:f>
        <x:v>0.5663867796048936</x:v>
      </x:c>
    </x:row>
    <x:row r="19" ht="22" customHeight="1">
      <x:c r="A19" s="8" t="str">
        <x:v>2016-07</x:v>
      </x:c>
      <x:c r="B19" s="12" t="n">
        <x:v>2016</x:v>
      </x:c>
      <x:c r="C19" s="8" t="str">
        <x:v>Online</x:v>
      </x:c>
      <x:c r="D19" s="8" t="n">
        <x:v>132598.46</x:v>
      </x:c>
      <x:c r="E19" s="8" t="n">
        <x:v>53811.46</x:v>
      </x:c>
      <x:c r="F19" s="8" t="n">
        <x:f>D19-E19</x:f>
        <x:v>78787</x:v>
      </x:c>
      <x:c r="G19" s="8" t="n">
        <x:v>40</x:v>
      </x:c>
      <x:c r="H19" s="8" t="n">
        <x:v>370</x:v>
      </x:c>
      <x:c r="I19" s="9" t="n">
        <x:f>D19/G19</x:f>
        <x:v>3314.9615</x:v>
      </x:c>
      <x:c r="J19" s="9" t="n">
        <x:f>H19/G19</x:f>
        <x:v>9.25</x:v>
      </x:c>
      <x:c r="K19" s="10" t="n">
        <x:f>F19/D19</x:f>
        <x:v>0.5941773381078483</x:v>
      </x:c>
    </x:row>
    <x:row r="20" ht="22" customHeight="1">
      <x:c r="A20" s="8" t="str">
        <x:v>2016-07</x:v>
      </x:c>
      <x:c r="B20" s="12" t="n">
        <x:v>2016</x:v>
      </x:c>
      <x:c r="C20" s="8" t="str">
        <x:v>Store</x:v>
      </x:c>
      <x:c r="D20" s="8" t="n">
        <x:v>322361.37</x:v>
      </x:c>
      <x:c r="E20" s="8" t="n">
        <x:v>131778.94</x:v>
      </x:c>
      <x:c r="F20" s="8" t="n">
        <x:f>D20-E20</x:f>
        <x:v>190582.43</x:v>
      </x:c>
      <x:c r="G20" s="8" t="n">
        <x:v>161</x:v>
      </x:c>
      <x:c r="H20" s="8" t="n">
        <x:v>1202</x:v>
      </x:c>
      <x:c r="I20" s="9" t="n">
        <x:f>D20/G20</x:f>
        <x:v>2002.2445341614907</x:v>
      </x:c>
      <x:c r="J20" s="9" t="n">
        <x:f>H20/G20</x:f>
        <x:v>7.46583850931677</x:v>
      </x:c>
      <x:c r="K20" s="10" t="n">
        <x:f>F20/D20</x:f>
        <x:v>0.5912074080092165</x:v>
      </x:c>
    </x:row>
    <x:row r="21" ht="22" customHeight="1">
      <x:c r="A21" s="8" t="str">
        <x:v>2016-08</x:v>
      </x:c>
      <x:c r="B21" s="12" t="n">
        <x:v>2016</x:v>
      </x:c>
      <x:c r="C21" s="8" t="str">
        <x:v>Online</x:v>
      </x:c>
      <x:c r="D21" s="8" t="n">
        <x:v>83904.71</x:v>
      </x:c>
      <x:c r="E21" s="8" t="n">
        <x:v>35799.1</x:v>
      </x:c>
      <x:c r="F21" s="8" t="n">
        <x:f>D21-E21</x:f>
        <x:v>48105.61000000001</x:v>
      </x:c>
      <x:c r="G21" s="8" t="n">
        <x:v>40</x:v>
      </x:c>
      <x:c r="H21" s="8" t="n">
        <x:v>276</x:v>
      </x:c>
      <x:c r="I21" s="9" t="n">
        <x:f>D21/G21</x:f>
        <x:v>2097.6177500000003</x:v>
      </x:c>
      <x:c r="J21" s="9" t="n">
        <x:f>H21/G21</x:f>
        <x:v>6.9</x:v>
      </x:c>
      <x:c r="K21" s="10" t="n">
        <x:f>F21/D21</x:f>
        <x:v>0.573336228681322</x:v>
      </x:c>
    </x:row>
    <x:row r="22" ht="22" customHeight="1">
      <x:c r="A22" s="8" t="str">
        <x:v>2016-08</x:v>
      </x:c>
      <x:c r="B22" s="12" t="n">
        <x:v>2016</x:v>
      </x:c>
      <x:c r="C22" s="8" t="str">
        <x:v>Store</x:v>
      </x:c>
      <x:c r="D22" s="8" t="n">
        <x:v>463607.98</x:v>
      </x:c>
      <x:c r="E22" s="8" t="n">
        <x:v>185803.68</x:v>
      </x:c>
      <x:c r="F22" s="8" t="n">
        <x:f>D22-E22</x:f>
        <x:v>277804.3</x:v>
      </x:c>
      <x:c r="G22" s="8" t="n">
        <x:v>189</x:v>
      </x:c>
      <x:c r="H22" s="8" t="n">
        <x:v>1335</x:v>
      </x:c>
      <x:c r="I22" s="9" t="n">
        <x:f>D22/G22</x:f>
        <x:v>2452.952275132275</x:v>
      </x:c>
      <x:c r="J22" s="9" t="n">
        <x:f>H22/G22</x:f>
        <x:v>7.063492063492063</x:v>
      </x:c>
      <x:c r="K22" s="10" t="n">
        <x:f>F22/D22</x:f>
        <x:v>0.5992224292601693</x:v>
      </x:c>
    </x:row>
    <x:row r="23" ht="22" customHeight="1">
      <x:c r="A23" s="8" t="str">
        <x:v>2016-09</x:v>
      </x:c>
      <x:c r="B23" s="12" t="n">
        <x:v>2016</x:v>
      </x:c>
      <x:c r="C23" s="8" t="str">
        <x:v>Online</x:v>
      </x:c>
      <x:c r="D23" s="8" t="n">
        <x:v>75340.06</x:v>
      </x:c>
      <x:c r="E23" s="8" t="n">
        <x:v>30897.81</x:v>
      </x:c>
      <x:c r="F23" s="8" t="n">
        <x:f>D23-E23</x:f>
        <x:v>44442.25</x:v>
      </x:c>
      <x:c r="G23" s="8" t="n">
        <x:v>43</x:v>
      </x:c>
      <x:c r="H23" s="8" t="n">
        <x:v>280</x:v>
      </x:c>
      <x:c r="I23" s="9" t="n">
        <x:f>D23/G23</x:f>
        <x:v>1752.094418604651</x:v>
      </x:c>
      <x:c r="J23" s="9" t="n">
        <x:f>H23/G23</x:f>
        <x:v>6.511627906976744</x:v>
      </x:c>
      <x:c r="K23" s="10" t="n">
        <x:f>F23/D23</x:f>
        <x:v>0.5898886993187954</x:v>
      </x:c>
    </x:row>
    <x:row r="24" ht="22" customHeight="1">
      <x:c r="A24" s="8" t="str">
        <x:v>2016-09</x:v>
      </x:c>
      <x:c r="B24" s="12" t="n">
        <x:v>2016</x:v>
      </x:c>
      <x:c r="C24" s="8" t="str">
        <x:v>Store</x:v>
      </x:c>
      <x:c r="D24" s="8" t="n">
        <x:v>492081.06</x:v>
      </x:c>
      <x:c r="E24" s="8" t="n">
        <x:v>204663.76</x:v>
      </x:c>
      <x:c r="F24" s="8" t="n">
        <x:f>D24-E24</x:f>
        <x:v>287417.3</x:v>
      </x:c>
      <x:c r="G24" s="8" t="n">
        <x:v>219</x:v>
      </x:c>
      <x:c r="H24" s="8" t="n">
        <x:v>1605</x:v>
      </x:c>
      <x:c r="I24" s="9" t="n">
        <x:f>D24/G24</x:f>
        <x:v>2246.9454794520548</x:v>
      </x:c>
      <x:c r="J24" s="9" t="n">
        <x:f>H24/G24</x:f>
        <x:v>7.328767123287672</x:v>
      </x:c>
      <x:c r="K24" s="10" t="n">
        <x:f>F24/D24</x:f>
        <x:v>0.5840852724549082</x:v>
      </x:c>
    </x:row>
    <x:row r="25" ht="22" customHeight="1">
      <x:c r="A25" s="8" t="str">
        <x:v>2016-10</x:v>
      </x:c>
      <x:c r="B25" s="12" t="n">
        <x:v>2016</x:v>
      </x:c>
      <x:c r="C25" s="8" t="str">
        <x:v>Online</x:v>
      </x:c>
      <x:c r="D25" s="8" t="n">
        <x:v>146573.31</x:v>
      </x:c>
      <x:c r="E25" s="8" t="n">
        <x:v>59203.55</x:v>
      </x:c>
      <x:c r="F25" s="8" t="n">
        <x:f>D25-E25</x:f>
        <x:v>87369.76</x:v>
      </x:c>
      <x:c r="G25" s="8" t="n">
        <x:v>42</x:v>
      </x:c>
      <x:c r="H25" s="8" t="n">
        <x:v>360</x:v>
      </x:c>
      <x:c r="I25" s="9" t="n">
        <x:f>D25/G25</x:f>
        <x:v>3489.840714285714</x:v>
      </x:c>
      <x:c r="J25" s="9" t="n">
        <x:f>H25/G25</x:f>
        <x:v>8.571428571428571</x:v>
      </x:c>
      <x:c r="K25" s="10" t="n">
        <x:f>F25/D25</x:f>
        <x:v>0.5960823290406692</x:v>
      </x:c>
    </x:row>
    <x:row r="26" ht="22" customHeight="1">
      <x:c r="A26" s="8" t="str">
        <x:v>2016-10</x:v>
      </x:c>
      <x:c r="B26" s="12" t="n">
        <x:v>2016</x:v>
      </x:c>
      <x:c r="C26" s="8" t="str">
        <x:v>Store</x:v>
      </x:c>
      <x:c r="D26" s="8" t="n">
        <x:v>477386.26</x:v>
      </x:c>
      <x:c r="E26" s="8" t="n">
        <x:v>199158.04</x:v>
      </x:c>
      <x:c r="F26" s="8" t="n">
        <x:f>D26-E26</x:f>
        <x:v>278228.22</x:v>
      </x:c>
      <x:c r="G26" s="8" t="n">
        <x:v>216</x:v>
      </x:c>
      <x:c r="H26" s="8" t="n">
        <x:v>1682</x:v>
      </x:c>
      <x:c r="I26" s="9" t="n">
        <x:f>D26/G26</x:f>
        <x:v>2210.121574074074</x:v>
      </x:c>
      <x:c r="J26" s="9" t="n">
        <x:f>H26/G26</x:f>
        <x:v>7.787037037037037</x:v>
      </x:c>
      <x:c r="K26" s="10" t="n">
        <x:f>F26/D26</x:f>
        <x:v>0.5828157266193627</x:v>
      </x:c>
    </x:row>
    <x:row r="27" ht="22" customHeight="1">
      <x:c r="A27" s="8" t="str">
        <x:v>2016-11</x:v>
      </x:c>
      <x:c r="B27" s="12" t="n">
        <x:v>2016</x:v>
      </x:c>
      <x:c r="C27" s="8" t="str">
        <x:v>Online</x:v>
      </x:c>
      <x:c r="D27" s="8" t="n">
        <x:v>140160.98</x:v>
      </x:c>
      <x:c r="E27" s="8" t="n">
        <x:v>54201.87</x:v>
      </x:c>
      <x:c r="F27" s="8" t="n">
        <x:f>D27-E27</x:f>
        <x:v>85959.11000000002</x:v>
      </x:c>
      <x:c r="G27" s="8" t="n">
        <x:v>46</x:v>
      </x:c>
      <x:c r="H27" s="8" t="n">
        <x:v>349</x:v>
      </x:c>
      <x:c r="I27" s="9" t="n">
        <x:f>D27/G27</x:f>
        <x:v>3046.9778260869566</x:v>
      </x:c>
      <x:c r="J27" s="9" t="n">
        <x:f>H27/G27</x:f>
        <x:v>7.586956521739131</x:v>
      </x:c>
      <x:c r="K27" s="10" t="n">
        <x:f>F27/D27</x:f>
        <x:v>0.6132884487537117</x:v>
      </x:c>
    </x:row>
    <x:row r="28" ht="22" customHeight="1">
      <x:c r="A28" s="8" t="str">
        <x:v>2016-11</x:v>
      </x:c>
      <x:c r="B28" s="12" t="n">
        <x:v>2016</x:v>
      </x:c>
      <x:c r="C28" s="8" t="str">
        <x:v>Store</x:v>
      </x:c>
      <x:c r="D28" s="8" t="n">
        <x:v>509788.38</x:v>
      </x:c>
      <x:c r="E28" s="8" t="n">
        <x:v>206079.73</x:v>
      </x:c>
      <x:c r="F28" s="8" t="n">
        <x:f>D28-E28</x:f>
        <x:v>303708.65</x:v>
      </x:c>
      <x:c r="G28" s="8" t="n">
        <x:v>201</x:v>
      </x:c>
      <x:c r="H28" s="8" t="n">
        <x:v>1570</x:v>
      </x:c>
      <x:c r="I28" s="9" t="n">
        <x:f>D28/G28</x:f>
        <x:v>2536.260597014925</x:v>
      </x:c>
      <x:c r="J28" s="9" t="n">
        <x:f>H28/G28</x:f>
        <x:v>7.810945273631841</x:v>
      </x:c>
      <x:c r="K28" s="10" t="n">
        <x:f>F28/D28</x:f>
        <x:v>0.5957543598777203</x:v>
      </x:c>
    </x:row>
    <x:row r="29" ht="22" customHeight="1">
      <x:c r="A29" s="8" t="str">
        <x:v>2016-12</x:v>
      </x:c>
      <x:c r="B29" s="12" t="n">
        <x:v>2016</x:v>
      </x:c>
      <x:c r="C29" s="8" t="str">
        <x:v>Online</x:v>
      </x:c>
      <x:c r="D29" s="8" t="n">
        <x:v>243650.96</x:v>
      </x:c>
      <x:c r="E29" s="8" t="n">
        <x:v>99362.64</x:v>
      </x:c>
      <x:c r="F29" s="8" t="n">
        <x:f>D29-E29</x:f>
        <x:v>144288.32</x:v>
      </x:c>
      <x:c r="G29" s="8" t="n">
        <x:v>87</x:v>
      </x:c>
      <x:c r="H29" s="8" t="n">
        <x:v>682</x:v>
      </x:c>
      <x:c r="I29" s="9" t="n">
        <x:f>D29/G29</x:f>
        <x:v>2800.5857471264367</x:v>
      </x:c>
      <x:c r="J29" s="9" t="n">
        <x:f>H29/G29</x:f>
        <x:v>7.839080459770115</x:v>
      </x:c>
      <x:c r="K29" s="10" t="n">
        <x:f>F29/D29</x:f>
        <x:v>0.5921927005746254</x:v>
      </x:c>
    </x:row>
    <x:row r="30" ht="22" customHeight="1">
      <x:c r="A30" s="8" t="str">
        <x:v>2016-12</x:v>
      </x:c>
      <x:c r="B30" s="12" t="n">
        <x:v>2016</x:v>
      </x:c>
      <x:c r="C30" s="8" t="str">
        <x:v>Store</x:v>
      </x:c>
      <x:c r="D30" s="8" t="n">
        <x:v>754752.5</x:v>
      </x:c>
      <x:c r="E30" s="8" t="n">
        <x:v>314494.68</x:v>
      </x:c>
      <x:c r="F30" s="8" t="n">
        <x:f>D30-E30</x:f>
        <x:v>440257.82</x:v>
      </x:c>
      <x:c r="G30" s="8" t="n">
        <x:v>342</x:v>
      </x:c>
      <x:c r="H30" s="8" t="n">
        <x:v>2527</x:v>
      </x:c>
      <x:c r="I30" s="9" t="n">
        <x:f>D30/G30</x:f>
        <x:v>2206.87865497076</x:v>
      </x:c>
      <x:c r="J30" s="9" t="n">
        <x:f>H30/G30</x:f>
        <x:v>7.388888888888889</x:v>
      </x:c>
      <x:c r="K30" s="10" t="n">
        <x:f>F30/D30</x:f>
        <x:v>0.5833141592773791</x:v>
      </x:c>
    </x:row>
    <x:row r="31" ht="22" customHeight="1">
      <x:c r="A31" s="8" t="str">
        <x:v>2017-01</x:v>
      </x:c>
      <x:c r="B31" s="12" t="n">
        <x:v>2017</x:v>
      </x:c>
      <x:c r="C31" s="8" t="str">
        <x:v>Online</x:v>
      </x:c>
      <x:c r="D31" s="8" t="n">
        <x:v>106500.75</x:v>
      </x:c>
      <x:c r="E31" s="8" t="n">
        <x:v>41964.8</x:v>
      </x:c>
      <x:c r="F31" s="8" t="n">
        <x:f>D31-E31</x:f>
        <x:v>64535.95</x:v>
      </x:c>
      <x:c r="G31" s="8" t="n">
        <x:v>50</x:v>
      </x:c>
      <x:c r="H31" s="8" t="n">
        <x:v>322</x:v>
      </x:c>
      <x:c r="I31" s="9" t="n">
        <x:f>D31/G31</x:f>
        <x:v>2130.015</x:v>
      </x:c>
      <x:c r="J31" s="9" t="n">
        <x:f>H31/G31</x:f>
        <x:v>6.44</x:v>
      </x:c>
      <x:c r="K31" s="10" t="n">
        <x:f>F31/D31</x:f>
        <x:v>0.6059670941284451</x:v>
      </x:c>
    </x:row>
    <x:row r="32" ht="22" customHeight="1">
      <x:c r="A32" s="8" t="str">
        <x:v>2017-01</x:v>
      </x:c>
      <x:c r="B32" s="12" t="n">
        <x:v>2017</x:v>
      </x:c>
      <x:c r="C32" s="8" t="str">
        <x:v>Store</x:v>
      </x:c>
      <x:c r="D32" s="8" t="n">
        <x:v>563614.05</x:v>
      </x:c>
      <x:c r="E32" s="8" t="n">
        <x:v>236443.75</x:v>
      </x:c>
      <x:c r="F32" s="8" t="n">
        <x:f>D32-E32</x:f>
        <x:v>327170.30000000005</x:v>
      </x:c>
      <x:c r="G32" s="8" t="n">
        <x:v>242</x:v>
      </x:c>
      <x:c r="H32" s="8" t="n">
        <x:v>1960</x:v>
      </x:c>
      <x:c r="I32" s="9" t="n">
        <x:f>D32/G32</x:f>
        <x:v>2328.9836776859506</x:v>
      </x:c>
      <x:c r="J32" s="9" t="n">
        <x:f>H32/G32</x:f>
        <x:v>8.099173553719009</x:v>
      </x:c>
      <x:c r="K32" s="10" t="n">
        <x:f>F32/D32</x:f>
        <x:v>0.5804864161920733</x:v>
      </x:c>
    </x:row>
    <x:row r="33" ht="22" customHeight="1">
      <x:c r="A33" s="8" t="str">
        <x:v>2017-02</x:v>
      </x:c>
      <x:c r="B33" s="12" t="n">
        <x:v>2017</x:v>
      </x:c>
      <x:c r="C33" s="8" t="str">
        <x:v>Online</x:v>
      </x:c>
      <x:c r="D33" s="8" t="n">
        <x:v>134971.63</x:v>
      </x:c>
      <x:c r="E33" s="8" t="n">
        <x:v>56907.8</x:v>
      </x:c>
      <x:c r="F33" s="8" t="n">
        <x:f>D33-E33</x:f>
        <x:v>78063.83</x:v>
      </x:c>
      <x:c r="G33" s="8" t="n">
        <x:v>68</x:v>
      </x:c>
      <x:c r="H33" s="8" t="n">
        <x:v>449</x:v>
      </x:c>
      <x:c r="I33" s="9" t="n">
        <x:f>D33/G33</x:f>
        <x:v>1984.876911764706</x:v>
      </x:c>
      <x:c r="J33" s="9" t="n">
        <x:f>H33/G33</x:f>
        <x:v>6.602941176470588</x:v>
      </x:c>
      <x:c r="K33" s="10" t="n">
        <x:f>F33/D33</x:f>
        <x:v>0.578372136426003</x:v>
      </x:c>
    </x:row>
    <x:row r="34" ht="22" customHeight="1">
      <x:c r="A34" s="8" t="str">
        <x:v>2017-02</x:v>
      </x:c>
      <x:c r="B34" s="12" t="n">
        <x:v>2017</x:v>
      </x:c>
      <x:c r="C34" s="8" t="str">
        <x:v>Store</x:v>
      </x:c>
      <x:c r="D34" s="8" t="n">
        <x:v>615554.56</x:v>
      </x:c>
      <x:c r="E34" s="8" t="n">
        <x:v>257874.43</x:v>
      </x:c>
      <x:c r="F34" s="8" t="n">
        <x:f>D34-E34</x:f>
        <x:v>357680.13000000006</x:v>
      </x:c>
      <x:c r="G34" s="8" t="n">
        <x:v>288</x:v>
      </x:c>
      <x:c r="H34" s="8" t="n">
        <x:v>2029</x:v>
      </x:c>
      <x:c r="I34" s="9" t="n">
        <x:f>D34/G34</x:f>
        <x:v>2137.3422222222225</x:v>
      </x:c>
      <x:c r="J34" s="9" t="n">
        <x:f>H34/G34</x:f>
        <x:v>7.045138888888889</x:v>
      </x:c>
      <x:c r="K34" s="10" t="n">
        <x:f>F34/D34</x:f>
        <x:v>0.581069743029765</x:v>
      </x:c>
    </x:row>
    <x:row r="35" ht="22" customHeight="1">
      <x:c r="A35" s="8" t="str">
        <x:v>2017-03</x:v>
      </x:c>
      <x:c r="B35" s="12" t="n">
        <x:v>2017</x:v>
      </x:c>
      <x:c r="C35" s="8" t="str">
        <x:v>Online</x:v>
      </x:c>
      <x:c r="D35" s="8" t="n">
        <x:v>47574.12</x:v>
      </x:c>
      <x:c r="E35" s="8" t="n">
        <x:v>21689.24</x:v>
      </x:c>
      <x:c r="F35" s="8" t="n">
        <x:f>D35-E35</x:f>
        <x:v>25884.88</x:v>
      </x:c>
      <x:c r="G35" s="8" t="n">
        <x:v>19</x:v>
      </x:c>
      <x:c r="H35" s="8" t="n">
        <x:v>204</x:v>
      </x:c>
      <x:c r="I35" s="9" t="n">
        <x:f>D35/G35</x:f>
        <x:v>2503.901052631579</x:v>
      </x:c>
      <x:c r="J35" s="9" t="n">
        <x:f>H35/G35</x:f>
        <x:v>10.736842105263158</x:v>
      </x:c>
      <x:c r="K35" s="10" t="n">
        <x:f>F35/D35</x:f>
        <x:v>0.5440958235275818</x:v>
      </x:c>
    </x:row>
    <x:row r="36" ht="22" customHeight="1">
      <x:c r="A36" s="8" t="str">
        <x:v>2017-03</x:v>
      </x:c>
      <x:c r="B36" s="12" t="n">
        <x:v>2017</x:v>
      </x:c>
      <x:c r="C36" s="8" t="str">
        <x:v>Store</x:v>
      </x:c>
      <x:c r="D36" s="8" t="n">
        <x:v>283674.47</x:v>
      </x:c>
      <x:c r="E36" s="8" t="n">
        <x:v>114797.36</x:v>
      </x:c>
      <x:c r="F36" s="8" t="n">
        <x:f>D36-E36</x:f>
        <x:v>168877.11</x:v>
      </x:c>
      <x:c r="G36" s="8" t="n">
        <x:v>111</x:v>
      </x:c>
      <x:c r="H36" s="8" t="n">
        <x:v>841</x:v>
      </x:c>
      <x:c r="I36" s="9" t="n">
        <x:f>D36/G36</x:f>
        <x:v>2555.6258558558557</x:v>
      </x:c>
      <x:c r="J36" s="9" t="n">
        <x:f>H36/G36</x:f>
        <x:v>7.576576576576577</x:v>
      </x:c>
      <x:c r="K36" s="10" t="n">
        <x:f>F36/D36</x:f>
        <x:v>0.5953200864356951</x:v>
      </x:c>
    </x:row>
    <x:row r="37" ht="22" customHeight="1">
      <x:c r="A37" s="8" t="str">
        <x:v>2017-04</x:v>
      </x:c>
      <x:c r="B37" s="12" t="n">
        <x:v>2017</x:v>
      </x:c>
      <x:c r="C37" s="8" t="str">
        <x:v>Online</x:v>
      </x:c>
      <x:c r="D37" s="8" t="n">
        <x:v>2550.89</x:v>
      </x:c>
      <x:c r="E37" s="8" t="n">
        <x:v>968.25</x:v>
      </x:c>
      <x:c r="F37" s="8" t="n">
        <x:f>D37-E37</x:f>
        <x:v>1582.6399999999999</x:v>
      </x:c>
      <x:c r="G37" s="8" t="n">
        <x:v>3</x:v>
      </x:c>
      <x:c r="H37" s="8" t="n">
        <x:v>18</x:v>
      </x:c>
      <x:c r="I37" s="9" t="n">
        <x:f>D37/G37</x:f>
        <x:v>850.2966666666666</x:v>
      </x:c>
      <x:c r="J37" s="9" t="n">
        <x:f>H37/G37</x:f>
        <x:v>6</x:v>
      </x:c>
      <x:c r="K37" s="10" t="n">
        <x:f>F37/D37</x:f>
        <x:v>0.6204265962075981</x:v>
      </x:c>
    </x:row>
    <x:row r="38" ht="22" customHeight="1">
      <x:c r="A38" s="8" t="str">
        <x:v>2017-04</x:v>
      </x:c>
      <x:c r="B38" s="12" t="n">
        <x:v>2017</x:v>
      </x:c>
      <x:c r="C38" s="8" t="str">
        <x:v>Store</x:v>
      </x:c>
      <x:c r="D38" s="8" t="n">
        <x:v>56029.18</x:v>
      </x:c>
      <x:c r="E38" s="8" t="n">
        <x:v>22547.1</x:v>
      </x:c>
      <x:c r="F38" s="8" t="n">
        <x:f>D38-E38</x:f>
        <x:v>33482.08</x:v>
      </x:c>
      <x:c r="G38" s="8" t="n">
        <x:v>23</x:v>
      </x:c>
      <x:c r="H38" s="8" t="n">
        <x:v>143</x:v>
      </x:c>
      <x:c r="I38" s="9" t="n">
        <x:f>D38/G38</x:f>
        <x:v>2436.0513043478263</x:v>
      </x:c>
      <x:c r="J38" s="9" t="n">
        <x:f>H38/G38</x:f>
        <x:v>6.217391304347826</x:v>
      </x:c>
      <x:c r="K38" s="10" t="n">
        <x:f>F38/D38</x:f>
        <x:v>0.5975829023376747</x:v>
      </x:c>
    </x:row>
    <x:row r="39" ht="22" customHeight="1">
      <x:c r="A39" s="8" t="str">
        <x:v>2017-05</x:v>
      </x:c>
      <x:c r="B39" s="12" t="n">
        <x:v>2017</x:v>
      </x:c>
      <x:c r="C39" s="8" t="str">
        <x:v>Online</x:v>
      </x:c>
      <x:c r="D39" s="8" t="n">
        <x:v>115590.64</x:v>
      </x:c>
      <x:c r="E39" s="8" t="n">
        <x:v>46809.3</x:v>
      </x:c>
      <x:c r="F39" s="8" t="n">
        <x:f>D39-E39</x:f>
        <x:v>68781.34</x:v>
      </x:c>
      <x:c r="G39" s="8" t="n">
        <x:v>56</x:v>
      </x:c>
      <x:c r="H39" s="8" t="n">
        <x:v>421</x:v>
      </x:c>
      <x:c r="I39" s="9" t="n">
        <x:f>D39/G39</x:f>
        <x:v>2064.1185714285716</x:v>
      </x:c>
      <x:c r="J39" s="9" t="n">
        <x:f>H39/G39</x:f>
        <x:v>7.517857142857143</x:v>
      </x:c>
      <x:c r="K39" s="10" t="n">
        <x:f>F39/D39</x:f>
        <x:v>0.5950424705668209</x:v>
      </x:c>
    </x:row>
    <x:row r="40" ht="22" customHeight="1">
      <x:c r="A40" s="8" t="str">
        <x:v>2017-05</x:v>
      </x:c>
      <x:c r="B40" s="12" t="n">
        <x:v>2017</x:v>
      </x:c>
      <x:c r="C40" s="8" t="str">
        <x:v>Store</x:v>
      </x:c>
      <x:c r="D40" s="8" t="n">
        <x:v>500668.32</x:v>
      </x:c>
      <x:c r="E40" s="8" t="n">
        <x:v>203205.16</x:v>
      </x:c>
      <x:c r="F40" s="8" t="n">
        <x:f>D40-E40</x:f>
        <x:v>297463.16000000003</x:v>
      </x:c>
      <x:c r="G40" s="8" t="n">
        <x:v>200</x:v>
      </x:c>
      <x:c r="H40" s="8" t="n">
        <x:v>1538</x:v>
      </x:c>
      <x:c r="I40" s="9" t="n">
        <x:f>D40/G40</x:f>
        <x:v>2503.3416</x:v>
      </x:c>
      <x:c r="J40" s="9" t="n">
        <x:f>H40/G40</x:f>
        <x:v>7.69</x:v>
      </x:c>
      <x:c r="K40" s="10" t="n">
        <x:f>F40/D40</x:f>
        <x:v>0.5941321791640423</x:v>
      </x:c>
    </x:row>
    <x:row r="41" ht="22" customHeight="1">
      <x:c r="A41" s="8" t="str">
        <x:v>2017-06</x:v>
      </x:c>
      <x:c r="B41" s="12" t="n">
        <x:v>2017</x:v>
      </x:c>
      <x:c r="C41" s="8" t="str">
        <x:v>Online</x:v>
      </x:c>
      <x:c r="D41" s="8" t="n">
        <x:v>93387.7</x:v>
      </x:c>
      <x:c r="E41" s="8" t="n">
        <x:v>37734.19</x:v>
      </x:c>
      <x:c r="F41" s="8" t="n">
        <x:f>D41-E41</x:f>
        <x:v>55653.509999999995</x:v>
      </x:c>
      <x:c r="G41" s="8" t="n">
        <x:v>45</x:v>
      </x:c>
      <x:c r="H41" s="8" t="n">
        <x:v>326</x:v>
      </x:c>
      <x:c r="I41" s="9" t="n">
        <x:f>D41/G41</x:f>
        <x:v>2075.282222222222</x:v>
      </x:c>
      <x:c r="J41" s="9" t="n">
        <x:f>H41/G41</x:f>
        <x:v>7.2444444444444445</x:v>
      </x:c>
      <x:c r="K41" s="10" t="n">
        <x:f>F41/D41</x:f>
        <x:v>0.5959404718180231</x:v>
      </x:c>
    </x:row>
    <x:row r="42" ht="22" customHeight="1">
      <x:c r="A42" s="8" t="str">
        <x:v>2017-06</x:v>
      </x:c>
      <x:c r="B42" s="12" t="n">
        <x:v>2017</x:v>
      </x:c>
      <x:c r="C42" s="8" t="str">
        <x:v>Store</x:v>
      </x:c>
      <x:c r="D42" s="8" t="n">
        <x:v>538343.6</x:v>
      </x:c>
      <x:c r="E42" s="8" t="n">
        <x:v>227671.81</x:v>
      </x:c>
      <x:c r="F42" s="8" t="n">
        <x:f>D42-E42</x:f>
        <x:v>310671.79</x:v>
      </x:c>
      <x:c r="G42" s="8" t="n">
        <x:v>226</x:v>
      </x:c>
      <x:c r="H42" s="8" t="n">
        <x:v>1619</x:v>
      </x:c>
      <x:c r="I42" s="9" t="n">
        <x:f>D42/G42</x:f>
        <x:v>2382.051327433628</x:v>
      </x:c>
      <x:c r="J42" s="9" t="n">
        <x:f>H42/G42</x:f>
        <x:v>7.163716814159292</x:v>
      </x:c>
      <x:c r="K42" s="10" t="n">
        <x:f>F42/D42</x:f>
        <x:v>0.5770882945390268</x:v>
      </x:c>
    </x:row>
    <x:row r="43" ht="22" customHeight="1">
      <x:c r="A43" s="8" t="str">
        <x:v>2017-07</x:v>
      </x:c>
      <x:c r="B43" s="12" t="n">
        <x:v>2017</x:v>
      </x:c>
      <x:c r="C43" s="8" t="str">
        <x:v>Online</x:v>
      </x:c>
      <x:c r="D43" s="8" t="n">
        <x:v>83710.71</x:v>
      </x:c>
      <x:c r="E43" s="8" t="n">
        <x:v>35857.7</x:v>
      </x:c>
      <x:c r="F43" s="8" t="n">
        <x:f>D43-E43</x:f>
        <x:v>47853.01000000001</x:v>
      </x:c>
      <x:c r="G43" s="8" t="n">
        <x:v>53</x:v>
      </x:c>
      <x:c r="H43" s="8" t="n">
        <x:v>393</x:v>
      </x:c>
      <x:c r="I43" s="9" t="n">
        <x:f>D43/G43</x:f>
        <x:v>1579.447358490566</x:v>
      </x:c>
      <x:c r="J43" s="9" t="n">
        <x:f>H43/G43</x:f>
        <x:v>7.415094339622642</x:v>
      </x:c>
      <x:c r="K43" s="10" t="n">
        <x:f>F43/D43</x:f>
        <x:v>0.5716474033012026</x:v>
      </x:c>
    </x:row>
    <x:row r="44" ht="22" customHeight="1">
      <x:c r="A44" s="8" t="str">
        <x:v>2017-07</x:v>
      </x:c>
      <x:c r="B44" s="12" t="n">
        <x:v>2017</x:v>
      </x:c>
      <x:c r="C44" s="8" t="str">
        <x:v>Store</x:v>
      </x:c>
      <x:c r="D44" s="8" t="n">
        <x:v>428076.01</x:v>
      </x:c>
      <x:c r="E44" s="8" t="n">
        <x:v>176388.06</x:v>
      </x:c>
      <x:c r="F44" s="8" t="n">
        <x:f>D44-E44</x:f>
        <x:v>251687.95</x:v>
      </x:c>
      <x:c r="G44" s="8" t="n">
        <x:v>187</x:v>
      </x:c>
      <x:c r="H44" s="8" t="n">
        <x:v>1312</x:v>
      </x:c>
      <x:c r="I44" s="9" t="n">
        <x:f>D44/G44</x:f>
        <x:v>2289.176524064171</x:v>
      </x:c>
      <x:c r="J44" s="9" t="n">
        <x:f>H44/G44</x:f>
        <x:v>7.016042780748663</x:v>
      </x:c>
      <x:c r="K44" s="10" t="n">
        <x:f>F44/D44</x:f>
        <x:v>0.5879515415965496</x:v>
      </x:c>
    </x:row>
    <x:row r="45" ht="22" customHeight="1">
      <x:c r="A45" s="8" t="str">
        <x:v>2017-08</x:v>
      </x:c>
      <x:c r="B45" s="12" t="n">
        <x:v>2017</x:v>
      </x:c>
      <x:c r="C45" s="8" t="str">
        <x:v>Online</x:v>
      </x:c>
      <x:c r="D45" s="8" t="n">
        <x:v>100581.03</x:v>
      </x:c>
      <x:c r="E45" s="8" t="n">
        <x:v>43280.8</x:v>
      </x:c>
      <x:c r="F45" s="8" t="n">
        <x:f>D45-E45</x:f>
        <x:v>57300.229999999996</x:v>
      </x:c>
      <x:c r="G45" s="8" t="n">
        <x:v>53</x:v>
      </x:c>
      <x:c r="H45" s="8" t="n">
        <x:v>412</x:v>
      </x:c>
      <x:c r="I45" s="9" t="n">
        <x:f>D45/G45</x:f>
        <x:v>1897.7552830188679</x:v>
      </x:c>
      <x:c r="J45" s="9" t="n">
        <x:f>H45/G45</x:f>
        <x:v>7.773584905660377</x:v>
      </x:c>
      <x:c r="K45" s="10" t="n">
        <x:f>F45/D45</x:f>
        <x:v>0.569692217309765</x:v>
      </x:c>
    </x:row>
    <x:row r="46" ht="22" customHeight="1">
      <x:c r="A46" s="8" t="str">
        <x:v>2017-08</x:v>
      </x:c>
      <x:c r="B46" s="12" t="n">
        <x:v>2017</x:v>
      </x:c>
      <x:c r="C46" s="8" t="str">
        <x:v>Store</x:v>
      </x:c>
      <x:c r="D46" s="8" t="n">
        <x:v>492798.02</x:v>
      </x:c>
      <x:c r="E46" s="8" t="n">
        <x:v>200462.22</x:v>
      </x:c>
      <x:c r="F46" s="8" t="n">
        <x:f>D46-E46</x:f>
        <x:v>292335.80000000005</x:v>
      </x:c>
      <x:c r="G46" s="8" t="n">
        <x:v>210</x:v>
      </x:c>
      <x:c r="H46" s="8" t="n">
        <x:v>1596</x:v>
      </x:c>
      <x:c r="I46" s="9" t="n">
        <x:f>D46/G46</x:f>
        <x:v>2346.657238095238</x:v>
      </x:c>
      <x:c r="J46" s="9" t="n">
        <x:f>H46/G46</x:f>
        <x:v>7.6</x:v>
      </x:c>
      <x:c r="K46" s="10" t="n">
        <x:f>F46/D46</x:f>
        <x:v>0.5932162633283308</x:v>
      </x:c>
    </x:row>
    <x:row r="47" ht="22" customHeight="1">
      <x:c r="A47" s="8" t="str">
        <x:v>2017-09</x:v>
      </x:c>
      <x:c r="B47" s="12" t="n">
        <x:v>2017</x:v>
      </x:c>
      <x:c r="C47" s="8" t="str">
        <x:v>Online</x:v>
      </x:c>
      <x:c r="D47" s="8" t="n">
        <x:v>102301.87</x:v>
      </x:c>
      <x:c r="E47" s="8" t="n">
        <x:v>43131.28</x:v>
      </x:c>
      <x:c r="F47" s="8" t="n">
        <x:f>D47-E47</x:f>
        <x:v>59170.59</x:v>
      </x:c>
      <x:c r="G47" s="8" t="n">
        <x:v>61</x:v>
      </x:c>
      <x:c r="H47" s="8" t="n">
        <x:v>454</x:v>
      </x:c>
      <x:c r="I47" s="9" t="n">
        <x:f>D47/G47</x:f>
        <x:v>1677.0798360655738</x:v>
      </x:c>
      <x:c r="J47" s="9" t="n">
        <x:f>H47/G47</x:f>
        <x:v>7.442622950819672</x:v>
      </x:c>
      <x:c r="K47" s="10" t="n">
        <x:f>F47/D47</x:f>
        <x:v>0.5783920665379821</x:v>
      </x:c>
    </x:row>
    <x:row r="48" ht="22" customHeight="1">
      <x:c r="A48" s="8" t="str">
        <x:v>2017-09</x:v>
      </x:c>
      <x:c r="B48" s="12" t="n">
        <x:v>2017</x:v>
      </x:c>
      <x:c r="C48" s="8" t="str">
        <x:v>Store</x:v>
      </x:c>
      <x:c r="D48" s="8" t="n">
        <x:v>584073.23</x:v>
      </x:c>
      <x:c r="E48" s="8" t="n">
        <x:v>243238.24</x:v>
      </x:c>
      <x:c r="F48" s="8" t="n">
        <x:f>D48-E48</x:f>
        <x:v>340834.99</x:v>
      </x:c>
      <x:c r="G48" s="8" t="n">
        <x:v>225</x:v>
      </x:c>
      <x:c r="H48" s="8" t="n">
        <x:v>1730</x:v>
      </x:c>
      <x:c r="I48" s="9" t="n">
        <x:f>D48/G48</x:f>
        <x:v>2595.8810222222223</x:v>
      </x:c>
      <x:c r="J48" s="9" t="n">
        <x:f>H48/G48</x:f>
        <x:v>7.688888888888889</x:v>
      </x:c>
      <x:c r="K48" s="10" t="n">
        <x:f>F48/D48</x:f>
        <x:v>0.5835483848489341</x:v>
      </x:c>
    </x:row>
    <x:row r="49" ht="22" customHeight="1">
      <x:c r="A49" s="8" t="str">
        <x:v>2017-10</x:v>
      </x:c>
      <x:c r="B49" s="12" t="n">
        <x:v>2017</x:v>
      </x:c>
      <x:c r="C49" s="8" t="str">
        <x:v>Online</x:v>
      </x:c>
      <x:c r="D49" s="8" t="n">
        <x:v>161101.65</x:v>
      </x:c>
      <x:c r="E49" s="8" t="n">
        <x:v>68331.55</x:v>
      </x:c>
      <x:c r="F49" s="8" t="n">
        <x:f>D49-E49</x:f>
        <x:v>92770.09999999999</x:v>
      </x:c>
      <x:c r="G49" s="8" t="n">
        <x:v>67</x:v>
      </x:c>
      <x:c r="H49" s="8" t="n">
        <x:v>534</x:v>
      </x:c>
      <x:c r="I49" s="9" t="n">
        <x:f>D49/G49</x:f>
        <x:v>2404.50223880597</x:v>
      </x:c>
      <x:c r="J49" s="9" t="n">
        <x:f>H49/G49</x:f>
        <x:v>7.970149253731344</x:v>
      </x:c>
      <x:c r="K49" s="10" t="n">
        <x:f>F49/D49</x:f>
        <x:v>0.5758482299839883</x:v>
      </x:c>
    </x:row>
    <x:row r="50" ht="22" customHeight="1">
      <x:c r="A50" s="8" t="str">
        <x:v>2017-10</x:v>
      </x:c>
      <x:c r="B50" s="12" t="n">
        <x:v>2017</x:v>
      </x:c>
      <x:c r="C50" s="8" t="str">
        <x:v>Store</x:v>
      </x:c>
      <x:c r="D50" s="8" t="n">
        <x:v>467419.78</x:v>
      </x:c>
      <x:c r="E50" s="8" t="n">
        <x:v>196749.18</x:v>
      </x:c>
      <x:c r="F50" s="8" t="n">
        <x:f>D50-E50</x:f>
        <x:v>270670.60000000003</x:v>
      </x:c>
      <x:c r="G50" s="8" t="n">
        <x:v>221</x:v>
      </x:c>
      <x:c r="H50" s="8" t="n">
        <x:v>1752</x:v>
      </x:c>
      <x:c r="I50" s="9" t="n">
        <x:f>D50/G50</x:f>
        <x:v>2115.0216289592763</x:v>
      </x:c>
      <x:c r="J50" s="9" t="n">
        <x:f>H50/G50</x:f>
        <x:v>7.927601809954751</x:v>
      </x:c>
      <x:c r="K50" s="10" t="n">
        <x:f>F50/D50</x:f>
        <x:v>0.5790739108216602</x:v>
      </x:c>
    </x:row>
    <x:row r="51" ht="22" customHeight="1">
      <x:c r="A51" s="8" t="str">
        <x:v>2017-11</x:v>
      </x:c>
      <x:c r="B51" s="12" t="n">
        <x:v>2017</x:v>
      </x:c>
      <x:c r="C51" s="8" t="str">
        <x:v>Online</x:v>
      </x:c>
      <x:c r="D51" s="8" t="n">
        <x:v>126864.69</x:v>
      </x:c>
      <x:c r="E51" s="8" t="n">
        <x:v>53136.97</x:v>
      </x:c>
      <x:c r="F51" s="8" t="n">
        <x:f>D51-E51</x:f>
        <x:v>73727.72</x:v>
      </x:c>
      <x:c r="G51" s="8" t="n">
        <x:v>53</x:v>
      </x:c>
      <x:c r="H51" s="8" t="n">
        <x:v>448</x:v>
      </x:c>
      <x:c r="I51" s="9" t="n">
        <x:f>D51/G51</x:f>
        <x:v>2393.673396226415</x:v>
      </x:c>
      <x:c r="J51" s="9" t="n">
        <x:f>H51/G51</x:f>
        <x:v>8.452830188679245</x:v>
      </x:c>
      <x:c r="K51" s="10" t="n">
        <x:f>F51/D51</x:f>
        <x:v>0.5811524073404507</x:v>
      </x:c>
    </x:row>
    <x:row r="52" ht="22" customHeight="1">
      <x:c r="A52" s="8" t="str">
        <x:v>2017-11</x:v>
      </x:c>
      <x:c r="B52" s="12" t="n">
        <x:v>2017</x:v>
      </x:c>
      <x:c r="C52" s="8" t="str">
        <x:v>Store</x:v>
      </x:c>
      <x:c r="D52" s="8" t="n">
        <x:v>528858.3</x:v>
      </x:c>
      <x:c r="E52" s="8" t="n">
        <x:v>223659.34</x:v>
      </x:c>
      <x:c r="F52" s="8" t="n">
        <x:f>D52-E52</x:f>
        <x:v>305198.9600000001</x:v>
      </x:c>
      <x:c r="G52" s="8" t="n">
        <x:v>270</x:v>
      </x:c>
      <x:c r="H52" s="8" t="n">
        <x:v>1983</x:v>
      </x:c>
      <x:c r="I52" s="9" t="n">
        <x:f>D52/G52</x:f>
        <x:v>1958.7344444444445</x:v>
      </x:c>
      <x:c r="J52" s="9" t="n">
        <x:f>H52/G52</x:f>
        <x:v>7.344444444444444</x:v>
      </x:c>
      <x:c r="K52" s="10" t="n">
        <x:f>F52/D52</x:f>
        <x:v>0.5770902338112119</x:v>
      </x:c>
    </x:row>
    <x:row r="53" ht="22" customHeight="1">
      <x:c r="A53" s="8" t="str">
        <x:v>2017-12</x:v>
      </x:c>
      <x:c r="B53" s="12" t="n">
        <x:v>2017</x:v>
      </x:c>
      <x:c r="C53" s="8" t="str">
        <x:v>Online</x:v>
      </x:c>
      <x:c r="D53" s="8" t="n">
        <x:v>313361.76</x:v>
      </x:c>
      <x:c r="E53" s="8" t="n">
        <x:v>127102.1</x:v>
      </x:c>
      <x:c r="F53" s="8" t="n">
        <x:f>D53-E53</x:f>
        <x:v>186259.66</x:v>
      </x:c>
      <x:c r="G53" s="8" t="n">
        <x:v>116</x:v>
      </x:c>
      <x:c r="H53" s="8" t="n">
        <x:v>915</x:v>
      </x:c>
      <x:c r="I53" s="9" t="n">
        <x:f>D53/G53</x:f>
        <x:v>2701.3944827586206</x:v>
      </x:c>
      <x:c r="J53" s="9" t="n">
        <x:f>H53/G53</x:f>
        <x:v>7.887931034482759</x:v>
      </x:c>
      <x:c r="K53" s="10" t="n">
        <x:f>F53/D53</x:f>
        <x:v>0.594391798156865</x:v>
      </x:c>
    </x:row>
    <x:row r="54" ht="22" customHeight="1">
      <x:c r="A54" s="8" t="str">
        <x:v>2017-12</x:v>
      </x:c>
      <x:c r="B54" s="12" t="n">
        <x:v>2017</x:v>
      </x:c>
      <x:c r="C54" s="8" t="str">
        <x:v>Store</x:v>
      </x:c>
      <x:c r="D54" s="8" t="n">
        <x:v>973815.31</x:v>
      </x:c>
      <x:c r="E54" s="8" t="n">
        <x:v>404407.58</x:v>
      </x:c>
      <x:c r="F54" s="8" t="n">
        <x:f>D54-E54</x:f>
        <x:v>569407.73</x:v>
      </x:c>
      <x:c r="G54" s="8" t="n">
        <x:v>433</x:v>
      </x:c>
      <x:c r="H54" s="8" t="n">
        <x:v>3399</x:v>
      </x:c>
      <x:c r="I54" s="9" t="n">
        <x:f>D54/G54</x:f>
        <x:v>2248.9960969976905</x:v>
      </x:c>
      <x:c r="J54" s="9" t="n">
        <x:f>H54/G54</x:f>
        <x:v>7.849884526558891</x:v>
      </x:c>
      <x:c r="K54" s="10" t="n">
        <x:f>F54/D54</x:f>
        <x:v>0.5847184000424064</x:v>
      </x:c>
    </x:row>
    <x:row r="55" ht="22" customHeight="1">
      <x:c r="A55" s="8" t="str">
        <x:v>2018-01</x:v>
      </x:c>
      <x:c r="B55" s="12" t="n">
        <x:v>2018</x:v>
      </x:c>
      <x:c r="C55" s="8" t="str">
        <x:v>Online</x:v>
      </x:c>
      <x:c r="D55" s="8" t="n">
        <x:v>149464.05</x:v>
      </x:c>
      <x:c r="E55" s="8" t="n">
        <x:v>64633.51</x:v>
      </x:c>
      <x:c r="F55" s="8" t="n">
        <x:f>D55-E55</x:f>
        <x:v>84830.53999999998</x:v>
      </x:c>
      <x:c r="G55" s="8" t="n">
        <x:v>100</x:v>
      </x:c>
      <x:c r="H55" s="8" t="n">
        <x:v>654</x:v>
      </x:c>
      <x:c r="I55" s="9" t="n">
        <x:f>D55/G55</x:f>
        <x:v>1494.6405</x:v>
      </x:c>
      <x:c r="J55" s="9" t="n">
        <x:f>H55/G55</x:f>
        <x:v>6.54</x:v>
      </x:c>
      <x:c r="K55" s="10" t="n">
        <x:f>F55/D55</x:f>
        <x:v>0.5675648425156417</x:v>
      </x:c>
    </x:row>
    <x:row r="56" ht="22" customHeight="1">
      <x:c r="A56" s="8" t="str">
        <x:v>2018-01</x:v>
      </x:c>
      <x:c r="B56" s="12" t="n">
        <x:v>2018</x:v>
      </x:c>
      <x:c r="C56" s="8" t="str">
        <x:v>Store</x:v>
      </x:c>
      <x:c r="D56" s="8" t="n">
        <x:v>767611.3</x:v>
      </x:c>
      <x:c r="E56" s="8" t="n">
        <x:v>322258.13</x:v>
      </x:c>
      <x:c r="F56" s="8" t="n">
        <x:f>D56-E56</x:f>
        <x:v>445353.17000000004</x:v>
      </x:c>
      <x:c r="G56" s="8" t="n">
        <x:v>339</x:v>
      </x:c>
      <x:c r="H56" s="8" t="n">
        <x:v>2562</x:v>
      </x:c>
      <x:c r="I56" s="9" t="n">
        <x:f>D56/G56</x:f>
        <x:v>2264.3401179941006</x:v>
      </x:c>
      <x:c r="J56" s="9" t="n">
        <x:f>H56/G56</x:f>
        <x:v>7.557522123893805</x:v>
      </x:c>
      <x:c r="K56" s="10" t="n">
        <x:f>F56/D56</x:f>
        <x:v>0.5801805809789408</x:v>
      </x:c>
    </x:row>
    <x:row r="57" ht="22" customHeight="1">
      <x:c r="A57" s="8" t="str">
        <x:v>2018-02</x:v>
      </x:c>
      <x:c r="B57" s="12" t="n">
        <x:v>2018</x:v>
      </x:c>
      <x:c r="C57" s="8" t="str">
        <x:v>Online</x:v>
      </x:c>
      <x:c r="D57" s="8" t="n">
        <x:v>279483.38</x:v>
      </x:c>
      <x:c r="E57" s="8" t="n">
        <x:v>112859.04</x:v>
      </x:c>
      <x:c r="F57" s="8" t="n">
        <x:f>D57-E57</x:f>
        <x:v>166624.34000000003</x:v>
      </x:c>
      <x:c r="G57" s="8" t="n">
        <x:v>94</x:v>
      </x:c>
      <x:c r="H57" s="8" t="n">
        <x:v>812</x:v>
      </x:c>
      <x:c r="I57" s="9" t="n">
        <x:f>D57/G57</x:f>
        <x:v>2973.2274468085106</x:v>
      </x:c>
      <x:c r="J57" s="9" t="n">
        <x:f>H57/G57</x:f>
        <x:v>8.638297872340425</x:v>
      </x:c>
      <x:c r="K57" s="10" t="n">
        <x:f>F57/D57</x:f>
        <x:v>0.596186936053228</x:v>
      </x:c>
    </x:row>
    <x:row r="58" ht="22" customHeight="1">
      <x:c r="A58" s="8" t="str">
        <x:v>2018-02</x:v>
      </x:c>
      <x:c r="B58" s="12" t="n">
        <x:v>2018</x:v>
      </x:c>
      <x:c r="C58" s="8" t="str">
        <x:v>Store</x:v>
      </x:c>
      <x:c r="D58" s="8" t="n">
        <x:v>1064859.32</x:v>
      </x:c>
      <x:c r="E58" s="8" t="n">
        <x:v>439142.48</x:v>
      </x:c>
      <x:c r="F58" s="8" t="n">
        <x:f>D58-E58</x:f>
        <x:v>625716.8400000001</x:v>
      </x:c>
      <x:c r="G58" s="8" t="n">
        <x:v>419</x:v>
      </x:c>
      <x:c r="H58" s="8" t="n">
        <x:v>3228</x:v>
      </x:c>
      <x:c r="I58" s="9" t="n">
        <x:f>D58/G58</x:f>
        <x:v>2541.430357995227</x:v>
      </x:c>
      <x:c r="J58" s="9" t="n">
        <x:f>H58/G58</x:f>
        <x:v>7.7040572792362765</x:v>
      </x:c>
      <x:c r="K58" s="10" t="n">
        <x:f>F58/D58</x:f>
        <x:v>0.5876051683521913</x:v>
      </x:c>
    </x:row>
    <x:row r="59" ht="22" customHeight="1">
      <x:c r="A59" s="8" t="str">
        <x:v>2018-03</x:v>
      </x:c>
      <x:c r="B59" s="12" t="n">
        <x:v>2018</x:v>
      </x:c>
      <x:c r="C59" s="8" t="str">
        <x:v>Online</x:v>
      </x:c>
      <x:c r="D59" s="8" t="n">
        <x:v>98004.9</x:v>
      </x:c>
      <x:c r="E59" s="8" t="n">
        <x:v>40326.47</x:v>
      </x:c>
      <x:c r="F59" s="8" t="n">
        <x:f>D59-E59</x:f>
        <x:v>57678.42999999999</x:v>
      </x:c>
      <x:c r="G59" s="8" t="n">
        <x:v>36</x:v>
      </x:c>
      <x:c r="H59" s="8" t="n">
        <x:v>287</x:v>
      </x:c>
      <x:c r="I59" s="9" t="n">
        <x:f>D59/G59</x:f>
        <x:v>2722.358333333333</x:v>
      </x:c>
      <x:c r="J59" s="9" t="n">
        <x:f>H59/G59</x:f>
        <x:v>7.972222222222222</x:v>
      </x:c>
      <x:c r="K59" s="10" t="n">
        <x:f>F59/D59</x:f>
        <x:v>0.588525981864172</x:v>
      </x:c>
    </x:row>
    <x:row r="60" ht="22" customHeight="1">
      <x:c r="A60" s="8" t="str">
        <x:v>2018-03</x:v>
      </x:c>
      <x:c r="B60" s="12" t="n">
        <x:v>2018</x:v>
      </x:c>
      <x:c r="C60" s="8" t="str">
        <x:v>Store</x:v>
      </x:c>
      <x:c r="D60" s="8" t="n">
        <x:v>336946.25</x:v>
      </x:c>
      <x:c r="E60" s="8" t="n">
        <x:v>136743.02</x:v>
      </x:c>
      <x:c r="F60" s="8" t="n">
        <x:f>D60-E60</x:f>
        <x:v>200203.23</x:v>
      </x:c>
      <x:c r="G60" s="8" t="n">
        <x:v>157</x:v>
      </x:c>
      <x:c r="H60" s="8" t="n">
        <x:v>1162</x:v>
      </x:c>
      <x:c r="I60" s="9" t="n">
        <x:f>D60/G60</x:f>
        <x:v>2146.1544585987263</x:v>
      </x:c>
      <x:c r="J60" s="9" t="n">
        <x:f>H60/G60</x:f>
        <x:v>7.401273885350318</x:v>
      </x:c>
      <x:c r="K60" s="10" t="n">
        <x:f>F60/D60</x:f>
        <x:v>0.5941696338807748</x:v>
      </x:c>
    </x:row>
    <x:row r="61" ht="22" customHeight="1">
      <x:c r="A61" s="8" t="str">
        <x:v>2018-04</x:v>
      </x:c>
      <x:c r="B61" s="12" t="n">
        <x:v>2018</x:v>
      </x:c>
      <x:c r="C61" s="8" t="str">
        <x:v>Online</x:v>
      </x:c>
      <x:c r="D61" s="8" t="n">
        <x:v>8853.62</x:v>
      </x:c>
      <x:c r="E61" s="8" t="n">
        <x:v>3851.61</x:v>
      </x:c>
      <x:c r="F61" s="8" t="n">
        <x:f>D61-E61</x:f>
        <x:v>5002.01</x:v>
      </x:c>
      <x:c r="G61" s="8" t="n">
        <x:v>10</x:v>
      </x:c>
      <x:c r="H61" s="8" t="n">
        <x:v>43</x:v>
      </x:c>
      <x:c r="I61" s="9" t="n">
        <x:f>D61/G61</x:f>
        <x:v>885.3620000000001</x:v>
      </x:c>
      <x:c r="J61" s="9" t="n">
        <x:f>H61/G61</x:f>
        <x:v>4.3</x:v>
      </x:c>
      <x:c r="K61" s="10" t="n">
        <x:f>F61/D61</x:f>
        <x:v>0.5649677758927987</x:v>
      </x:c>
    </x:row>
    <x:row r="62" ht="22" customHeight="1">
      <x:c r="A62" s="8" t="str">
        <x:v>2018-04</x:v>
      </x:c>
      <x:c r="B62" s="12" t="n">
        <x:v>2018</x:v>
      </x:c>
      <x:c r="C62" s="8" t="str">
        <x:v>Store</x:v>
      </x:c>
      <x:c r="D62" s="8" t="n">
        <x:v>61773.92</x:v>
      </x:c>
      <x:c r="E62" s="8" t="n">
        <x:v>25944.53</x:v>
      </x:c>
      <x:c r="F62" s="8" t="n">
        <x:f>D62-E62</x:f>
        <x:v>35829.39</x:v>
      </x:c>
      <x:c r="G62" s="8" t="n">
        <x:v>33</x:v>
      </x:c>
      <x:c r="H62" s="8" t="n">
        <x:v>215</x:v>
      </x:c>
      <x:c r="I62" s="9" t="n">
        <x:f>D62/G62</x:f>
        <x:v>1871.9369696969698</x:v>
      </x:c>
      <x:c r="J62" s="9" t="n">
        <x:f>H62/G62</x:f>
        <x:v>6.515151515151516</x:v>
      </x:c>
      <x:c r="K62" s="10" t="n">
        <x:f>F62/D62</x:f>
        <x:v>0.5800083595148244</x:v>
      </x:c>
    </x:row>
    <x:row r="63" ht="22" customHeight="1">
      <x:c r="A63" s="8" t="str">
        <x:v>2018-05</x:v>
      </x:c>
      <x:c r="B63" s="12" t="n">
        <x:v>2018</x:v>
      </x:c>
      <x:c r="C63" s="8" t="str">
        <x:v>Online</x:v>
      </x:c>
      <x:c r="D63" s="8" t="n">
        <x:v>181752.08</x:v>
      </x:c>
      <x:c r="E63" s="8" t="n">
        <x:v>75822.15</x:v>
      </x:c>
      <x:c r="F63" s="8" t="n">
        <x:f>D63-E63</x:f>
        <x:v>105929.93</x:v>
      </x:c>
      <x:c r="G63" s="8" t="n">
        <x:v>91</x:v>
      </x:c>
      <x:c r="H63" s="8" t="n">
        <x:v>617</x:v>
      </x:c>
      <x:c r="I63" s="9" t="n">
        <x:f>D63/G63</x:f>
        <x:v>1997.2756043956042</x:v>
      </x:c>
      <x:c r="J63" s="9" t="n">
        <x:f>H63/G63</x:f>
        <x:v>6.78021978021978</x:v>
      </x:c>
      <x:c r="K63" s="10" t="n">
        <x:f>F63/D63</x:f>
        <x:v>0.5828265074050322</x:v>
      </x:c>
    </x:row>
    <x:row r="64" ht="22" customHeight="1">
      <x:c r="A64" s="8" t="str">
        <x:v>2018-05</x:v>
      </x:c>
      <x:c r="B64" s="12" t="n">
        <x:v>2018</x:v>
      </x:c>
      <x:c r="C64" s="8" t="str">
        <x:v>Store</x:v>
      </x:c>
      <x:c r="D64" s="8" t="n">
        <x:v>891513.48</x:v>
      </x:c>
      <x:c r="E64" s="8" t="n">
        <x:v>371338.36</x:v>
      </x:c>
      <x:c r="F64" s="8" t="n">
        <x:f>D64-E64</x:f>
        <x:v>520175.12</x:v>
      </x:c>
      <x:c r="G64" s="8" t="n">
        <x:v>373</x:v>
      </x:c>
      <x:c r="H64" s="8" t="n">
        <x:v>3081</x:v>
      </x:c>
      <x:c r="I64" s="9" t="n">
        <x:f>D64/G64</x:f>
        <x:v>2390.1165683646113</x:v>
      </x:c>
      <x:c r="J64" s="9" t="n">
        <x:f>H64/G64</x:f>
        <x:v>8.26005361930295</x:v>
      </x:c>
      <x:c r="K64" s="10" t="n">
        <x:f>F64/D64</x:f>
        <x:v>0.5834742061331478</x:v>
      </x:c>
    </x:row>
    <x:row r="65" ht="22" customHeight="1">
      <x:c r="A65" s="8" t="str">
        <x:v>2018-06</x:v>
      </x:c>
      <x:c r="B65" s="12" t="n">
        <x:v>2018</x:v>
      </x:c>
      <x:c r="C65" s="8" t="str">
        <x:v>Online</x:v>
      </x:c>
      <x:c r="D65" s="8" t="n">
        <x:v>185671.66</x:v>
      </x:c>
      <x:c r="E65" s="8" t="n">
        <x:v>77803.48</x:v>
      </x:c>
      <x:c r="F65" s="8" t="n">
        <x:f>D65-E65</x:f>
        <x:v>107868.18000000001</x:v>
      </x:c>
      <x:c r="G65" s="8" t="n">
        <x:v>95</x:v>
      </x:c>
      <x:c r="H65" s="8" t="n">
        <x:v>768</x:v>
      </x:c>
      <x:c r="I65" s="9" t="n">
        <x:f>D65/G65</x:f>
        <x:v>1954.4385263157894</x:v>
      </x:c>
      <x:c r="J65" s="9" t="n">
        <x:f>H65/G65</x:f>
        <x:v>8.08421052631579</x:v>
      </x:c>
      <x:c r="K65" s="10" t="n">
        <x:f>F65/D65</x:f>
        <x:v>0.5809620057255911</x:v>
      </x:c>
    </x:row>
    <x:row r="66" ht="22" customHeight="1">
      <x:c r="A66" s="8" t="str">
        <x:v>2018-06</x:v>
      </x:c>
      <x:c r="B66" s="12" t="n">
        <x:v>2018</x:v>
      </x:c>
      <x:c r="C66" s="8" t="str">
        <x:v>Store</x:v>
      </x:c>
      <x:c r="D66" s="8" t="n">
        <x:v>788303.67</x:v>
      </x:c>
      <x:c r="E66" s="8" t="n">
        <x:v>328579.8</x:v>
      </x:c>
      <x:c r="F66" s="8" t="n">
        <x:f>D66-E66</x:f>
        <x:v>459723.87000000005</x:v>
      </x:c>
      <x:c r="G66" s="8" t="n">
        <x:v>379</x:v>
      </x:c>
      <x:c r="H66" s="8" t="n">
        <x:v>2726</x:v>
      </x:c>
      <x:c r="I66" s="9" t="n">
        <x:f>D66/G66</x:f>
        <x:v>2079.95691292876</x:v>
      </x:c>
      <x:c r="J66" s="9" t="n">
        <x:f>H66/G66</x:f>
        <x:v>7.192612137203167</x:v>
      </x:c>
      <x:c r="K66" s="10" t="n">
        <x:f>F66/D66</x:f>
        <x:v>0.5831811870164197</x:v>
      </x:c>
    </x:row>
    <x:row r="67" ht="22" customHeight="1">
      <x:c r="A67" s="8" t="str">
        <x:v>2018-07</x:v>
      </x:c>
      <x:c r="B67" s="12" t="n">
        <x:v>2018</x:v>
      </x:c>
      <x:c r="C67" s="8" t="str">
        <x:v>Online</x:v>
      </x:c>
      <x:c r="D67" s="8" t="n">
        <x:v>164605.87</x:v>
      </x:c>
      <x:c r="E67" s="8" t="n">
        <x:v>71061.02</x:v>
      </x:c>
      <x:c r="F67" s="8" t="n">
        <x:f>D67-E67</x:f>
        <x:v>93544.84999999999</x:v>
      </x:c>
      <x:c r="G67" s="8" t="n">
        <x:v>94</x:v>
      </x:c>
      <x:c r="H67" s="8" t="n">
        <x:v>736</x:v>
      </x:c>
      <x:c r="I67" s="9" t="n">
        <x:f>D67/G67</x:f>
        <x:v>1751.1262765957447</x:v>
      </x:c>
      <x:c r="J67" s="9" t="n">
        <x:f>H67/G67</x:f>
        <x:v>7.829787234042553</x:v>
      </x:c>
      <x:c r="K67" s="10" t="n">
        <x:f>F67/D67</x:f>
        <x:v>0.568295954451685</x:v>
      </x:c>
    </x:row>
    <x:row r="68" ht="22" customHeight="1">
      <x:c r="A68" s="8" t="str">
        <x:v>2018-07</x:v>
      </x:c>
      <x:c r="B68" s="12" t="n">
        <x:v>2018</x:v>
      </x:c>
      <x:c r="C68" s="8" t="str">
        <x:v>Store</x:v>
      </x:c>
      <x:c r="D68" s="8" t="n">
        <x:v>799543.59</x:v>
      </x:c>
      <x:c r="E68" s="8" t="n">
        <x:v>333587.92</x:v>
      </x:c>
      <x:c r="F68" s="8" t="n">
        <x:f>D68-E68</x:f>
        <x:v>465955.67</x:v>
      </x:c>
      <x:c r="G68" s="8" t="n">
        <x:v>352</x:v>
      </x:c>
      <x:c r="H68" s="8" t="n">
        <x:v>2643</x:v>
      </x:c>
      <x:c r="I68" s="9" t="n">
        <x:f>D68/G68</x:f>
        <x:v>2271.4306534090906</x:v>
      </x:c>
      <x:c r="J68" s="9" t="n">
        <x:f>H68/G68</x:f>
        <x:v>7.5085227272727275</x:v>
      </x:c>
      <x:c r="K68" s="10" t="n">
        <x:f>F68/D68</x:f>
        <x:v>0.5827770691026364</x:v>
      </x:c>
    </x:row>
    <x:row r="69" ht="22" customHeight="1">
      <x:c r="A69" s="8" t="str">
        <x:v>2018-08</x:v>
      </x:c>
      <x:c r="B69" s="12" t="n">
        <x:v>2018</x:v>
      </x:c>
      <x:c r="C69" s="8" t="str">
        <x:v>Online</x:v>
      </x:c>
      <x:c r="D69" s="8" t="n">
        <x:v>205541.75</x:v>
      </x:c>
      <x:c r="E69" s="8" t="n">
        <x:v>85370.95</x:v>
      </x:c>
      <x:c r="F69" s="8" t="n">
        <x:f>D69-E69</x:f>
        <x:v>120170.8</x:v>
      </x:c>
      <x:c r="G69" s="8" t="n">
        <x:v>110</x:v>
      </x:c>
      <x:c r="H69" s="8" t="n">
        <x:v>724</x:v>
      </x:c>
      <x:c r="I69" s="9" t="n">
        <x:f>D69/G69</x:f>
        <x:v>1868.5613636363637</x:v>
      </x:c>
      <x:c r="J69" s="9" t="n">
        <x:f>H69/G69</x:f>
        <x:v>6.581818181818182</x:v>
      </x:c>
      <x:c r="K69" s="10" t="n">
        <x:f>F69/D69</x:f>
        <x:v>0.5846539693273994</x:v>
      </x:c>
    </x:row>
    <x:row r="70" ht="22" customHeight="1">
      <x:c r="A70" s="8" t="str">
        <x:v>2018-08</x:v>
      </x:c>
      <x:c r="B70" s="12" t="n">
        <x:v>2018</x:v>
      </x:c>
      <x:c r="C70" s="8" t="str">
        <x:v>Store</x:v>
      </x:c>
      <x:c r="D70" s="8" t="n">
        <x:v>821303.98</x:v>
      </x:c>
      <x:c r="E70" s="8" t="n">
        <x:v>342819.86</x:v>
      </x:c>
      <x:c r="F70" s="8" t="n">
        <x:f>D70-E70</x:f>
        <x:v>478484.12</x:v>
      </x:c>
      <x:c r="G70" s="8" t="n">
        <x:v>398</x:v>
      </x:c>
      <x:c r="H70" s="8" t="n">
        <x:v>2960</x:v>
      </x:c>
      <x:c r="I70" s="9" t="n">
        <x:f>D70/G70</x:f>
        <x:v>2063.57783919598</x:v>
      </x:c>
      <x:c r="J70" s="9" t="n">
        <x:f>H70/G70</x:f>
        <x:v>7.437185929648241</x:v>
      </x:c>
      <x:c r="K70" s="10" t="n">
        <x:f>F70/D70</x:f>
        <x:v>0.5825907722984613</x:v>
      </x:c>
    </x:row>
    <x:row r="71" ht="22" customHeight="1">
      <x:c r="A71" s="8" t="str">
        <x:v>2018-09</x:v>
      </x:c>
      <x:c r="B71" s="12" t="n">
        <x:v>2018</x:v>
      </x:c>
      <x:c r="C71" s="8" t="str">
        <x:v>Online</x:v>
      </x:c>
      <x:c r="D71" s="8" t="n">
        <x:v>291483.08</x:v>
      </x:c>
      <x:c r="E71" s="8" t="n">
        <x:v>121222.45</x:v>
      </x:c>
      <x:c r="F71" s="8" t="n">
        <x:f>D71-E71</x:f>
        <x:v>170260.63</x:v>
      </x:c>
      <x:c r="G71" s="8" t="n">
        <x:v>130</x:v>
      </x:c>
      <x:c r="H71" s="8" t="n">
        <x:v>1043</x:v>
      </x:c>
      <x:c r="I71" s="9" t="n">
        <x:f>D71/G71</x:f>
        <x:v>2242.1775384615385</x:v>
      </x:c>
      <x:c r="J71" s="9" t="n">
        <x:f>H71/G71</x:f>
        <x:v>8.023076923076923</x:v>
      </x:c>
      <x:c r="K71" s="10" t="n">
        <x:f>F71/D71</x:f>
        <x:v>0.5841183989135835</x:v>
      </x:c>
    </x:row>
    <x:row r="72" ht="22" customHeight="1">
      <x:c r="A72" s="8" t="str">
        <x:v>2018-09</x:v>
      </x:c>
      <x:c r="B72" s="12" t="n">
        <x:v>2018</x:v>
      </x:c>
      <x:c r="C72" s="8" t="str">
        <x:v>Store</x:v>
      </x:c>
      <x:c r="D72" s="8" t="n">
        <x:v>890282.0599999999</x:v>
      </x:c>
      <x:c r="E72" s="8" t="n">
        <x:v>374212.55</x:v>
      </x:c>
      <x:c r="F72" s="8" t="n">
        <x:f>D72-E72</x:f>
        <x:v>516069.50999999995</x:v>
      </x:c>
      <x:c r="G72" s="8" t="n">
        <x:v>431</x:v>
      </x:c>
      <x:c r="H72" s="8" t="n">
        <x:v>3211</x:v>
      </x:c>
      <x:c r="I72" s="9" t="n">
        <x:f>D72/G72</x:f>
        <x:v>2065.6196287703015</x:v>
      </x:c>
      <x:c r="J72" s="9" t="n">
        <x:f>H72/G72</x:f>
        <x:v>7.450116009280743</x:v>
      </x:c>
      <x:c r="K72" s="10" t="n">
        <x:f>F72/D72</x:f>
        <x:v>0.5796696723283405</x:v>
      </x:c>
    </x:row>
    <x:row r="73" ht="22" customHeight="1">
      <x:c r="A73" s="8" t="str">
        <x:v>2018-10</x:v>
      </x:c>
      <x:c r="B73" s="12" t="n">
        <x:v>2018</x:v>
      </x:c>
      <x:c r="C73" s="8" t="str">
        <x:v>Online</x:v>
      </x:c>
      <x:c r="D73" s="8" t="n">
        <x:v>259154.31</x:v>
      </x:c>
      <x:c r="E73" s="8" t="n">
        <x:v>110375.01</x:v>
      </x:c>
      <x:c r="F73" s="8" t="n">
        <x:f>D73-E73</x:f>
        <x:v>148779.3</x:v>
      </x:c>
      <x:c r="G73" s="8" t="n">
        <x:v>132</x:v>
      </x:c>
      <x:c r="H73" s="8" t="n">
        <x:v>933</x:v>
      </x:c>
      <x:c r="I73" s="9" t="n">
        <x:f>D73/G73</x:f>
        <x:v>1963.2902272727272</x:v>
      </x:c>
      <x:c r="J73" s="9" t="n">
        <x:f>H73/G73</x:f>
        <x:v>7.068181818181818</x:v>
      </x:c>
      <x:c r="K73" s="10" t="n">
        <x:f>F73/D73</x:f>
        <x:v>0.5740954105683213</x:v>
      </x:c>
    </x:row>
    <x:row r="74" ht="22" customHeight="1">
      <x:c r="A74" s="8" t="str">
        <x:v>2018-10</x:v>
      </x:c>
      <x:c r="B74" s="12" t="n">
        <x:v>2018</x:v>
      </x:c>
      <x:c r="C74" s="8" t="str">
        <x:v>Store</x:v>
      </x:c>
      <x:c r="D74" s="8" t="n">
        <x:v>982575.72</x:v>
      </x:c>
      <x:c r="E74" s="8" t="n">
        <x:v>404416.01</x:v>
      </x:c>
      <x:c r="F74" s="8" t="n">
        <x:f>D74-E74</x:f>
        <x:v>578159.71</x:v>
      </x:c>
      <x:c r="G74" s="8" t="n">
        <x:v>474</x:v>
      </x:c>
      <x:c r="H74" s="8" t="n">
        <x:v>3543</x:v>
      </x:c>
      <x:c r="I74" s="9" t="n">
        <x:f>D74/G74</x:f>
        <x:v>2072.944556962025</x:v>
      </x:c>
      <x:c r="J74" s="9" t="n">
        <x:f>H74/G74</x:f>
        <x:v>7.474683544303797</x:v>
      </x:c>
      <x:c r="K74" s="10" t="n">
        <x:f>F74/D74</x:f>
        <x:v>0.5884123719238655</x:v>
      </x:c>
    </x:row>
    <x:row r="75" ht="22" customHeight="1">
      <x:c r="A75" s="8" t="str">
        <x:v>2018-11</x:v>
      </x:c>
      <x:c r="B75" s="12" t="n">
        <x:v>2018</x:v>
      </x:c>
      <x:c r="C75" s="8" t="str">
        <x:v>Online</x:v>
      </x:c>
      <x:c r="D75" s="8" t="n">
        <x:v>272774.39</x:v>
      </x:c>
      <x:c r="E75" s="8" t="n">
        <x:v>114187.89</x:v>
      </x:c>
      <x:c r="F75" s="8" t="n">
        <x:f>D75-E75</x:f>
        <x:v>158586.5</x:v>
      </x:c>
      <x:c r="G75" s="8" t="n">
        <x:v>127</x:v>
      </x:c>
      <x:c r="H75" s="8" t="n">
        <x:v>964</x:v>
      </x:c>
      <x:c r="I75" s="9" t="n">
        <x:f>D75/G75</x:f>
        <x:v>2147.8298425196854</x:v>
      </x:c>
      <x:c r="J75" s="9" t="n">
        <x:f>H75/G75</x:f>
        <x:v>7.590551181102362</x:v>
      </x:c>
      <x:c r="K75" s="10" t="n">
        <x:f>F75/D75</x:f>
        <x:v>0.5813833916006558</x:v>
      </x:c>
    </x:row>
    <x:row r="76" ht="22" customHeight="1">
      <x:c r="A76" s="8" t="str">
        <x:v>2018-11</x:v>
      </x:c>
      <x:c r="B76" s="12" t="n">
        <x:v>2018</x:v>
      </x:c>
      <x:c r="C76" s="8" t="str">
        <x:v>Store</x:v>
      </x:c>
      <x:c r="D76" s="8" t="n">
        <x:v>1205252.24</x:v>
      </x:c>
      <x:c r="E76" s="8" t="n">
        <x:v>488797.49</x:v>
      </x:c>
      <x:c r="F76" s="8" t="n">
        <x:f>D76-E76</x:f>
        <x:v>716454.75</x:v>
      </x:c>
      <x:c r="G76" s="8" t="n">
        <x:v>502</x:v>
      </x:c>
      <x:c r="H76" s="8" t="n">
        <x:v>3749</x:v>
      </x:c>
      <x:c r="I76" s="9" t="n">
        <x:f>D76/G76</x:f>
        <x:v>2400.900876494024</x:v>
      </x:c>
      <x:c r="J76" s="9" t="n">
        <x:f>H76/G76</x:f>
        <x:v>7.468127490039841</x:v>
      </x:c>
      <x:c r="K76" s="10" t="n">
        <x:f>F76/D76</x:f>
        <x:v>0.5944438236430907</x:v>
      </x:c>
    </x:row>
    <x:row r="77" ht="22" customHeight="1">
      <x:c r="A77" s="8" t="str">
        <x:v>2018-12</x:v>
      </x:c>
      <x:c r="B77" s="12" t="n">
        <x:v>2018</x:v>
      </x:c>
      <x:c r="C77" s="8" t="str">
        <x:v>Online</x:v>
      </x:c>
      <x:c r="D77" s="8" t="n">
        <x:v>485498.04</x:v>
      </x:c>
      <x:c r="E77" s="8" t="n">
        <x:v>208590.89</x:v>
      </x:c>
      <x:c r="F77" s="8" t="n">
        <x:f>D77-E77</x:f>
        <x:v>276907.14999999997</x:v>
      </x:c>
      <x:c r="G77" s="8" t="n">
        <x:v>226</x:v>
      </x:c>
      <x:c r="H77" s="8" t="n">
        <x:v>1661</x:v>
      </x:c>
      <x:c r="I77" s="9" t="n">
        <x:f>D77/G77</x:f>
        <x:v>2148.2214159292034</x:v>
      </x:c>
      <x:c r="J77" s="9" t="n">
        <x:f>H77/G77</x:f>
        <x:v>7.349557522123894</x:v>
      </x:c>
      <x:c r="K77" s="10" t="n">
        <x:f>F77/D77</x:f>
        <x:v>0.5703568854778487</x:v>
      </x:c>
    </x:row>
    <x:row r="78" ht="22" customHeight="1">
      <x:c r="A78" s="8" t="str">
        <x:v>2018-12</x:v>
      </x:c>
      <x:c r="B78" s="12" t="n">
        <x:v>2018</x:v>
      </x:c>
      <x:c r="C78" s="8" t="str">
        <x:v>Store</x:v>
      </x:c>
      <x:c r="D78" s="8" t="n">
        <x:v>1596708</x:v>
      </x:c>
      <x:c r="E78" s="8" t="n">
        <x:v>670054.93</x:v>
      </x:c>
      <x:c r="F78" s="8" t="n">
        <x:f>D78-E78</x:f>
        <x:v>926653.07</x:v>
      </x:c>
      <x:c r="G78" s="8" t="n">
        <x:v>863</x:v>
      </x:c>
      <x:c r="H78" s="8" t="n">
        <x:v>6176</x:v>
      </x:c>
      <x:c r="I78" s="9" t="n">
        <x:f>D78/G78</x:f>
        <x:v>1850.1830822711472</x:v>
      </x:c>
      <x:c r="J78" s="9" t="n">
        <x:f>H78/G78</x:f>
        <x:v>7.156431054461182</x:v>
      </x:c>
      <x:c r="K78" s="10" t="n">
        <x:f>F78/D78</x:f>
        <x:v>0.5803522434909827</x:v>
      </x:c>
    </x:row>
    <x:row r="79" ht="22" customHeight="1">
      <x:c r="A79" s="8" t="str">
        <x:v>2019-01</x:v>
      </x:c>
      <x:c r="B79" s="12" t="n">
        <x:v>2019</x:v>
      </x:c>
      <x:c r="C79" s="8" t="str">
        <x:v>Online</x:v>
      </x:c>
      <x:c r="D79" s="8" t="n">
        <x:v>358602.34</x:v>
      </x:c>
      <x:c r="E79" s="8" t="n">
        <x:v>148295.65</x:v>
      </x:c>
      <x:c r="F79" s="8" t="n">
        <x:f>D79-E79</x:f>
        <x:v>210306.69000000003</x:v>
      </x:c>
      <x:c r="G79" s="8" t="n">
        <x:v>185</x:v>
      </x:c>
      <x:c r="H79" s="8" t="n">
        <x:v>1301</x:v>
      </x:c>
      <x:c r="I79" s="9" t="n">
        <x:f>D79/G79</x:f>
        <x:v>1938.3910270270271</x:v>
      </x:c>
      <x:c r="J79" s="9" t="n">
        <x:f>H79/G79</x:f>
        <x:v>7.032432432432432</x:v>
      </x:c>
      <x:c r="K79" s="10" t="n">
        <x:f>F79/D79</x:f>
        <x:v>0.5864621240341042</x:v>
      </x:c>
    </x:row>
    <x:row r="80" ht="22" customHeight="1">
      <x:c r="A80" s="8" t="str">
        <x:v>2019-01</x:v>
      </x:c>
      <x:c r="B80" s="12" t="n">
        <x:v>2019</x:v>
      </x:c>
      <x:c r="C80" s="8" t="str">
        <x:v>Store</x:v>
      </x:c>
      <x:c r="D80" s="8" t="n">
        <x:v>1582297.23</x:v>
      </x:c>
      <x:c r="E80" s="8" t="n">
        <x:v>655744.75</x:v>
      </x:c>
      <x:c r="F80" s="8" t="n">
        <x:f>D80-E80</x:f>
        <x:v>926552.48</x:v>
      </x:c>
      <x:c r="G80" s="8" t="n">
        <x:v>707</x:v>
      </x:c>
      <x:c r="H80" s="8" t="n">
        <x:v>5549</x:v>
      </x:c>
      <x:c r="I80" s="9" t="n">
        <x:f>D80/G80</x:f>
        <x:v>2238.044172560113</x:v>
      </x:c>
      <x:c r="J80" s="9" t="n">
        <x:f>H80/G80</x:f>
        <x:v>7.848656294200849</x:v>
      </x:c>
      <x:c r="K80" s="10" t="n">
        <x:f>F80/D80</x:f>
        <x:v>0.5855742286801576</x:v>
      </x:c>
    </x:row>
    <x:row r="81" ht="22" customHeight="1">
      <x:c r="A81" s="8" t="str">
        <x:v>2019-02</x:v>
      </x:c>
      <x:c r="B81" s="12" t="n">
        <x:v>2019</x:v>
      </x:c>
      <x:c r="C81" s="8" t="str">
        <x:v>Online</x:v>
      </x:c>
      <x:c r="D81" s="8" t="n">
        <x:v>489684.39</x:v>
      </x:c>
      <x:c r="E81" s="8" t="n">
        <x:v>199433.51</x:v>
      </x:c>
      <x:c r="F81" s="8" t="n">
        <x:f>D81-E81</x:f>
        <x:v>290250.88</x:v>
      </x:c>
      <x:c r="G81" s="8" t="n">
        <x:v>211</x:v>
      </x:c>
      <x:c r="H81" s="8" t="n">
        <x:v>1585</x:v>
      </x:c>
      <x:c r="I81" s="9" t="n">
        <x:f>D81/G81</x:f>
        <x:v>2320.7790995260666</x:v>
      </x:c>
      <x:c r="J81" s="9" t="n">
        <x:f>H81/G81</x:f>
        <x:v>7.511848341232228</x:v>
      </x:c>
      <x:c r="K81" s="10" t="n">
        <x:f>F81/D81</x:f>
        <x:v>0.5927305136273591</x:v>
      </x:c>
    </x:row>
    <x:row r="82" ht="22" customHeight="1">
      <x:c r="A82" s="8" t="str">
        <x:v>2019-02</x:v>
      </x:c>
      <x:c r="B82" s="12" t="n">
        <x:v>2019</x:v>
      </x:c>
      <x:c r="C82" s="8" t="str">
        <x:v>Store</x:v>
      </x:c>
      <x:c r="D82" s="8" t="n">
        <x:v>1613178.18</x:v>
      </x:c>
      <x:c r="E82" s="8" t="n">
        <x:v>665535.8</x:v>
      </x:c>
      <x:c r="F82" s="8" t="n">
        <x:f>D82-E82</x:f>
        <x:v>947642.3799999999</x:v>
      </x:c>
      <x:c r="G82" s="8" t="n">
        <x:v>756</x:v>
      </x:c>
      <x:c r="H82" s="8" t="n">
        <x:v>5798</x:v>
      </x:c>
      <x:c r="I82" s="9" t="n">
        <x:f>D82/G82</x:f>
        <x:v>2133.8335714285713</x:v>
      </x:c>
      <x:c r="J82" s="9" t="n">
        <x:f>H82/G82</x:f>
        <x:v>7.669312169312169</x:v>
      </x:c>
      <x:c r="K82" s="10" t="n">
        <x:f>F82/D82</x:f>
        <x:v>0.5874381340813821</x:v>
      </x:c>
    </x:row>
    <x:row r="83" ht="22" customHeight="1">
      <x:c r="A83" s="8" t="str">
        <x:v>2019-03</x:v>
      </x:c>
      <x:c r="B83" s="12" t="n">
        <x:v>2019</x:v>
      </x:c>
      <x:c r="C83" s="8" t="str">
        <x:v>Online</x:v>
      </x:c>
      <x:c r="D83" s="8" t="n">
        <x:v>181170.05</x:v>
      </x:c>
      <x:c r="E83" s="8" t="n">
        <x:v>72538.3</x:v>
      </x:c>
      <x:c r="F83" s="8" t="n">
        <x:f>D83-E83</x:f>
        <x:v>108631.74999999999</x:v>
      </x:c>
      <x:c r="G83" s="8" t="n">
        <x:v>75</x:v>
      </x:c>
      <x:c r="H83" s="8" t="n">
        <x:v>624</x:v>
      </x:c>
      <x:c r="I83" s="9" t="n">
        <x:f>D83/G83</x:f>
        <x:v>2415.6006666666667</x:v>
      </x:c>
      <x:c r="J83" s="9" t="n">
        <x:f>H83/G83</x:f>
        <x:v>8.32</x:v>
      </x:c>
      <x:c r="K83" s="10" t="n">
        <x:f>F83/D83</x:f>
        <x:v>0.5996120771617605</x:v>
      </x:c>
    </x:row>
    <x:row r="84" ht="22" customHeight="1">
      <x:c r="A84" s="8" t="str">
        <x:v>2019-03</x:v>
      </x:c>
      <x:c r="B84" s="12" t="n">
        <x:v>2019</x:v>
      </x:c>
      <x:c r="C84" s="8" t="str">
        <x:v>Store</x:v>
      </x:c>
      <x:c r="D84" s="8" t="n">
        <x:v>664755.04</x:v>
      </x:c>
      <x:c r="E84" s="8" t="n">
        <x:v>277289.84</x:v>
      </x:c>
      <x:c r="F84" s="8" t="n">
        <x:f>D84-E84</x:f>
        <x:v>387465.2</x:v>
      </x:c>
      <x:c r="G84" s="8" t="n">
        <x:v>311</x:v>
      </x:c>
      <x:c r="H84" s="8" t="n">
        <x:v>2471</x:v>
      </x:c>
      <x:c r="I84" s="9" t="n">
        <x:f>D84/G84</x:f>
        <x:v>2137.4760128617363</x:v>
      </x:c>
      <x:c r="J84" s="9" t="n">
        <x:f>H84/G84</x:f>
        <x:v>7.945337620578778</x:v>
      </x:c>
      <x:c r="K84" s="10" t="n">
        <x:f>F84/D84</x:f>
        <x:v>0.5828691422933777</x:v>
      </x:c>
    </x:row>
    <x:row r="85" ht="22" customHeight="1">
      <x:c r="A85" s="8" t="str">
        <x:v>2019-04</x:v>
      </x:c>
      <x:c r="B85" s="12" t="n">
        <x:v>2019</x:v>
      </x:c>
      <x:c r="C85" s="8" t="str">
        <x:v>Online</x:v>
      </x:c>
      <x:c r="D85" s="8" t="n">
        <x:v>29838.37</x:v>
      </x:c>
      <x:c r="E85" s="8" t="n">
        <x:v>12970.16</x:v>
      </x:c>
      <x:c r="F85" s="8" t="n">
        <x:f>D85-E85</x:f>
        <x:v>16868.21</x:v>
      </x:c>
      <x:c r="G85" s="8" t="n">
        <x:v>17</x:v>
      </x:c>
      <x:c r="H85" s="8" t="n">
        <x:v>121</x:v>
      </x:c>
      <x:c r="I85" s="9" t="n">
        <x:f>D85/G85</x:f>
        <x:v>1755.1982352941177</x:v>
      </x:c>
      <x:c r="J85" s="9" t="n">
        <x:f>H85/G85</x:f>
        <x:v>7.117647058823529</x:v>
      </x:c>
      <x:c r="K85" s="10" t="n">
        <x:f>F85/D85</x:f>
        <x:v>0.5653194192578214</x:v>
      </x:c>
    </x:row>
    <x:row r="86" ht="22" customHeight="1">
      <x:c r="A86" s="8" t="str">
        <x:v>2019-04</x:v>
      </x:c>
      <x:c r="B86" s="12" t="n">
        <x:v>2019</x:v>
      </x:c>
      <x:c r="C86" s="8" t="str">
        <x:v>Store</x:v>
      </x:c>
      <x:c r="D86" s="8" t="n">
        <x:v>120054.34</x:v>
      </x:c>
      <x:c r="E86" s="8" t="n">
        <x:v>48450.1</x:v>
      </x:c>
      <x:c r="F86" s="8" t="n">
        <x:f>D86-E86</x:f>
        <x:v>71604.23999999999</x:v>
      </x:c>
      <x:c r="G86" s="8" t="n">
        <x:v>58</x:v>
      </x:c>
      <x:c r="H86" s="8" t="n">
        <x:v>441</x:v>
      </x:c>
      <x:c r="I86" s="9" t="n">
        <x:f>D86/G86</x:f>
        <x:v>2069.9024137931033</x:v>
      </x:c>
      <x:c r="J86" s="9" t="n">
        <x:f>H86/G86</x:f>
        <x:v>7.603448275862069</x:v>
      </x:c>
      <x:c r="K86" s="10" t="n">
        <x:f>F86/D86</x:f>
        <x:v>0.5964319157474857</x:v>
      </x:c>
    </x:row>
    <x:row r="87" ht="22" customHeight="1">
      <x:c r="A87" s="8" t="str">
        <x:v>2019-05</x:v>
      </x:c>
      <x:c r="B87" s="12" t="n">
        <x:v>2019</x:v>
      </x:c>
      <x:c r="C87" s="8" t="str">
        <x:v>Online</x:v>
      </x:c>
      <x:c r="D87" s="8" t="n">
        <x:v>339909.87</x:v>
      </x:c>
      <x:c r="E87" s="8" t="n">
        <x:v>141967.35</x:v>
      </x:c>
      <x:c r="F87" s="8" t="n">
        <x:f>D87-E87</x:f>
        <x:v>197942.52</x:v>
      </x:c>
      <x:c r="G87" s="8" t="n">
        <x:v>187</x:v>
      </x:c>
      <x:c r="H87" s="8" t="n">
        <x:v>1333</x:v>
      </x:c>
      <x:c r="I87" s="9" t="n">
        <x:f>D87/G87</x:f>
        <x:v>1817.6998395721926</x:v>
      </x:c>
      <x:c r="J87" s="9" t="n">
        <x:f>H87/G87</x:f>
        <x:v>7.128342245989304</x:v>
      </x:c>
      <x:c r="K87" s="10" t="n">
        <x:f>F87/D87</x:f>
        <x:v>0.582338253372872</x:v>
      </x:c>
    </x:row>
    <x:row r="88" ht="22" customHeight="1">
      <x:c r="A88" s="8" t="str">
        <x:v>2019-05</x:v>
      </x:c>
      <x:c r="B88" s="12" t="n">
        <x:v>2019</x:v>
      </x:c>
      <x:c r="C88" s="8" t="str">
        <x:v>Store</x:v>
      </x:c>
      <x:c r="D88" s="8" t="n">
        <x:v>1254536.6</x:v>
      </x:c>
      <x:c r="E88" s="8" t="n">
        <x:v>518980.68</x:v>
      </x:c>
      <x:c r="F88" s="8" t="n">
        <x:f>D88-E88</x:f>
        <x:v>735555.9200000002</x:v>
      </x:c>
      <x:c r="G88" s="8" t="n">
        <x:v>621</x:v>
      </x:c>
      <x:c r="H88" s="8" t="n">
        <x:v>4633</x:v>
      </x:c>
      <x:c r="I88" s="9" t="n">
        <x:f>D88/G88</x:f>
        <x:v>2020.1877616747183</x:v>
      </x:c>
      <x:c r="J88" s="9" t="n">
        <x:f>H88/G88</x:f>
        <x:v>7.460547504025765</x:v>
      </x:c>
      <x:c r="K88" s="10" t="n">
        <x:f>F88/D88</x:f>
        <x:v>0.5863168280622503</x:v>
      </x:c>
    </x:row>
    <x:row r="89" ht="22" customHeight="1">
      <x:c r="A89" s="8" t="str">
        <x:v>2019-06</x:v>
      </x:c>
      <x:c r="B89" s="12" t="n">
        <x:v>2019</x:v>
      </x:c>
      <x:c r="C89" s="8" t="str">
        <x:v>Online</x:v>
      </x:c>
      <x:c r="D89" s="8" t="n">
        <x:v>316685.18</x:v>
      </x:c>
      <x:c r="E89" s="8" t="n">
        <x:v>130448.43</x:v>
      </x:c>
      <x:c r="F89" s="8" t="n">
        <x:f>D89-E89</x:f>
        <x:v>186236.75</x:v>
      </x:c>
      <x:c r="G89" s="8" t="n">
        <x:v>194</x:v>
      </x:c>
      <x:c r="H89" s="8" t="n">
        <x:v>1357</x:v>
      </x:c>
      <x:c r="I89" s="9" t="n">
        <x:f>D89/G89</x:f>
        <x:v>1632.3978350515463</x:v>
      </x:c>
      <x:c r="J89" s="9" t="n">
        <x:f>H89/G89</x:f>
        <x:v>6.994845360824742</x:v>
      </x:c>
      <x:c r="K89" s="10" t="n">
        <x:f>F89/D89</x:f>
        <x:v>0.5880816715199619</x:v>
      </x:c>
    </x:row>
    <x:row r="90" ht="22" customHeight="1">
      <x:c r="A90" s="8" t="str">
        <x:v>2019-06</x:v>
      </x:c>
      <x:c r="B90" s="12" t="n">
        <x:v>2019</x:v>
      </x:c>
      <x:c r="C90" s="8" t="str">
        <x:v>Store</x:v>
      </x:c>
      <x:c r="D90" s="8" t="n">
        <x:v>1088176.22</x:v>
      </x:c>
      <x:c r="E90" s="8" t="n">
        <x:v>441304.86</x:v>
      </x:c>
      <x:c r="F90" s="8" t="n">
        <x:f>D90-E90</x:f>
        <x:v>646871.36</x:v>
      </x:c>
      <x:c r="G90" s="8" t="n">
        <x:v>578</x:v>
      </x:c>
      <x:c r="H90" s="8" t="n">
        <x:v>4140</x:v>
      </x:c>
      <x:c r="I90" s="9" t="n">
        <x:f>D90/G90</x:f>
        <x:v>1882.657820069204</x:v>
      </x:c>
      <x:c r="J90" s="9" t="n">
        <x:f>H90/G90</x:f>
        <x:v>7.162629757785467</x:v>
      </x:c>
      <x:c r="K90" s="10" t="n">
        <x:f>F90/D90</x:f>
        <x:v>0.5944546003771338</x:v>
      </x:c>
    </x:row>
    <x:row r="91" ht="22" customHeight="1">
      <x:c r="A91" s="8" t="str">
        <x:v>2019-07</x:v>
      </x:c>
      <x:c r="B91" s="12" t="n">
        <x:v>2019</x:v>
      </x:c>
      <x:c r="C91" s="8" t="str">
        <x:v>Online</x:v>
      </x:c>
      <x:c r="D91" s="8" t="n">
        <x:v>272312.47</x:v>
      </x:c>
      <x:c r="E91" s="8" t="n">
        <x:v>114922.42</x:v>
      </x:c>
      <x:c r="F91" s="8" t="n">
        <x:f>D91-E91</x:f>
        <x:v>157390.05</x:v>
      </x:c>
      <x:c r="G91" s="8" t="n">
        <x:v>156</x:v>
      </x:c>
      <x:c r="H91" s="8" t="n">
        <x:v>1075</x:v>
      </x:c>
      <x:c r="I91" s="9" t="n">
        <x:f>D91/G91</x:f>
        <x:v>1745.5927564102562</x:v>
      </x:c>
      <x:c r="J91" s="9" t="n">
        <x:f>H91/G91</x:f>
        <x:v>6.891025641025641</x:v>
      </x:c>
      <x:c r="K91" s="10" t="n">
        <x:f>F91/D91</x:f>
        <x:v>0.5779759186202527</x:v>
      </x:c>
    </x:row>
    <x:row r="92" ht="22" customHeight="1">
      <x:c r="A92" s="8" t="str">
        <x:v>2019-07</x:v>
      </x:c>
      <x:c r="B92" s="12" t="n">
        <x:v>2019</x:v>
      </x:c>
      <x:c r="C92" s="8" t="str">
        <x:v>Store</x:v>
      </x:c>
      <x:c r="D92" s="8" t="n">
        <x:v>1136402.15</x:v>
      </x:c>
      <x:c r="E92" s="8" t="n">
        <x:v>471897.91</x:v>
      </x:c>
      <x:c r="F92" s="8" t="n">
        <x:f>D92-E92</x:f>
        <x:v>664504.24</x:v>
      </x:c>
      <x:c r="G92" s="8" t="n">
        <x:v>560</x:v>
      </x:c>
      <x:c r="H92" s="8" t="n">
        <x:v>4253</x:v>
      </x:c>
      <x:c r="I92" s="9" t="n">
        <x:f>D92/G92</x:f>
        <x:v>2029.2895535714283</x:v>
      </x:c>
      <x:c r="J92" s="9" t="n">
        <x:f>H92/G92</x:f>
        <x:v>7.5946428571428575</x:v>
      </x:c>
      <x:c r="K92" s="10" t="n">
        <x:f>F92/D92</x:f>
        <x:v>0.5847439130592986</x:v>
      </x:c>
    </x:row>
    <x:row r="93" ht="22" customHeight="1">
      <x:c r="A93" s="8" t="str">
        <x:v>2019-08</x:v>
      </x:c>
      <x:c r="B93" s="12" t="n">
        <x:v>2019</x:v>
      </x:c>
      <x:c r="C93" s="8" t="str">
        <x:v>Online</x:v>
      </x:c>
      <x:c r="D93" s="8" t="n">
        <x:v>356152.91</x:v>
      </x:c>
      <x:c r="E93" s="8" t="n">
        <x:v>145312</x:v>
      </x:c>
      <x:c r="F93" s="8" t="n">
        <x:f>D93-E93</x:f>
        <x:v>210840.90999999997</x:v>
      </x:c>
      <x:c r="G93" s="8" t="n">
        <x:v>180</x:v>
      </x:c>
      <x:c r="H93" s="8" t="n">
        <x:v>1296</x:v>
      </x:c>
      <x:c r="I93" s="9" t="n">
        <x:f>D93/G93</x:f>
        <x:v>1978.6272777777776</x:v>
      </x:c>
      <x:c r="J93" s="9" t="n">
        <x:f>H93/G93</x:f>
        <x:v>7.2</x:v>
      </x:c>
      <x:c r="K93" s="10" t="n">
        <x:f>F93/D93</x:f>
        <x:v>0.59199547183259</x:v>
      </x:c>
    </x:row>
    <x:row r="94" ht="22" customHeight="1">
      <x:c r="A94" s="8" t="str">
        <x:v>2019-08</x:v>
      </x:c>
      <x:c r="B94" s="12" t="n">
        <x:v>2019</x:v>
      </x:c>
      <x:c r="C94" s="8" t="str">
        <x:v>Store</x:v>
      </x:c>
      <x:c r="D94" s="8" t="n">
        <x:v>1144631.86</x:v>
      </x:c>
      <x:c r="E94" s="8" t="n">
        <x:v>478313.81</x:v>
      </x:c>
      <x:c r="F94" s="8" t="n">
        <x:f>D94-E94</x:f>
        <x:v>666318.05</x:v>
      </x:c>
      <x:c r="G94" s="8" t="n">
        <x:v>613</x:v>
      </x:c>
      <x:c r="H94" s="8" t="n">
        <x:v>4626</x:v>
      </x:c>
      <x:c r="I94" s="9" t="n">
        <x:f>D94/G94</x:f>
        <x:v>1867.2624143556282</x:v>
      </x:c>
      <x:c r="J94" s="9" t="n">
        <x:f>H94/G94</x:f>
        <x:v>7.5464926590538335</x:v>
      </x:c>
      <x:c r="K94" s="10" t="n">
        <x:f>F94/D94</x:f>
        <x:v>0.5821243259819799</x:v>
      </x:c>
    </x:row>
    <x:row r="95" ht="22" customHeight="1">
      <x:c r="A95" s="8" t="str">
        <x:v>2019-09</x:v>
      </x:c>
      <x:c r="B95" s="12" t="n">
        <x:v>2019</x:v>
      </x:c>
      <x:c r="C95" s="8" t="str">
        <x:v>Online</x:v>
      </x:c>
      <x:c r="D95" s="8" t="n">
        <x:v>314998.41</x:v>
      </x:c>
      <x:c r="E95" s="8" t="n">
        <x:v>131322.99</x:v>
      </x:c>
      <x:c r="F95" s="8" t="n">
        <x:f>D95-E95</x:f>
        <x:v>183675.41999999998</x:v>
      </x:c>
      <x:c r="G95" s="8" t="n">
        <x:v>168</x:v>
      </x:c>
      <x:c r="H95" s="8" t="n">
        <x:v>1288</x:v>
      </x:c>
      <x:c r="I95" s="9" t="n">
        <x:f>D95/G95</x:f>
        <x:v>1874.9905357142857</x:v>
      </x:c>
      <x:c r="J95" s="9" t="n">
        <x:f>H95/G95</x:f>
        <x:v>7.666666666666667</x:v>
      </x:c>
      <x:c r="K95" s="10" t="n">
        <x:f>F95/D95</x:f>
        <x:v>0.5830995146927884</x:v>
      </x:c>
    </x:row>
    <x:row r="96" ht="22" customHeight="1">
      <x:c r="A96" s="8" t="str">
        <x:v>2019-09</x:v>
      </x:c>
      <x:c r="B96" s="12" t="n">
        <x:v>2019</x:v>
      </x:c>
      <x:c r="C96" s="8" t="str">
        <x:v>Store</x:v>
      </x:c>
      <x:c r="D96" s="8" t="n">
        <x:v>1232872.32</x:v>
      </x:c>
      <x:c r="E96" s="8" t="n">
        <x:v>509996.6</x:v>
      </x:c>
      <x:c r="F96" s="8" t="n">
        <x:f>D96-E96</x:f>
        <x:v>722875.7200000001</x:v>
      </x:c>
      <x:c r="G96" s="8" t="n">
        <x:v>613</x:v>
      </x:c>
      <x:c r="H96" s="8" t="n">
        <x:v>4749</x:v>
      </x:c>
      <x:c r="I96" s="9" t="n">
        <x:f>D96/G96</x:f>
        <x:v>2011.2109624796085</x:v>
      </x:c>
      <x:c r="J96" s="9" t="n">
        <x:f>H96/G96</x:f>
        <x:v>7.747145187601958</x:v>
      </x:c>
      <x:c r="K96" s="10" t="n">
        <x:f>F96/D96</x:f>
        <x:v>0.5863346173592413</x:v>
      </x:c>
    </x:row>
    <x:row r="97" ht="22" customHeight="1">
      <x:c r="A97" s="8" t="str">
        <x:v>2019-10</x:v>
      </x:c>
      <x:c r="B97" s="12" t="n">
        <x:v>2019</x:v>
      </x:c>
      <x:c r="C97" s="8" t="str">
        <x:v>Online</x:v>
      </x:c>
      <x:c r="D97" s="8" t="n">
        <x:v>317536.54</x:v>
      </x:c>
      <x:c r="E97" s="8" t="n">
        <x:v>132768.19</x:v>
      </x:c>
      <x:c r="F97" s="8" t="n">
        <x:f>D97-E97</x:f>
        <x:v>184768.34999999998</x:v>
      </x:c>
      <x:c r="G97" s="8" t="n">
        <x:v>177</x:v>
      </x:c>
      <x:c r="H97" s="8" t="n">
        <x:v>1292</x:v>
      </x:c>
      <x:c r="I97" s="9" t="n">
        <x:f>D97/G97</x:f>
        <x:v>1793.9917514124293</x:v>
      </x:c>
      <x:c r="J97" s="9" t="n">
        <x:f>H97/G97</x:f>
        <x:v>7.299435028248587</x:v>
      </x:c>
      <x:c r="K97" s="10" t="n">
        <x:f>F97/D97</x:f>
        <x:v>0.581880592387887</x:v>
      </x:c>
    </x:row>
    <x:row r="98" ht="22" customHeight="1">
      <x:c r="A98" s="8" t="str">
        <x:v>2019-10</x:v>
      </x:c>
      <x:c r="B98" s="12" t="n">
        <x:v>2019</x:v>
      </x:c>
      <x:c r="C98" s="8" t="str">
        <x:v>Store</x:v>
      </x:c>
      <x:c r="D98" s="8" t="n">
        <x:v>1257632.28</x:v>
      </x:c>
      <x:c r="E98" s="8" t="n">
        <x:v>526647.1</x:v>
      </x:c>
      <x:c r="F98" s="8" t="n">
        <x:f>D98-E98</x:f>
        <x:v>730985.18</x:v>
      </x:c>
      <x:c r="G98" s="8" t="n">
        <x:v>665</x:v>
      </x:c>
      <x:c r="H98" s="8" t="n">
        <x:v>5120</x:v>
      </x:c>
      <x:c r="I98" s="9" t="n">
        <x:f>D98/G98</x:f>
        <x:v>1891.1763609022557</x:v>
      </x:c>
      <x:c r="J98" s="9" t="n">
        <x:f>H98/G98</x:f>
        <x:v>7.6992481203007515</x:v>
      </x:c>
      <x:c r="K98" s="10" t="n">
        <x:f>F98/D98</x:f>
        <x:v>0.5812391997444595</x:v>
      </x:c>
    </x:row>
    <x:row r="99" ht="22" customHeight="1">
      <x:c r="A99" s="8" t="str">
        <x:v>2019-11</x:v>
      </x:c>
      <x:c r="B99" s="12" t="n">
        <x:v>2019</x:v>
      </x:c>
      <x:c r="C99" s="8" t="str">
        <x:v>Online</x:v>
      </x:c>
      <x:c r="D99" s="8" t="n">
        <x:v>440006.3</x:v>
      </x:c>
      <x:c r="E99" s="8" t="n">
        <x:v>178105.42</x:v>
      </x:c>
      <x:c r="F99" s="8" t="n">
        <x:f>D99-E99</x:f>
        <x:v>261900.87999999998</x:v>
      </x:c>
      <x:c r="G99" s="8" t="n">
        <x:v>186</x:v>
      </x:c>
      <x:c r="H99" s="8" t="n">
        <x:v>1450</x:v>
      </x:c>
      <x:c r="I99" s="9" t="n">
        <x:f>D99/G99</x:f>
        <x:v>2365.6252688172044</x:v>
      </x:c>
      <x:c r="J99" s="9" t="n">
        <x:f>H99/G99</x:f>
        <x:v>7.795698924731183</x:v>
      </x:c>
      <x:c r="K99" s="10" t="n">
        <x:f>F99/D99</x:f>
        <x:v>0.5952207502483486</x:v>
      </x:c>
    </x:row>
    <x:row r="100" ht="22" customHeight="1">
      <x:c r="A100" s="8" t="str">
        <x:v>2019-11</x:v>
      </x:c>
      <x:c r="B100" s="12" t="n">
        <x:v>2019</x:v>
      </x:c>
      <x:c r="C100" s="8" t="str">
        <x:v>Store</x:v>
      </x:c>
      <x:c r="D100" s="8" t="n">
        <x:v>1275653.58</x:v>
      </x:c>
      <x:c r="E100" s="8" t="n">
        <x:v>522650.1</x:v>
      </x:c>
      <x:c r="F100" s="8" t="n">
        <x:f>D100-E100</x:f>
        <x:v>753003.4800000001</x:v>
      </x:c>
      <x:c r="G100" s="8" t="n">
        <x:v>615</x:v>
      </x:c>
      <x:c r="H100" s="8" t="n">
        <x:v>4595</x:v>
      </x:c>
      <x:c r="I100" s="9" t="n">
        <x:f>D100/G100</x:f>
        <x:v>2074.233463414634</x:v>
      </x:c>
      <x:c r="J100" s="9" t="n">
        <x:f>H100/G100</x:f>
        <x:v>7.471544715447155</x:v>
      </x:c>
      <x:c r="K100" s="10" t="n">
        <x:f>F100/D100</x:f>
        <x:v>0.5902883759398065</x:v>
      </x:c>
    </x:row>
    <x:row r="101" ht="22" customHeight="1">
      <x:c r="A101" s="8" t="str">
        <x:v>2019-12</x:v>
      </x:c>
      <x:c r="B101" s="12" t="n">
        <x:v>2019</x:v>
      </x:c>
      <x:c r="C101" s="8" t="str">
        <x:v>Online</x:v>
      </x:c>
      <x:c r="D101" s="8" t="n">
        <x:v>491598.87</x:v>
      </x:c>
      <x:c r="E101" s="8" t="n">
        <x:v>208608.84</x:v>
      </x:c>
      <x:c r="F101" s="8" t="n">
        <x:f>D101-E101</x:f>
        <x:v>282990.03</x:v>
      </x:c>
      <x:c r="G101" s="8" t="n">
        <x:v>270</x:v>
      </x:c>
      <x:c r="H101" s="8" t="n">
        <x:v>2083</x:v>
      </x:c>
      <x:c r="I101" s="9" t="n">
        <x:f>D101/G101</x:f>
        <x:v>1820.7365555555555</x:v>
      </x:c>
      <x:c r="J101" s="9" t="n">
        <x:f>H101/G101</x:f>
        <x:v>7.714814814814815</x:v>
      </x:c>
      <x:c r="K101" s="10" t="n">
        <x:f>F101/D101</x:f>
        <x:v>0.5756523199493929</x:v>
      </x:c>
    </x:row>
    <x:row r="102" ht="22" customHeight="1">
      <x:c r="A102" s="8" t="str">
        <x:v>2019-12</x:v>
      </x:c>
      <x:c r="B102" s="12" t="n">
        <x:v>2019</x:v>
      </x:c>
      <x:c r="C102" s="8" t="str">
        <x:v>Store</x:v>
      </x:c>
      <x:c r="D102" s="8" t="n">
        <x:v>1985696.98</x:v>
      </x:c>
      <x:c r="E102" s="8" t="n">
        <x:v>833138.77</x:v>
      </x:c>
      <x:c r="F102" s="8" t="n">
        <x:f>D102-E102</x:f>
        <x:v>1152558.21</x:v>
      </x:c>
      <x:c r="G102" s="8" t="n">
        <x:v>980</x:v>
      </x:c>
      <x:c r="H102" s="8" t="n">
        <x:v>7260</x:v>
      </x:c>
      <x:c r="I102" s="9" t="n">
        <x:f>D102/G102</x:f>
        <x:v>2026.2214081632653</x:v>
      </x:c>
      <x:c r="J102" s="9" t="n">
        <x:f>H102/G102</x:f>
        <x:v>7.408163265306122</x:v>
      </x:c>
      <x:c r="K102" s="10" t="n">
        <x:f>F102/D102</x:f>
        <x:v>0.580430056352304</x:v>
      </x:c>
    </x:row>
    <x:row r="103" ht="22" customHeight="1">
      <x:c r="A103" s="8" t="str">
        <x:v>2020-01</x:v>
      </x:c>
      <x:c r="B103" s="12" t="n">
        <x:v>2020</x:v>
      </x:c>
      <x:c r="C103" s="8" t="str">
        <x:v>Online</x:v>
      </x:c>
      <x:c r="D103" s="8" t="n">
        <x:v>427595.78</x:v>
      </x:c>
      <x:c r="E103" s="8" t="n">
        <x:v>175036.89</x:v>
      </x:c>
      <x:c r="F103" s="8" t="n">
        <x:f>D103-E103</x:f>
        <x:v>252558.89</x:v>
      </x:c>
      <x:c r="G103" s="8" t="n">
        <x:v>230</x:v>
      </x:c>
      <x:c r="H103" s="8" t="n">
        <x:v>1579</x:v>
      </x:c>
      <x:c r="I103" s="9" t="n">
        <x:f>D103/G103</x:f>
        <x:v>1859.1120869565218</x:v>
      </x:c>
      <x:c r="J103" s="9" t="n">
        <x:f>H103/G103</x:f>
        <x:v>6.8652173913043475</x:v>
      </x:c>
      <x:c r="K103" s="10" t="n">
        <x:f>F103/D103</x:f>
        <x:v>0.5906486962991075</x:v>
      </x:c>
    </x:row>
    <x:row r="104" ht="22" customHeight="1">
      <x:c r="A104" s="8" t="str">
        <x:v>2020-01</x:v>
      </x:c>
      <x:c r="B104" s="12" t="n">
        <x:v>2020</x:v>
      </x:c>
      <x:c r="C104" s="8" t="str">
        <x:v>Store</x:v>
      </x:c>
      <x:c r="D104" s="8" t="n">
        <x:v>1641355.34</x:v>
      </x:c>
      <x:c r="E104" s="8" t="n">
        <x:v>684794.84</x:v>
      </x:c>
      <x:c r="F104" s="8" t="n">
        <x:f>D104-E104</x:f>
        <x:v>956560.5000000001</x:v>
      </x:c>
      <x:c r="G104" s="8" t="n">
        <x:v>797</x:v>
      </x:c>
      <x:c r="H104" s="8" t="n">
        <x:v>6127</x:v>
      </x:c>
      <x:c r="I104" s="9" t="n">
        <x:f>D104/G104</x:f>
        <x:v>2059.4169887076537</x:v>
      </x:c>
      <x:c r="J104" s="9" t="n">
        <x:f>H104/G104</x:f>
        <x:v>7.687578419071518</x:v>
      </x:c>
      <x:c r="K104" s="10" t="n">
        <x:f>F104/D104</x:f>
        <x:v>0.5827869667758842</x:v>
      </x:c>
    </x:row>
    <x:row r="105" ht="22" customHeight="1">
      <x:c r="A105" s="8" t="str">
        <x:v>2020-02</x:v>
      </x:c>
      <x:c r="B105" s="12" t="n">
        <x:v>2020</x:v>
      </x:c>
      <x:c r="C105" s="8" t="str">
        <x:v>Online</x:v>
      </x:c>
      <x:c r="D105" s="8" t="n">
        <x:v>434417.88</x:v>
      </x:c>
      <x:c r="E105" s="8" t="n">
        <x:v>181054.13</x:v>
      </x:c>
      <x:c r="F105" s="8" t="n">
        <x:f>D105-E105</x:f>
        <x:v>253363.75</x:v>
      </x:c>
      <x:c r="G105" s="8" t="n">
        <x:v>245</x:v>
      </x:c>
      <x:c r="H105" s="8" t="n">
        <x:v>1698</x:v>
      </x:c>
      <x:c r="I105" s="9" t="n">
        <x:f>D105/G105</x:f>
        <x:v>1773.1342040816326</x:v>
      </x:c>
      <x:c r="J105" s="9" t="n">
        <x:f>H105/G105</x:f>
        <x:v>6.930612244897959</x:v>
      </x:c>
      <x:c r="K105" s="10" t="n">
        <x:f>F105/D105</x:f>
        <x:v>0.5832258791926336</x:v>
      </x:c>
    </x:row>
    <x:row r="106" ht="22" customHeight="1">
      <x:c r="A106" s="8" t="str">
        <x:v>2020-02</x:v>
      </x:c>
      <x:c r="B106" s="12" t="n">
        <x:v>2020</x:v>
      </x:c>
      <x:c r="C106" s="8" t="str">
        <x:v>Store</x:v>
      </x:c>
      <x:c r="D106" s="8" t="n">
        <x:v>1792961.69</x:v>
      </x:c>
      <x:c r="E106" s="8" t="n">
        <x:v>734876.21</x:v>
      </x:c>
      <x:c r="F106" s="8" t="n">
        <x:f>D106-E106</x:f>
        <x:v>1058085.48</x:v>
      </x:c>
      <x:c r="G106" s="8" t="n">
        <x:v>879</x:v>
      </x:c>
      <x:c r="H106" s="8" t="n">
        <x:v>6687</x:v>
      </x:c>
      <x:c r="I106" s="9" t="n">
        <x:f>D106/G106</x:f>
        <x:v>2039.774391353811</x:v>
      </x:c>
      <x:c r="J106" s="9" t="n">
        <x:f>H106/G106</x:f>
        <x:v>7.607508532423208</x:v>
      </x:c>
      <x:c r="K106" s="10" t="n">
        <x:f>F106/D106</x:f>
        <x:v>0.5901327874997708</x:v>
      </x:c>
    </x:row>
    <x:row r="107" ht="22" customHeight="1">
      <x:c r="A107" s="8" t="str">
        <x:v>2020-03</x:v>
      </x:c>
      <x:c r="B107" s="12" t="n">
        <x:v>2020</x:v>
      </x:c>
      <x:c r="C107" s="8" t="str">
        <x:v>Online</x:v>
      </x:c>
      <x:c r="D107" s="8" t="n">
        <x:v>181951</x:v>
      </x:c>
      <x:c r="E107" s="8" t="n">
        <x:v>76874.65</x:v>
      </x:c>
      <x:c r="F107" s="8" t="n">
        <x:f>D107-E107</x:f>
        <x:v>105076.35</x:v>
      </x:c>
      <x:c r="G107" s="8" t="n">
        <x:v>85</x:v>
      </x:c>
      <x:c r="H107" s="8" t="n">
        <x:v>704</x:v>
      </x:c>
      <x:c r="I107" s="9" t="n">
        <x:f>D107/G107</x:f>
        <x:v>2140.6</x:v>
      </x:c>
      <x:c r="J107" s="9" t="n">
        <x:f>H107/G107</x:f>
        <x:v>8.282352941176471</x:v>
      </x:c>
      <x:c r="K107" s="10" t="n">
        <x:f>F107/D107</x:f>
        <x:v>0.5774980626652231</x:v>
      </x:c>
    </x:row>
    <x:row r="108" ht="22" customHeight="1">
      <x:c r="A108" s="8" t="str">
        <x:v>2020-03</x:v>
      </x:c>
      <x:c r="B108" s="12" t="n">
        <x:v>2020</x:v>
      </x:c>
      <x:c r="C108" s="8" t="str">
        <x:v>Store</x:v>
      </x:c>
      <x:c r="D108" s="8" t="n">
        <x:v>493039.66</x:v>
      </x:c>
      <x:c r="E108" s="8" t="n">
        <x:v>201911.25</x:v>
      </x:c>
      <x:c r="F108" s="8" t="n">
        <x:f>D108-E108</x:f>
        <x:v>291128.41</x:v>
      </x:c>
      <x:c r="G108" s="8" t="n">
        <x:v>247</x:v>
      </x:c>
      <x:c r="H108" s="8" t="n">
        <x:v>1688</x:v>
      </x:c>
      <x:c r="I108" s="9" t="n">
        <x:f>D108/G108</x:f>
        <x:v>1996.111983805668</x:v>
      </x:c>
      <x:c r="J108" s="9" t="n">
        <x:f>H108/G108</x:f>
        <x:v>6.834008097165992</x:v>
      </x:c>
      <x:c r="K108" s="10" t="n">
        <x:f>F108/D108</x:f>
        <x:v>0.5904766565837726</x:v>
      </x:c>
    </x:row>
    <x:row r="109" ht="22" customHeight="1">
      <x:c r="A109" s="8" t="str">
        <x:v>2020-04</x:v>
      </x:c>
      <x:c r="B109" s="12" t="n">
        <x:v>2020</x:v>
      </x:c>
      <x:c r="C109" s="8" t="str">
        <x:v>Online</x:v>
      </x:c>
      <x:c r="D109" s="8" t="n">
        <x:v>70378.27</x:v>
      </x:c>
      <x:c r="E109" s="8" t="n">
        <x:v>27333.72</x:v>
      </x:c>
      <x:c r="F109" s="8" t="n">
        <x:f>D109-E109</x:f>
        <x:v>43044.55</x:v>
      </x:c>
      <x:c r="G109" s="8" t="n">
        <x:v>23</x:v>
      </x:c>
      <x:c r="H109" s="8" t="n">
        <x:v>201</x:v>
      </x:c>
      <x:c r="I109" s="9" t="n">
        <x:f>D109/G109</x:f>
        <x:v>3059.9247826086958</x:v>
      </x:c>
      <x:c r="J109" s="9" t="n">
        <x:f>H109/G109</x:f>
        <x:v>8.73913043478261</x:v>
      </x:c>
      <x:c r="K109" s="10" t="n">
        <x:f>F109/D109</x:f>
        <x:v>0.6116170516837086</x:v>
      </x:c>
    </x:row>
    <x:row r="110" ht="22" customHeight="1">
      <x:c r="A110" s="8" t="str">
        <x:v>2020-04</x:v>
      </x:c>
      <x:c r="B110" s="12" t="n">
        <x:v>2020</x:v>
      </x:c>
      <x:c r="C110" s="8" t="str">
        <x:v>Store</x:v>
      </x:c>
      <x:c r="D110" s="8" t="n">
        <x:v>147263.83</x:v>
      </x:c>
      <x:c r="E110" s="8" t="n">
        <x:v>62278.84</x:v>
      </x:c>
      <x:c r="F110" s="8" t="n">
        <x:f>D110-E110</x:f>
        <x:v>84984.98999999999</x:v>
      </x:c>
      <x:c r="G110" s="8" t="n">
        <x:v>57</x:v>
      </x:c>
      <x:c r="H110" s="8" t="n">
        <x:v>493</x:v>
      </x:c>
      <x:c r="I110" s="9" t="n">
        <x:f>D110/G110</x:f>
        <x:v>2583.5759649122806</x:v>
      </x:c>
      <x:c r="J110" s="9" t="n">
        <x:f>H110/G110</x:f>
        <x:v>8.649122807017545</x:v>
      </x:c>
      <x:c r="K110" s="10" t="n">
        <x:f>F110/D110</x:f>
        <x:v>0.5770934383548221</x:v>
      </x:c>
    </x:row>
    <x:row r="111" ht="22" customHeight="1">
      <x:c r="A111" s="8" t="str">
        <x:v>2020-05</x:v>
      </x:c>
      <x:c r="B111" s="12" t="n">
        <x:v>2020</x:v>
      </x:c>
      <x:c r="C111" s="8" t="str">
        <x:v>Online</x:v>
      </x:c>
      <x:c r="D111" s="8" t="n">
        <x:v>211634.96</x:v>
      </x:c>
      <x:c r="E111" s="8" t="n">
        <x:v>88859.3</x:v>
      </x:c>
      <x:c r="F111" s="8" t="n">
        <x:f>D111-E111</x:f>
        <x:v>122775.65999999999</x:v>
      </x:c>
      <x:c r="G111" s="8" t="n">
        <x:v>100</x:v>
      </x:c>
      <x:c r="H111" s="8" t="n">
        <x:v>755</x:v>
      </x:c>
      <x:c r="I111" s="9" t="n">
        <x:f>D111/G111</x:f>
        <x:v>2116.3496</x:v>
      </x:c>
      <x:c r="J111" s="9" t="n">
        <x:f>H111/G111</x:f>
        <x:v>7.55</x:v>
      </x:c>
      <x:c r="K111" s="10" t="n">
        <x:f>F111/D111</x:f>
        <x:v>0.5801293888306545</x:v>
      </x:c>
    </x:row>
    <x:row r="112" ht="22" customHeight="1">
      <x:c r="A112" s="8" t="str">
        <x:v>2020-05</x:v>
      </x:c>
      <x:c r="B112" s="12" t="n">
        <x:v>2020</x:v>
      </x:c>
      <x:c r="C112" s="8" t="str">
        <x:v>Store</x:v>
      </x:c>
      <x:c r="D112" s="8" t="n">
        <x:v>666391.67</x:v>
      </x:c>
      <x:c r="E112" s="8" t="n">
        <x:v>275119.38</x:v>
      </x:c>
      <x:c r="F112" s="8" t="n">
        <x:f>D112-E112</x:f>
        <x:v>391272.29000000004</x:v>
      </x:c>
      <x:c r="G112" s="8" t="n">
        <x:v>355</x:v>
      </x:c>
      <x:c r="H112" s="8" t="n">
        <x:v>2501</x:v>
      </x:c>
      <x:c r="I112" s="9" t="n">
        <x:f>D112/G112</x:f>
        <x:v>1877.159633802817</x:v>
      </x:c>
      <x:c r="J112" s="9" t="n">
        <x:f>H112/G112</x:f>
        <x:v>7.045070422535211</x:v>
      </x:c>
      <x:c r="K112" s="10" t="n">
        <x:f>F112/D112</x:f>
        <x:v>0.5871506316998231</x:v>
      </x:c>
    </x:row>
    <x:row r="113" ht="22" customHeight="1">
      <x:c r="A113" s="8" t="str">
        <x:v>2020-06</x:v>
      </x:c>
      <x:c r="B113" s="12" t="n">
        <x:v>2020</x:v>
      </x:c>
      <x:c r="C113" s="8" t="str">
        <x:v>Online</x:v>
      </x:c>
      <x:c r="D113" s="8" t="n">
        <x:v>188883.2</x:v>
      </x:c>
      <x:c r="E113" s="8" t="n">
        <x:v>77857.88</x:v>
      </x:c>
      <x:c r="F113" s="8" t="n">
        <x:f>D113-E113</x:f>
        <x:v>111025.32</x:v>
      </x:c>
      <x:c r="G113" s="8" t="n">
        <x:v>73</x:v>
      </x:c>
      <x:c r="H113" s="8" t="n">
        <x:v>603</x:v>
      </x:c>
      <x:c r="I113" s="9" t="n">
        <x:f>D113/G113</x:f>
        <x:v>2587.441095890411</x:v>
      </x:c>
      <x:c r="J113" s="9" t="n">
        <x:f>H113/G113</x:f>
        <x:v>8.26027397260274</x:v>
      </x:c>
      <x:c r="K113" s="10" t="n">
        <x:f>F113/D113</x:f>
        <x:v>0.5877988089994239</x:v>
      </x:c>
    </x:row>
    <x:row r="114" ht="22" customHeight="1">
      <x:c r="A114" s="8" t="str">
        <x:v>2020-06</x:v>
      </x:c>
      <x:c r="B114" s="12" t="n">
        <x:v>2020</x:v>
      </x:c>
      <x:c r="C114" s="8" t="str">
        <x:v>Store</x:v>
      </x:c>
      <x:c r="D114" s="8" t="n">
        <x:v>575000.03</x:v>
      </x:c>
      <x:c r="E114" s="8" t="n">
        <x:v>242619.39</x:v>
      </x:c>
      <x:c r="F114" s="8" t="n">
        <x:f>D114-E114</x:f>
        <x:v>332380.64</x:v>
      </x:c>
      <x:c r="G114" s="8" t="n">
        <x:v>284</x:v>
      </x:c>
      <x:c r="H114" s="8" t="n">
        <x:v>2135</x:v>
      </x:c>
      <x:c r="I114" s="9" t="n">
        <x:f>D114/G114</x:f>
        <x:v>2024.6479929577465</x:v>
      </x:c>
      <x:c r="J114" s="9" t="n">
        <x:f>H114/G114</x:f>
        <x:v>7.517605633802817</x:v>
      </x:c>
      <x:c r="K114" s="10" t="n">
        <x:f>F114/D114</x:f>
        <x:v>0.5780532567972214</x:v>
      </x:c>
    </x:row>
    <x:row r="115" ht="22" customHeight="1">
      <x:c r="A115" s="8" t="str">
        <x:v>2020-07</x:v>
      </x:c>
      <x:c r="B115" s="12" t="n">
        <x:v>2020</x:v>
      </x:c>
      <x:c r="C115" s="8" t="str">
        <x:v>Online</x:v>
      </x:c>
      <x:c r="D115" s="8" t="n">
        <x:v>125205.87</x:v>
      </x:c>
      <x:c r="E115" s="8" t="n">
        <x:v>48726.62</x:v>
      </x:c>
      <x:c r="F115" s="8" t="n">
        <x:f>D115-E115</x:f>
        <x:v>76479.25</x:v>
      </x:c>
      <x:c r="G115" s="8" t="n">
        <x:v>69</x:v>
      </x:c>
      <x:c r="H115" s="8" t="n">
        <x:v>472</x:v>
      </x:c>
      <x:c r="I115" s="9" t="n">
        <x:f>D115/G115</x:f>
        <x:v>1814.5778260869565</x:v>
      </x:c>
      <x:c r="J115" s="9" t="n">
        <x:f>H115/G115</x:f>
        <x:v>6.840579710144928</x:v>
      </x:c>
      <x:c r="K115" s="10" t="n">
        <x:f>F115/D115</x:f>
        <x:v>0.6108279907323834</x:v>
      </x:c>
    </x:row>
    <x:row r="116" ht="22" customHeight="1">
      <x:c r="A116" s="8" t="str">
        <x:v>2020-07</x:v>
      </x:c>
      <x:c r="B116" s="12" t="n">
        <x:v>2020</x:v>
      </x:c>
      <x:c r="C116" s="8" t="str">
        <x:v>Store</x:v>
      </x:c>
      <x:c r="D116" s="8" t="n">
        <x:v>387599.31</x:v>
      </x:c>
      <x:c r="E116" s="8" t="n">
        <x:v>161756.19</x:v>
      </x:c>
      <x:c r="F116" s="8" t="n">
        <x:f>D116-E116</x:f>
        <x:v>225843.12</x:v>
      </x:c>
      <x:c r="G116" s="8" t="n">
        <x:v>184</x:v>
      </x:c>
      <x:c r="H116" s="8" t="n">
        <x:v>1469</x:v>
      </x:c>
      <x:c r="I116" s="9" t="n">
        <x:f>D116/G116</x:f>
        <x:v>2106.5179891304347</x:v>
      </x:c>
      <x:c r="J116" s="9" t="n">
        <x:f>H116/G116</x:f>
        <x:v>7.983695652173913</x:v>
      </x:c>
      <x:c r="K116" s="10" t="n">
        <x:f>F116/D116</x:f>
        <x:v>0.5826716254990237</x:v>
      </x:c>
    </x:row>
    <x:row r="117" ht="22" customHeight="1">
      <x:c r="A117" s="8" t="str">
        <x:v>2020-08</x:v>
      </x:c>
      <x:c r="B117" s="12" t="n">
        <x:v>2020</x:v>
      </x:c>
      <x:c r="C117" s="8" t="str">
        <x:v>Online</x:v>
      </x:c>
      <x:c r="D117" s="8" t="n">
        <x:v>64352.23</x:v>
      </x:c>
      <x:c r="E117" s="8" t="n">
        <x:v>27314.36</x:v>
      </x:c>
      <x:c r="F117" s="8" t="n">
        <x:f>D117-E117</x:f>
        <x:v>37037.87</x:v>
      </x:c>
      <x:c r="G117" s="8" t="n">
        <x:v>35</x:v>
      </x:c>
      <x:c r="H117" s="8" t="n">
        <x:v>247</x:v>
      </x:c>
      <x:c r="I117" s="9" t="n">
        <x:f>D117/G117</x:f>
        <x:v>1838.635142857143</x:v>
      </x:c>
      <x:c r="J117" s="9" t="n">
        <x:f>H117/G117</x:f>
        <x:v>7.057142857142857</x:v>
      </x:c>
      <x:c r="K117" s="10" t="n">
        <x:f>F117/D117</x:f>
        <x:v>0.575549130154464</x:v>
      </x:c>
    </x:row>
    <x:row r="118" ht="22" customHeight="1">
      <x:c r="A118" s="8" t="str">
        <x:v>2020-08</x:v>
      </x:c>
      <x:c r="B118" s="12" t="n">
        <x:v>2020</x:v>
      </x:c>
      <x:c r="C118" s="8" t="str">
        <x:v>Store</x:v>
      </x:c>
      <x:c r="D118" s="8" t="n">
        <x:v>352294.85</x:v>
      </x:c>
      <x:c r="E118" s="8" t="n">
        <x:v>144171.57</x:v>
      </x:c>
      <x:c r="F118" s="8" t="n">
        <x:f>D118-E118</x:f>
        <x:v>208123.27999999997</x:v>
      </x:c>
      <x:c r="G118" s="8" t="n">
        <x:v>166</x:v>
      </x:c>
      <x:c r="H118" s="8" t="n">
        <x:v>1279</x:v>
      </x:c>
      <x:c r="I118" s="9" t="n">
        <x:f>D118/G118</x:f>
        <x:v>2122.2581325301203</x:v>
      </x:c>
      <x:c r="J118" s="9" t="n">
        <x:f>H118/G118</x:f>
        <x:v>7.704819277108434</x:v>
      </x:c>
      <x:c r="K118" s="10" t="n">
        <x:f>F118/D118</x:f>
        <x:v>0.5907644690236034</x:v>
      </x:c>
    </x:row>
    <x:row r="119" ht="22" customHeight="1">
      <x:c r="A119" s="8" t="str">
        <x:v>2020-09</x:v>
      </x:c>
      <x:c r="B119" s="12" t="n">
        <x:v>2020</x:v>
      </x:c>
      <x:c r="C119" s="8" t="str">
        <x:v>Online</x:v>
      </x:c>
      <x:c r="D119" s="8" t="n">
        <x:v>95574.59</x:v>
      </x:c>
      <x:c r="E119" s="8" t="n">
        <x:v>40982.45</x:v>
      </x:c>
      <x:c r="F119" s="8" t="n">
        <x:f>D119-E119</x:f>
        <x:v>54592.14</x:v>
      </x:c>
      <x:c r="G119" s="8" t="n">
        <x:v>53</x:v>
      </x:c>
      <x:c r="H119" s="8" t="n">
        <x:v>364</x:v>
      </x:c>
      <x:c r="I119" s="9" t="n">
        <x:f>D119/G119</x:f>
        <x:v>1803.294150943396</x:v>
      </x:c>
      <x:c r="J119" s="9" t="n">
        <x:f>H119/G119</x:f>
        <x:v>6.867924528301887</x:v>
      </x:c>
      <x:c r="K119" s="10" t="n">
        <x:f>F119/D119</x:f>
        <x:v>0.5711993114487858</x:v>
      </x:c>
    </x:row>
    <x:row r="120" ht="22" customHeight="1">
      <x:c r="A120" s="8" t="str">
        <x:v>2020-09</x:v>
      </x:c>
      <x:c r="B120" s="12" t="n">
        <x:v>2020</x:v>
      </x:c>
      <x:c r="C120" s="8" t="str">
        <x:v>Store</x:v>
      </x:c>
      <x:c r="D120" s="8" t="n">
        <x:v>284856.93</x:v>
      </x:c>
      <x:c r="E120" s="8" t="n">
        <x:v>117164.69</x:v>
      </x:c>
      <x:c r="F120" s="8" t="n">
        <x:f>D120-E120</x:f>
        <x:v>167692.24</x:v>
      </x:c>
      <x:c r="G120" s="8" t="n">
        <x:v>127</x:v>
      </x:c>
      <x:c r="H120" s="8" t="n">
        <x:v>964</x:v>
      </x:c>
      <x:c r="I120" s="9" t="n">
        <x:f>D120/G120</x:f>
        <x:v>2242.9679527559056</x:v>
      </x:c>
      <x:c r="J120" s="9" t="n">
        <x:f>H120/G120</x:f>
        <x:v>7.590551181102362</x:v>
      </x:c>
      <x:c r="K120" s="10" t="n">
        <x:f>F120/D120</x:f>
        <x:v>0.5886893466134034</x:v>
      </x:c>
    </x:row>
    <x:row r="121" ht="22" customHeight="1">
      <x:c r="A121" s="8" t="str">
        <x:v>2020-10</x:v>
      </x:c>
      <x:c r="B121" s="12" t="n">
        <x:v>2020</x:v>
      </x:c>
      <x:c r="C121" s="8" t="str">
        <x:v>Online</x:v>
      </x:c>
      <x:c r="D121" s="8" t="n">
        <x:v>62049.86</x:v>
      </x:c>
      <x:c r="E121" s="8" t="n">
        <x:v>27008.11</x:v>
      </x:c>
      <x:c r="F121" s="8" t="n">
        <x:f>D121-E121</x:f>
        <x:v>35041.75</x:v>
      </x:c>
      <x:c r="G121" s="8" t="n">
        <x:v>37</x:v>
      </x:c>
      <x:c r="H121" s="8" t="n">
        <x:v>235</x:v>
      </x:c>
      <x:c r="I121" s="9" t="n">
        <x:f>D121/G121</x:f>
        <x:v>1677.0232432432433</x:v>
      </x:c>
      <x:c r="J121" s="9" t="n">
        <x:f>H121/G121</x:f>
        <x:v>6.351351351351352</x:v>
      </x:c>
      <x:c r="K121" s="10" t="n">
        <x:f>F121/D121</x:f>
        <x:v>0.5647353595962988</x:v>
      </x:c>
    </x:row>
    <x:row r="122" ht="22" customHeight="1">
      <x:c r="A122" s="8" t="str">
        <x:v>2020-10</x:v>
      </x:c>
      <x:c r="B122" s="12" t="n">
        <x:v>2020</x:v>
      </x:c>
      <x:c r="C122" s="8" t="str">
        <x:v>Store</x:v>
      </x:c>
      <x:c r="D122" s="8" t="n">
        <x:v>183597.73</x:v>
      </x:c>
      <x:c r="E122" s="8" t="n">
        <x:v>77540.97</x:v>
      </x:c>
      <x:c r="F122" s="8" t="n">
        <x:f>D122-E122</x:f>
        <x:v>106056.76000000001</x:v>
      </x:c>
      <x:c r="G122" s="8" t="n">
        <x:v>122</x:v>
      </x:c>
      <x:c r="H122" s="8" t="n">
        <x:v>807</x:v>
      </x:c>
      <x:c r="I122" s="9" t="n">
        <x:f>D122/G122</x:f>
        <x:v>1504.8994262295082</x:v>
      </x:c>
      <x:c r="J122" s="9" t="n">
        <x:f>H122/G122</x:f>
        <x:v>6.614754098360656</x:v>
      </x:c>
      <x:c r="K122" s="10" t="n">
        <x:f>F122/D122</x:f>
        <x:v>0.5776583403291533</x:v>
      </x:c>
    </x:row>
    <x:row r="123" ht="22" customHeight="1">
      <x:c r="A123" s="8" t="str">
        <x:v>2020-11</x:v>
      </x:c>
      <x:c r="B123" s="12" t="n">
        <x:v>2020</x:v>
      </x:c>
      <x:c r="C123" s="8" t="str">
        <x:v>Online</x:v>
      </x:c>
      <x:c r="D123" s="8" t="n">
        <x:v>45275.51</x:v>
      </x:c>
      <x:c r="E123" s="8" t="n">
        <x:v>18979.55</x:v>
      </x:c>
      <x:c r="F123" s="8" t="n">
        <x:f>D123-E123</x:f>
        <x:v>26295.960000000003</x:v>
      </x:c>
      <x:c r="G123" s="8" t="n">
        <x:v>35</x:v>
      </x:c>
      <x:c r="H123" s="8" t="n">
        <x:v>231</x:v>
      </x:c>
      <x:c r="I123" s="9" t="n">
        <x:f>D123/G123</x:f>
        <x:v>1293.586</x:v>
      </x:c>
      <x:c r="J123" s="9" t="n">
        <x:f>H123/G123</x:f>
        <x:v>6.6</x:v>
      </x:c>
      <x:c r="K123" s="10" t="n">
        <x:f>F123/D123</x:f>
        <x:v>0.5807987585341391</x:v>
      </x:c>
    </x:row>
    <x:row r="124" ht="22" customHeight="1">
      <x:c r="A124" s="8" t="str">
        <x:v>2020-11</x:v>
      </x:c>
      <x:c r="B124" s="12" t="n">
        <x:v>2020</x:v>
      </x:c>
      <x:c r="C124" s="8" t="str">
        <x:v>Store</x:v>
      </x:c>
      <x:c r="D124" s="8" t="n">
        <x:v>211425.51</x:v>
      </x:c>
      <x:c r="E124" s="8" t="n">
        <x:v>88042.22</x:v>
      </x:c>
      <x:c r="F124" s="8" t="n">
        <x:f>D124-E124</x:f>
        <x:v>123383.29000000001</x:v>
      </x:c>
      <x:c r="G124" s="8" t="n">
        <x:v>114</x:v>
      </x:c>
      <x:c r="H124" s="8" t="n">
        <x:v>813</x:v>
      </x:c>
      <x:c r="I124" s="9" t="n">
        <x:f>D124/G124</x:f>
        <x:v>1854.6097368421053</x:v>
      </x:c>
      <x:c r="J124" s="9" t="n">
        <x:f>H124/G124</x:f>
        <x:v>7.131578947368421</x:v>
      </x:c>
      <x:c r="K124" s="10" t="n">
        <x:f>F124/D124</x:f>
        <x:v>0.5835780649175211</x:v>
      </x:c>
    </x:row>
    <x:row r="125" ht="22" customHeight="1">
      <x:c r="A125" s="8" t="str">
        <x:v>2020-12</x:v>
      </x:c>
      <x:c r="B125" s="12" t="n">
        <x:v>2020</x:v>
      </x:c>
      <x:c r="C125" s="8" t="str">
        <x:v>Online</x:v>
      </x:c>
      <x:c r="D125" s="8" t="n">
        <x:v>162631.75</x:v>
      </x:c>
      <x:c r="E125" s="8" t="n">
        <x:v>65457.92</x:v>
      </x:c>
      <x:c r="F125" s="8" t="n">
        <x:f>D125-E125</x:f>
        <x:v>97173.83</x:v>
      </x:c>
      <x:c r="G125" s="8" t="n">
        <x:v>86</x:v>
      </x:c>
      <x:c r="H125" s="8" t="n">
        <x:v>629</x:v>
      </x:c>
      <x:c r="I125" s="9" t="n">
        <x:f>D125/G125</x:f>
        <x:v>1891.0668604651162</x:v>
      </x:c>
      <x:c r="J125" s="9" t="n">
        <x:f>H125/G125</x:f>
        <x:v>7.313953488372093</x:v>
      </x:c>
      <x:c r="K125" s="10" t="n">
        <x:f>F125/D125</x:f>
        <x:v>0.5975083586077135</x:v>
      </x:c>
    </x:row>
    <x:row r="126" ht="22" customHeight="1">
      <x:c r="A126" s="8" t="str">
        <x:v>2020-12</x:v>
      </x:c>
      <x:c r="B126" s="12" t="n">
        <x:v>2020</x:v>
      </x:c>
      <x:c r="C126" s="8" t="str">
        <x:v>Store</x:v>
      </x:c>
      <x:c r="D126" s="8" t="n">
        <x:v>488894.69</x:v>
      </x:c>
      <x:c r="E126" s="8" t="n">
        <x:v>201410.86</x:v>
      </x:c>
      <x:c r="F126" s="8" t="n">
        <x:f>D126-E126</x:f>
        <x:v>287483.83</x:v>
      </x:c>
      <x:c r="G126" s="8" t="n">
        <x:v>232</x:v>
      </x:c>
      <x:c r="H126" s="8" t="n">
        <x:v>1782</x:v>
      </x:c>
      <x:c r="I126" s="9" t="n">
        <x:f>D126/G126</x:f>
        <x:v>2107.304698275862</x:v>
      </x:c>
      <x:c r="J126" s="9" t="n">
        <x:f>H126/G126</x:f>
        <x:v>7.681034482758621</x:v>
      </x:c>
      <x:c r="K126" s="10" t="n">
        <x:f>F126/D126</x:f>
        <x:v>0.5880281293298564</x:v>
      </x:c>
    </x:row>
    <x:row r="127" ht="22" customHeight="1">
      <x:c r="A127" s="8" t="str">
        <x:v>2021-01</x:v>
      </x:c>
      <x:c r="B127" s="12" t="n">
        <x:v>2021</x:v>
      </x:c>
      <x:c r="C127" s="8" t="str">
        <x:v>Online</x:v>
      </x:c>
      <x:c r="D127" s="8" t="n">
        <x:v>151507.32</x:v>
      </x:c>
      <x:c r="E127" s="8" t="n">
        <x:v>62581.86</x:v>
      </x:c>
      <x:c r="F127" s="8" t="n">
        <x:f>D127-E127</x:f>
        <x:v>88925.46</x:v>
      </x:c>
      <x:c r="G127" s="8" t="n">
        <x:v>68</x:v>
      </x:c>
      <x:c r="H127" s="8" t="n">
        <x:v>485</x:v>
      </x:c>
      <x:c r="I127" s="9" t="n">
        <x:f>D127/G127</x:f>
        <x:v>2228.048823529412</x:v>
      </x:c>
      <x:c r="J127" s="9" t="n">
        <x:f>H127/G127</x:f>
        <x:v>7.132352941176471</x:v>
      </x:c>
      <x:c r="K127" s="10" t="n">
        <x:f>F127/D127</x:f>
        <x:v>0.5869383736706583</x:v>
      </x:c>
    </x:row>
    <x:row r="128" ht="22" customHeight="1">
      <x:c r="A128" s="8" t="str">
        <x:v>2021-01</x:v>
      </x:c>
      <x:c r="B128" s="12" t="n">
        <x:v>2021</x:v>
      </x:c>
      <x:c r="C128" s="8" t="str">
        <x:v>Store</x:v>
      </x:c>
      <x:c r="D128" s="8" t="n">
        <x:v>361514.26</x:v>
      </x:c>
      <x:c r="E128" s="8" t="n">
        <x:v>149960.01</x:v>
      </x:c>
      <x:c r="F128" s="8" t="n">
        <x:f>D128-E128</x:f>
        <x:v>211554.25</x:v>
      </x:c>
      <x:c r="G128" s="8" t="n">
        <x:v>188</x:v>
      </x:c>
      <x:c r="H128" s="8" t="n">
        <x:v>1363</x:v>
      </x:c>
      <x:c r="I128" s="9" t="n">
        <x:f>D128/G128</x:f>
        <x:v>1922.9481914893618</x:v>
      </x:c>
      <x:c r="J128" s="9" t="n">
        <x:f>H128/G128</x:f>
        <x:v>7.25</x:v>
      </x:c>
      <x:c r="K128" s="10" t="n">
        <x:f>F128/D128</x:f>
        <x:v>0.585189226007295</x:v>
      </x:c>
    </x:row>
    <x:row r="129" ht="22" customHeight="1">
      <x:c r="A129" s="8" t="str">
        <x:v>2021-02</x:v>
      </x:c>
      <x:c r="B129" s="12" t="n">
        <x:v>2021</x:v>
      </x:c>
      <x:c r="C129" s="8" t="str">
        <x:v>Online</x:v>
      </x:c>
      <x:c r="D129" s="8" t="n">
        <x:v>134270.28</x:v>
      </x:c>
      <x:c r="E129" s="8" t="n">
        <x:v>55775.7</x:v>
      </x:c>
      <x:c r="F129" s="8" t="n">
        <x:f>D129-E129</x:f>
        <x:v>78494.58</x:v>
      </x:c>
      <x:c r="G129" s="8" t="n">
        <x:v>70</x:v>
      </x:c>
      <x:c r="H129" s="8" t="n">
        <x:v>552</x:v>
      </x:c>
      <x:c r="I129" s="9" t="n">
        <x:f>D129/G129</x:f>
        <x:v>1918.146857142857</x:v>
      </x:c>
      <x:c r="J129" s="9" t="n">
        <x:f>H129/G129</x:f>
        <x:v>7.885714285714286</x:v>
      </x:c>
      <x:c r="K129" s="10" t="n">
        <x:f>F129/D129</x:f>
        <x:v>0.5846012982172972</x:v>
      </x:c>
    </x:row>
    <x:row r="130" ht="22" customHeight="1">
      <x:c r="A130" s="8" t="str">
        <x:v>2021-02</x:v>
      </x:c>
      <x:c r="B130" s="12" t="n">
        <x:v>2021</x:v>
      </x:c>
      <x:c r="C130" s="8" t="str">
        <x:v>Store</x:v>
      </x:c>
      <x:c r="D130" s="8" t="n">
        <x:v>391996.62</x:v>
      </x:c>
      <x:c r="E130" s="8" t="n">
        <x:v>162507.22</x:v>
      </x:c>
      <x:c r="F130" s="8" t="n">
        <x:f>D130-E130</x:f>
        <x:v>229489.4</x:v>
      </x:c>
      <x:c r="G130" s="8" t="n">
        <x:v>172</x:v>
      </x:c>
      <x:c r="H130" s="8" t="n">
        <x:v>1397</x:v>
      </x:c>
      <x:c r="I130" s="9" t="n">
        <x:f>D130/G130</x:f>
        <x:v>2279.0501162790697</x:v>
      </x:c>
      <x:c r="J130" s="9" t="n">
        <x:f>H130/G130</x:f>
        <x:v>8.122093023255815</x:v>
      </x:c>
      <x:c r="K130" s="10" t="n">
        <x:f>F130/D130</x:f>
        <x:v>0.5854371907594509</x:v>
      </x:c>
    </x:row>
    <x:row r="131" ht="22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 ht="22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 ht="2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2D4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E4. Product category contribution (USD)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22" customHeight="1">
      <x:c r="A4" s="2" t="str">
        <x:v>Distinct orders within each category overlap across categories. Do not add category order counts.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7" t="str">
        <x:v>Year</x:v>
      </x:c>
      <x:c r="B6" s="7" t="str">
        <x:v>Category</x:v>
      </x:c>
      <x:c r="C6" s="7" t="str">
        <x:v>Est. sales</x:v>
      </x:c>
      <x:c r="D6" s="7" t="str">
        <x:v>Cost</x:v>
      </x:c>
      <x:c r="E6" s="7" t="str">
        <x:v>Est. gross profit</x:v>
      </x:c>
      <x:c r="F6" s="7" t="str">
        <x:v>Units</x:v>
      </x:c>
      <x:c r="G6" s="7" t="str">
        <x:v>Orders</x:v>
      </x:c>
      <x:c r="H6" s="7" t="str">
        <x:v>Margin</x:v>
      </x:c>
    </x:row>
    <x:row r="7" ht="22" customHeight="1">
      <x:c r="A7" s="12" t="n">
        <x:v>2016</x:v>
      </x:c>
      <x:c r="B7" s="8" t="str">
        <x:v>Audio</x:v>
      </x:c>
      <x:c r="C7" s="8" t="n">
        <x:v>339347.76</x:v>
      </x:c>
      <x:c r="D7" s="8" t="n">
        <x:v>144487.3</x:v>
      </x:c>
      <x:c r="E7" s="8" t="n">
        <x:f>C7-D7</x:f>
        <x:v>194860.46000000002</x:v>
      </x:c>
      <x:c r="F7" s="8" t="n">
        <x:v>2492</x:v>
      </x:c>
      <x:c r="G7" s="8" t="n">
        <x:v>695</x:v>
      </x:c>
      <x:c r="H7" s="10" t="n">
        <x:f>E7/C7</x:f>
        <x:v>0.5742205576957397</x:v>
      </x:c>
    </x:row>
    <x:row r="8" ht="22" customHeight="1">
      <x:c r="A8" s="12" t="n">
        <x:v>2016</x:v>
      </x:c>
      <x:c r="B8" s="8" t="str">
        <x:v>Cameras and camcorders</x:v>
      </x:c>
      <x:c r="C8" s="8" t="n">
        <x:v>946180.01</x:v>
      </x:c>
      <x:c r="D8" s="8" t="n">
        <x:v>379509.12</x:v>
      </x:c>
      <x:c r="E8" s="8" t="n">
        <x:f>C8-D8</x:f>
        <x:v>566670.89</x:v>
      </x:c>
      <x:c r="F8" s="8" t="n">
        <x:v>2565</x:v>
      </x:c>
      <x:c r="G8" s="8" t="n">
        <x:v>680</x:v>
      </x:c>
      <x:c r="H8" s="10" t="n">
        <x:f>E8/C8</x:f>
        <x:v>0.5989038914487318</x:v>
      </x:c>
    </x:row>
    <x:row r="9" ht="22" customHeight="1">
      <x:c r="A9" s="12" t="n">
        <x:v>2016</x:v>
      </x:c>
      <x:c r="B9" s="8" t="str">
        <x:v>Cell phones</x:v>
      </x:c>
      <x:c r="C9" s="8" t="n">
        <x:v>429497.27</x:v>
      </x:c>
      <x:c r="D9" s="8" t="n">
        <x:v>187103.76</x:v>
      </x:c>
      <x:c r="E9" s="8" t="n">
        <x:f>C9-D9</x:f>
        <x:v>242393.51</x:v>
      </x:c>
      <x:c r="F9" s="8" t="n">
        <x:v>2277</x:v>
      </x:c>
      <x:c r="G9" s="8" t="n">
        <x:v>643</x:v>
      </x:c>
      <x:c r="H9" s="10" t="n">
        <x:f>E9/C9</x:f>
        <x:v>0.5643656594138537</x:v>
      </x:c>
    </x:row>
    <x:row r="10" ht="22" customHeight="1">
      <x:c r="A10" s="12" t="n">
        <x:v>2016</x:v>
      </x:c>
      <x:c r="B10" s="8" t="str">
        <x:v>Computers</x:v>
      </x:c>
      <x:c r="C10" s="8" t="n">
        <x:v>1496820.33</x:v>
      </x:c>
      <x:c r="D10" s="8" t="n">
        <x:v>620728.29</x:v>
      </x:c>
      <x:c r="E10" s="8" t="n">
        <x:f>C10-D10</x:f>
        <x:v>876092.04</x:v>
      </x:c>
      <x:c r="F10" s="8" t="n">
        <x:v>3435</x:v>
      </x:c>
      <x:c r="G10" s="8" t="n">
        <x:v>890</x:v>
      </x:c>
      <x:c r="H10" s="10" t="n">
        <x:f>E10/C10</x:f>
        <x:v>0.58530207162539</x:v>
      </x:c>
    </x:row>
    <x:row r="11" ht="22" customHeight="1">
      <x:c r="A11" s="12" t="n">
        <x:v>2016</x:v>
      </x:c>
      <x:c r="B11" s="8" t="str">
        <x:v>Games and Toys</x:v>
      </x:c>
      <x:c r="C11" s="8" t="n">
        <x:v>52529.59</x:v>
      </x:c>
      <x:c r="D11" s="8" t="n">
        <x:v>24271.23</x:v>
      </x:c>
      <x:c r="E11" s="8" t="n">
        <x:f>C11-D11</x:f>
        <x:v>28258.359999999997</x:v>
      </x:c>
      <x:c r="F11" s="8" t="n">
        <x:v>1710</x:v>
      </x:c>
      <x:c r="G11" s="8" t="n">
        <x:v>500</x:v>
      </x:c>
      <x:c r="H11" s="10" t="n">
        <x:f>E11/C11</x:f>
        <x:v>0.537951276604291</x:v>
      </x:c>
    </x:row>
    <x:row r="12" ht="22" customHeight="1">
      <x:c r="A12" s="12" t="n">
        <x:v>2016</x:v>
      </x:c>
      <x:c r="B12" s="8" t="str">
        <x:v>Home Appliances</x:v>
      </x:c>
      <x:c r="C12" s="8" t="n">
        <x:v>2010476.12</x:v>
      </x:c>
      <x:c r="D12" s="8" t="n">
        <x:v>817178.65</x:v>
      </x:c>
      <x:c r="E12" s="8" t="n">
        <x:f>C12-D12</x:f>
        <x:v>1193297.4700000002</x:v>
      </x:c>
      <x:c r="F12" s="8" t="n">
        <x:v>3363</x:v>
      </x:c>
      <x:c r="G12" s="8" t="n">
        <x:v>910</x:v>
      </x:c>
      <x:c r="H12" s="10" t="n">
        <x:f>E12/C12</x:f>
        <x:v>0.5935397382387213</x:v>
      </x:c>
    </x:row>
    <x:row r="13" ht="22" customHeight="1">
      <x:c r="A13" s="12" t="n">
        <x:v>2016</x:v>
      </x:c>
      <x:c r="B13" s="8" t="str">
        <x:v>Music, Movies and Audio Books</x:v>
      </x:c>
      <x:c r="C13" s="8" t="n">
        <x:v>405566.38</x:v>
      </x:c>
      <x:c r="D13" s="8" t="n">
        <x:v>158651.22</x:v>
      </x:c>
      <x:c r="E13" s="8" t="n">
        <x:f>C13-D13</x:f>
        <x:v>246915.16</x:v>
      </x:c>
      <x:c r="F13" s="8" t="n">
        <x:v>3607</x:v>
      </x:c>
      <x:c r="G13" s="8" t="n">
        <x:v>1001</x:v>
      </x:c>
      <x:c r="H13" s="10" t="n">
        <x:f>E13/C13</x:f>
        <x:v>0.6088156518299175</x:v>
      </x:c>
    </x:row>
    <x:row r="14" ht="22" customHeight="1">
      <x:c r="A14" s="12" t="n">
        <x:v>2016</x:v>
      </x:c>
      <x:c r="B14" s="8" t="str">
        <x:v>TV and Video</x:v>
      </x:c>
      <x:c r="C14" s="8" t="n">
        <x:v>1266376.1</x:v>
      </x:c>
      <x:c r="D14" s="8" t="n">
        <x:v>507863.52</x:v>
      </x:c>
      <x:c r="E14" s="8" t="n">
        <x:f>C14-D14</x:f>
        <x:v>758512.5800000001</x:v>
      </x:c>
      <x:c r="F14" s="8" t="n">
        <x:v>2312</x:v>
      </x:c>
      <x:c r="G14" s="8" t="n">
        <x:v>652</x:v>
      </x:c>
      <x:c r="H14" s="10" t="n">
        <x:f>E14/C14</x:f>
        <x:v>0.5989631200399312</x:v>
      </x:c>
    </x:row>
    <x:row r="15" ht="22" customHeight="1">
      <x:c r="A15" s="12" t="n">
        <x:v>2017</x:v>
      </x:c>
      <x:c r="B15" s="8" t="str">
        <x:v>Audio</x:v>
      </x:c>
      <x:c r="C15" s="8" t="n">
        <x:v>472047.95</x:v>
      </x:c>
      <x:c r="D15" s="8" t="n">
        <x:v>200150.87</x:v>
      </x:c>
      <x:c r="E15" s="8" t="n">
        <x:f>C15-D15</x:f>
        <x:v>271897.08</x:v>
      </x:c>
      <x:c r="F15" s="8" t="n">
        <x:v>3488</x:v>
      </x:c>
      <x:c r="G15" s="8" t="n">
        <x:v>970</x:v>
      </x:c>
      <x:c r="H15" s="10" t="n">
        <x:f>E15/C15</x:f>
        <x:v>0.5759946208854418</x:v>
      </x:c>
    </x:row>
    <x:row r="16" ht="22" customHeight="1">
      <x:c r="A16" s="12" t="n">
        <x:v>2017</x:v>
      </x:c>
      <x:c r="B16" s="8" t="str">
        <x:v>Cameras and camcorders</x:v>
      </x:c>
      <x:c r="C16" s="8" t="n">
        <x:v>721318.38</x:v>
      </x:c>
      <x:c r="D16" s="8" t="n">
        <x:v>283340.46</x:v>
      </x:c>
      <x:c r="E16" s="8" t="n">
        <x:f>C16-D16</x:f>
        <x:v>437977.92</x:v>
      </x:c>
      <x:c r="F16" s="8" t="n">
        <x:v>1870</x:v>
      </x:c>
      <x:c r="G16" s="8" t="n">
        <x:v>545</x:v>
      </x:c>
      <x:c r="H16" s="10" t="n">
        <x:f>E16/C16</x:f>
        <x:v>0.6071908496217717</x:v>
      </x:c>
    </x:row>
    <x:row r="17" ht="22" customHeight="1">
      <x:c r="A17" s="12" t="n">
        <x:v>2017</x:v>
      </x:c>
      <x:c r="B17" s="8" t="str">
        <x:v>Cell phones</x:v>
      </x:c>
      <x:c r="C17" s="8" t="n">
        <x:v>653410.88</x:v>
      </x:c>
      <x:c r="D17" s="8" t="n">
        <x:v>281983.28</x:v>
      </x:c>
      <x:c r="E17" s="8" t="n">
        <x:f>C17-D17</x:f>
        <x:v>371427.6</x:v>
      </x:c>
      <x:c r="F17" s="8" t="n">
        <x:v>3299</x:v>
      </x:c>
      <x:c r="G17" s="8" t="n">
        <x:v>939</x:v>
      </x:c>
      <x:c r="H17" s="10" t="n">
        <x:f>E17/C17</x:f>
        <x:v>0.5684441618113245</x:v>
      </x:c>
    </x:row>
    <x:row r="18" ht="22" customHeight="1">
      <x:c r="A18" s="12" t="n">
        <x:v>2017</x:v>
      </x:c>
      <x:c r="B18" s="8" t="str">
        <x:v>Computers</x:v>
      </x:c>
      <x:c r="C18" s="8" t="n">
        <x:v>2228431.91</x:v>
      </x:c>
      <x:c r="D18" s="8" t="n">
        <x:v>932181.45</x:v>
      </x:c>
      <x:c r="E18" s="8" t="n">
        <x:f>C18-D18</x:f>
        <x:v>1296250.4600000002</x:v>
      </x:c>
      <x:c r="F18" s="8" t="n">
        <x:v>5269</x:v>
      </x:c>
      <x:c r="G18" s="8" t="n">
        <x:v>1338</x:v>
      </x:c>
      <x:c r="H18" s="10" t="n">
        <x:f>E18/C18</x:f>
        <x:v>0.5816872636687384</x:v>
      </x:c>
    </x:row>
    <x:row r="19" ht="22" customHeight="1">
      <x:c r="A19" s="12" t="n">
        <x:v>2017</x:v>
      </x:c>
      <x:c r="B19" s="8" t="str">
        <x:v>Games and Toys</x:v>
      </x:c>
      <x:c r="C19" s="8" t="n">
        <x:v>63581.86</x:v>
      </x:c>
      <x:c r="D19" s="8" t="n">
        <x:v>28751.26</x:v>
      </x:c>
      <x:c r="E19" s="8" t="n">
        <x:f>C19-D19</x:f>
        <x:v>34830.600000000006</x:v>
      </x:c>
      <x:c r="F19" s="8" t="n">
        <x:v>1766</x:v>
      </x:c>
      <x:c r="G19" s="8" t="n">
        <x:v>511</x:v>
      </x:c>
      <x:c r="H19" s="10" t="n">
        <x:f>E19/C19</x:f>
        <x:v>0.5478071890315886</x:v>
      </x:c>
    </x:row>
    <x:row r="20" ht="22" customHeight="1">
      <x:c r="A20" s="12" t="n">
        <x:v>2017</x:v>
      </x:c>
      <x:c r="B20" s="8" t="str">
        <x:v>Home Appliances</x:v>
      </x:c>
      <x:c r="C20" s="8" t="n">
        <x:v>2065843.64</x:v>
      </x:c>
      <x:c r="D20" s="8" t="n">
        <x:v>870343.9199999999</x:v>
      </x:c>
      <x:c r="E20" s="8" t="n">
        <x:f>C20-D20</x:f>
        <x:v>1195499.72</x:v>
      </x:c>
      <x:c r="F20" s="8" t="n">
        <x:v>3712</x:v>
      </x:c>
      <x:c r="G20" s="8" t="n">
        <x:v>984</x:v>
      </x:c>
      <x:c r="H20" s="10" t="n">
        <x:f>E20/C20</x:f>
        <x:v>0.578698066422878</x:v>
      </x:c>
    </x:row>
    <x:row r="21" ht="22" customHeight="1">
      <x:c r="A21" s="12" t="n">
        <x:v>2017</x:v>
      </x:c>
      <x:c r="B21" s="8" t="str">
        <x:v>Music, Movies and Audio Books</x:v>
      </x:c>
      <x:c r="C21" s="8" t="n">
        <x:v>397432.57</x:v>
      </x:c>
      <x:c r="D21" s="8" t="n">
        <x:v>155088.01</x:v>
      </x:c>
      <x:c r="E21" s="8" t="n">
        <x:f>C21-D21</x:f>
        <x:v>242344.56</x:v>
      </x:c>
      <x:c r="F21" s="8" t="n">
        <x:v>3722</x:v>
      </x:c>
      <x:c r="G21" s="8" t="n">
        <x:v>953</x:v>
      </x:c>
      <x:c r="H21" s="10" t="n">
        <x:f>E21/C21</x:f>
        <x:v>0.6097752884218824</x:v>
      </x:c>
    </x:row>
    <x:row r="22" ht="22" customHeight="1">
      <x:c r="A22" s="12" t="n">
        <x:v>2017</x:v>
      </x:c>
      <x:c r="B22" s="8" t="str">
        <x:v>TV and Video</x:v>
      </x:c>
      <x:c r="C22" s="8" t="n">
        <x:v>819355.08</x:v>
      </x:c>
      <x:c r="D22" s="8" t="n">
        <x:v>332518.96</x:v>
      </x:c>
      <x:c r="E22" s="8" t="n">
        <x:f>C22-D22</x:f>
        <x:v>486836.11999999994</x:v>
      </x:c>
      <x:c r="F22" s="8" t="n">
        <x:v>1672</x:v>
      </x:c>
      <x:c r="G22" s="8" t="n">
        <x:v>520</x:v>
      </x:c>
      <x:c r="H22" s="10" t="n">
        <x:f>E22/C22</x:f>
        <x:v>0.5941698927405197</x:v>
      </x:c>
    </x:row>
    <x:row r="23" ht="22" customHeight="1">
      <x:c r="A23" s="12" t="n">
        <x:v>2018</x:v>
      </x:c>
      <x:c r="B23" s="8" t="str">
        <x:v>Audio</x:v>
      </x:c>
      <x:c r="C23" s="8" t="n">
        <x:v>798011.81</x:v>
      </x:c>
      <x:c r="D23" s="8" t="n">
        <x:v>336429.08</x:v>
      </x:c>
      <x:c r="E23" s="8" t="n">
        <x:f>C23-D23</x:f>
        <x:v>461582.73000000004</x:v>
      </x:c>
      <x:c r="F23" s="8" t="n">
        <x:v>5872</x:v>
      </x:c>
      <x:c r="G23" s="8" t="n">
        <x:v>1643</x:v>
      </x:c>
      <x:c r="H23" s="10" t="n">
        <x:f>E23/C23</x:f>
        <x:v>0.5784159134186247</x:v>
      </x:c>
    </x:row>
    <x:row r="24" ht="22" customHeight="1">
      <x:c r="A24" s="12" t="n">
        <x:v>2018</x:v>
      </x:c>
      <x:c r="B24" s="8" t="str">
        <x:v>Cameras and camcorders</x:v>
      </x:c>
      <x:c r="C24" s="8" t="n">
        <x:v>1254125.63</x:v>
      </x:c>
      <x:c r="D24" s="8" t="n">
        <x:v>498837.94</x:v>
      </x:c>
      <x:c r="E24" s="8" t="n">
        <x:f>C24-D24</x:f>
        <x:v>755287.69</x:v>
      </x:c>
      <x:c r="F24" s="8" t="n">
        <x:v>3374</x:v>
      </x:c>
      <x:c r="G24" s="8" t="n">
        <x:v>974</x:v>
      </x:c>
      <x:c r="H24" s="10" t="n">
        <x:f>E24/C24</x:f>
        <x:v>0.6022424483901186</x:v>
      </x:c>
    </x:row>
    <x:row r="25" ht="22" customHeight="1">
      <x:c r="A25" s="12" t="n">
        <x:v>2018</x:v>
      </x:c>
      <x:c r="B25" s="8" t="str">
        <x:v>Cell phones</x:v>
      </x:c>
      <x:c r="C25" s="8" t="n">
        <x:v>1372745.57</x:v>
      </x:c>
      <x:c r="D25" s="8" t="n">
        <x:v>598300.76</x:v>
      </x:c>
      <x:c r="E25" s="8" t="n">
        <x:f>C25-D25</x:f>
        <x:v>774444.81</x:v>
      </x:c>
      <x:c r="F25" s="8" t="n">
        <x:v>7026</x:v>
      </x:c>
      <x:c r="G25" s="8" t="n">
        <x:v>1880</x:v>
      </x:c>
      <x:c r="H25" s="10" t="n">
        <x:f>E25/C25</x:f>
        <x:v>0.5641575736427253</x:v>
      </x:c>
    </x:row>
    <x:row r="26" ht="22" customHeight="1">
      <x:c r="A26" s="12" t="n">
        <x:v>2018</x:v>
      </x:c>
      <x:c r="B26" s="8" t="str">
        <x:v>Computers</x:v>
      </x:c>
      <x:c r="C26" s="8" t="n">
        <x:v>4507043.96</x:v>
      </x:c>
      <x:c r="D26" s="8" t="n">
        <x:v>1880642.31</x:v>
      </x:c>
      <x:c r="E26" s="8" t="n">
        <x:f>C26-D26</x:f>
        <x:v>2626401.65</x:v>
      </x:c>
      <x:c r="F26" s="8" t="n">
        <x:v>10321</x:v>
      </x:c>
      <x:c r="G26" s="8" t="n">
        <x:v>2557</x:v>
      </x:c>
      <x:c r="H26" s="10" t="n">
        <x:f>E26/C26</x:f>
        <x:v>0.5827326454566021</x:v>
      </x:c>
    </x:row>
    <x:row r="27" ht="22" customHeight="1">
      <x:c r="A27" s="12" t="n">
        <x:v>2018</x:v>
      </x:c>
      <x:c r="B27" s="8" t="str">
        <x:v>Games and Toys</x:v>
      </x:c>
      <x:c r="C27" s="8" t="n">
        <x:v>143730.36</x:v>
      </x:c>
      <x:c r="D27" s="8" t="n">
        <x:v>65259.35</x:v>
      </x:c>
      <x:c r="E27" s="8" t="n">
        <x:f>C27-D27</x:f>
        <x:v>78471.00999999998</x:v>
      </x:c>
      <x:c r="F27" s="8" t="n">
        <x:v>4426</x:v>
      </x:c>
      <x:c r="G27" s="8" t="n">
        <x:v>1249</x:v>
      </x:c>
      <x:c r="H27" s="10" t="n">
        <x:f>E27/C27</x:f>
        <x:v>0.5459598793184682</x:v>
      </x:c>
    </x:row>
    <x:row r="28" ht="22" customHeight="1">
      <x:c r="A28" s="12" t="n">
        <x:v>2018</x:v>
      </x:c>
      <x:c r="B28" s="8" t="str">
        <x:v>Home Appliances</x:v>
      </x:c>
      <x:c r="C28" s="8" t="n">
        <x:v>2834487.33</x:v>
      </x:c>
      <x:c r="D28" s="8" t="n">
        <x:v>1189856.2</x:v>
      </x:c>
      <x:c r="E28" s="8" t="n">
        <x:f>C28-D28</x:f>
        <x:v>1644631.1300000001</x:v>
      </x:c>
      <x:c r="F28" s="8" t="n">
        <x:v>4759</x:v>
      </x:c>
      <x:c r="G28" s="8" t="n">
        <x:v>1354</x:v>
      </x:c>
      <x:c r="H28" s="10" t="n">
        <x:f>E28/C28</x:f>
        <x:v>0.5802217256691707</x:v>
      </x:c>
    </x:row>
    <x:row r="29" ht="22" customHeight="1">
      <x:c r="A29" s="12" t="n">
        <x:v>2018</x:v>
      </x:c>
      <x:c r="B29" s="8" t="str">
        <x:v>Music, Movies and Audio Books</x:v>
      </x:c>
      <x:c r="C29" s="8" t="n">
        <x:v>685150.86</x:v>
      </x:c>
      <x:c r="D29" s="8" t="n">
        <x:v>266555.89</x:v>
      </x:c>
      <x:c r="E29" s="8" t="n">
        <x:f>C29-D29</x:f>
        <x:v>418594.97</x:v>
      </x:c>
      <x:c r="F29" s="8" t="n">
        <x:v>6373</x:v>
      </x:c>
      <x:c r="G29" s="8" t="n">
        <x:v>1749</x:v>
      </x:c>
      <x:c r="H29" s="10" t="n">
        <x:f>E29/C29</x:f>
        <x:v>0.6109529950819882</x:v>
      </x:c>
    </x:row>
    <x:row r="30" ht="22" customHeight="1">
      <x:c r="A30" s="12" t="n">
        <x:v>2018</x:v>
      </x:c>
      <x:c r="B30" s="8" t="str">
        <x:v>TV and Video</x:v>
      </x:c>
      <x:c r="C30" s="8" t="n">
        <x:v>1193665.14</x:v>
      </x:c>
      <x:c r="D30" s="8" t="n">
        <x:v>488118.02</x:v>
      </x:c>
      <x:c r="E30" s="8" t="n">
        <x:f>C30-D30</x:f>
        <x:v>705547.1199999999</x:v>
      </x:c>
      <x:c r="F30" s="8" t="n">
        <x:v>2347</x:v>
      </x:c>
      <x:c r="G30" s="8" t="n">
        <x:v>694</x:v>
      </x:c>
      <x:c r="H30" s="10" t="n">
        <x:f>E30/C30</x:f>
        <x:v>0.5910762544343047</x:v>
      </x:c>
    </x:row>
    <x:row r="31" ht="22" customHeight="1">
      <x:c r="A31" s="12" t="n">
        <x:v>2019</x:v>
      </x:c>
      <x:c r="B31" s="8" t="str">
        <x:v>Audio</x:v>
      </x:c>
      <x:c r="C31" s="8" t="n">
        <x:v>1064197.77</x:v>
      </x:c>
      <x:c r="D31" s="8" t="n">
        <x:v>450903.43</x:v>
      </x:c>
      <x:c r="E31" s="8" t="n">
        <x:f>C31-D31</x:f>
        <x:v>613294.3400000001</x:v>
      </x:c>
      <x:c r="F31" s="8" t="n">
        <x:v>7959</x:v>
      </x:c>
      <x:c r="G31" s="8" t="n">
        <x:v>2257</x:v>
      </x:c>
      <x:c r="H31" s="10" t="n">
        <x:f>E31/C31</x:f>
        <x:v>0.5762973361614919</x:v>
      </x:c>
    </x:row>
    <x:row r="32" ht="22" customHeight="1">
      <x:c r="A32" s="12" t="n">
        <x:v>2019</x:v>
      </x:c>
      <x:c r="B32" s="8" t="str">
        <x:v>Cameras and camcorders</x:v>
      </x:c>
      <x:c r="C32" s="8" t="n">
        <x:v>2260124.97</x:v>
      </x:c>
      <x:c r="D32" s="8" t="n">
        <x:v>906542.64</x:v>
      </x:c>
      <x:c r="E32" s="8" t="n">
        <x:f>C32-D32</x:f>
        <x:v>1353582.33</x:v>
      </x:c>
      <x:c r="F32" s="8" t="n">
        <x:v>6207</x:v>
      </x:c>
      <x:c r="G32" s="8" t="n">
        <x:v>1776</x:v>
      </x:c>
      <x:c r="H32" s="10" t="n">
        <x:f>E32/C32</x:f>
        <x:v>0.5988971176226596</x:v>
      </x:c>
    </x:row>
    <x:row r="33" ht="22" customHeight="1">
      <x:c r="A33" s="12" t="n">
        <x:v>2019</x:v>
      </x:c>
      <x:c r="B33" s="8" t="str">
        <x:v>Cell phones</x:v>
      </x:c>
      <x:c r="C33" s="8" t="n">
        <x:v>2311957.73</x:v>
      </x:c>
      <x:c r="D33" s="8" t="n">
        <x:v>1002810.28</x:v>
      </x:c>
      <x:c r="E33" s="8" t="n">
        <x:f>C33-D33</x:f>
        <x:v>1309147.45</x:v>
      </x:c>
      <x:c r="F33" s="8" t="n">
        <x:v>11728</x:v>
      </x:c>
      <x:c r="G33" s="8" t="n">
        <x:v>3101</x:v>
      </x:c>
      <x:c r="H33" s="10" t="n">
        <x:f>E33/C33</x:f>
        <x:v>0.5662505992270023</x:v>
      </x:c>
    </x:row>
    <x:row r="34" ht="22" customHeight="1">
      <x:c r="A34" s="12" t="n">
        <x:v>2019</x:v>
      </x:c>
      <x:c r="B34" s="8" t="str">
        <x:v>Computers</x:v>
      </x:c>
      <x:c r="C34" s="8" t="n">
        <x:v>6958430.89</x:v>
      </x:c>
      <x:c r="D34" s="8" t="n">
        <x:v>2893509.34</x:v>
      </x:c>
      <x:c r="E34" s="8" t="n">
        <x:f>C34-D34</x:f>
        <x:v>4064921.55</x:v>
      </x:c>
      <x:c r="F34" s="8" t="n">
        <x:v>16203</x:v>
      </x:c>
      <x:c r="G34" s="8" t="n">
        <x:v>3962</x:v>
      </x:c>
      <x:c r="H34" s="10" t="n">
        <x:f>E34/C34</x:f>
        <x:v>0.5841721523514334</x:v>
      </x:c>
    </x:row>
    <x:row r="35" ht="22" customHeight="1">
      <x:c r="A35" s="12" t="n">
        <x:v>2019</x:v>
      </x:c>
      <x:c r="B35" s="8" t="str">
        <x:v>Games and Toys</x:v>
      </x:c>
      <x:c r="C35" s="8" t="n">
        <x:v>295643.31</x:v>
      </x:c>
      <x:c r="D35" s="8" t="n">
        <x:v>133364.93</x:v>
      </x:c>
      <x:c r="E35" s="8" t="n">
        <x:f>C35-D35</x:f>
        <x:v>162278.38</x:v>
      </x:c>
      <x:c r="F35" s="8" t="n">
        <x:v>9278</x:v>
      </x:c>
      <x:c r="G35" s="8" t="n">
        <x:v>2451</x:v>
      </x:c>
      <x:c r="H35" s="10" t="n">
        <x:f>E35/C35</x:f>
        <x:v>0.5488992123650624</x:v>
      </x:c>
    </x:row>
    <x:row r="36" ht="22" customHeight="1">
      <x:c r="A36" s="12" t="n">
        <x:v>2019</x:v>
      </x:c>
      <x:c r="B36" s="8" t="str">
        <x:v>Home Appliances</x:v>
      </x:c>
      <x:c r="C36" s="8" t="n">
        <x:v>2700287.88</x:v>
      </x:c>
      <x:c r="D36" s="8" t="n">
        <x:v>1124719.14</x:v>
      </x:c>
      <x:c r="E36" s="8" t="n">
        <x:f>C36-D36</x:f>
        <x:v>1575568.74</x:v>
      </x:c>
      <x:c r="F36" s="8" t="n">
        <x:v>4631</x:v>
      </x:c>
      <x:c r="G36" s="8" t="n">
        <x:v>1361</x:v>
      </x:c>
      <x:c r="H36" s="10" t="n">
        <x:f>E36/C36</x:f>
        <x:v>0.5834817656552975</x:v>
      </x:c>
    </x:row>
    <x:row r="37" ht="22" customHeight="1">
      <x:c r="A37" s="12" t="n">
        <x:v>2019</x:v>
      </x:c>
      <x:c r="B37" s="8" t="str">
        <x:v>Music, Movies and Audio Books</x:v>
      </x:c>
      <x:c r="C37" s="8" t="n">
        <x:v>1008971.4500000001</x:v>
      </x:c>
      <x:c r="D37" s="8" t="n">
        <x:v>394225.54</x:v>
      </x:c>
      <x:c r="E37" s="8" t="n">
        <x:f>C37-D37</x:f>
        <x:v>614745.9100000001</x:v>
      </x:c>
      <x:c r="F37" s="8" t="n">
        <x:v>9494</x:v>
      </x:c>
      <x:c r="G37" s="8" t="n">
        <x:v>2559</x:v>
      </x:c>
      <x:c r="H37" s="10" t="n">
        <x:f>E37/C37</x:f>
        <x:v>0.609279786856209</x:v>
      </x:c>
    </x:row>
    <x:row r="38" ht="22" customHeight="1">
      <x:c r="A38" s="12" t="n">
        <x:v>2019</x:v>
      </x:c>
      <x:c r="B38" s="8" t="str">
        <x:v>TV and Video</x:v>
      </x:c>
      <x:c r="C38" s="8" t="n">
        <x:v>1664768.48</x:v>
      </x:c>
      <x:c r="D38" s="8" t="n">
        <x:v>660568.28</x:v>
      </x:c>
      <x:c r="E38" s="8" t="n">
        <x:f>C38-D38</x:f>
        <x:v>1004200.2</x:v>
      </x:c>
      <x:c r="F38" s="8" t="n">
        <x:v>2940</x:v>
      </x:c>
      <x:c r="G38" s="8" t="n">
        <x:v>883</x:v>
      </x:c>
      <x:c r="H38" s="10" t="n">
        <x:f>E38/C38</x:f>
        <x:v>0.6032071198272567</x:v>
      </x:c>
    </x:row>
    <x:row r="39" ht="22" customHeight="1">
      <x:c r="A39" s="12" t="n">
        <x:v>2020</x:v>
      </x:c>
      <x:c r="B39" s="8" t="str">
        <x:v>Audio</x:v>
      </x:c>
      <x:c r="C39" s="8" t="n">
        <x:v>452725.55</x:v>
      </x:c>
      <x:c r="D39" s="8" t="n">
        <x:v>191322.88</x:v>
      </x:c>
      <x:c r="E39" s="8" t="n">
        <x:f>C39-D39</x:f>
        <x:v>261402.66999999998</x:v>
      </x:c>
      <x:c r="F39" s="8" t="n">
        <x:v>3356</x:v>
      </x:c>
      <x:c r="G39" s="8" t="n">
        <x:v>968</x:v>
      </x:c>
      <x:c r="H39" s="10" t="n">
        <x:f>E39/C39</x:f>
        <x:v>0.5773976529489002</x:v>
      </x:c>
    </x:row>
    <x:row r="40" ht="22" customHeight="1">
      <x:c r="A40" s="12" t="n">
        <x:v>2020</x:v>
      </x:c>
      <x:c r="B40" s="8" t="str">
        <x:v>Cameras and camcorders</x:v>
      </x:c>
      <x:c r="C40" s="8" t="n">
        <x:v>1209222.04</x:v>
      </x:c>
      <x:c r="D40" s="8" t="n">
        <x:v>480498.06</x:v>
      </x:c>
      <x:c r="E40" s="8" t="n">
        <x:f>C40-D40</x:f>
        <x:v>728723.98</x:v>
      </x:c>
      <x:c r="F40" s="8" t="n">
        <x:v>3283</x:v>
      </x:c>
      <x:c r="G40" s="8" t="n">
        <x:v>918</x:v>
      </x:c>
      <x:c r="H40" s="10" t="n">
        <x:f>E40/C40</x:f>
        <x:v>0.6026386849515246</x:v>
      </x:c>
    </x:row>
    <x:row r="41" ht="22" customHeight="1">
      <x:c r="A41" s="12" t="n">
        <x:v>2020</x:v>
      </x:c>
      <x:c r="B41" s="8" t="str">
        <x:v>Cell phones</x:v>
      </x:c>
      <x:c r="C41" s="8" t="n">
        <x:v>1256725.73</x:v>
      </x:c>
      <x:c r="D41" s="8" t="n">
        <x:v>547625.95</x:v>
      </x:c>
      <x:c r="E41" s="8" t="n">
        <x:f>C41-D41</x:f>
        <x:v>709099.78</x:v>
      </x:c>
      <x:c r="F41" s="8" t="n">
        <x:v>6409</x:v>
      </x:c>
      <x:c r="G41" s="8" t="n">
        <x:v>1697</x:v>
      </x:c>
      <x:c r="H41" s="10" t="n">
        <x:f>E41/C41</x:f>
        <x:v>0.5642438625013272</x:v>
      </x:c>
    </x:row>
    <x:row r="42" ht="22" customHeight="1">
      <x:c r="A42" s="12" t="n">
        <x:v>2020</x:v>
      </x:c>
      <x:c r="B42" s="8" t="str">
        <x:v>Computers</x:v>
      </x:c>
      <x:c r="C42" s="8" t="n">
        <x:v>3665122.7199999997</x:v>
      </x:c>
      <x:c r="D42" s="8" t="n">
        <x:v>1512833.33</x:v>
      </x:c>
      <x:c r="E42" s="8" t="n">
        <x:f>C42-D42</x:f>
        <x:v>2152289.3899999997</x:v>
      </x:c>
      <x:c r="F42" s="8" t="n">
        <x:v>7941</x:v>
      </x:c>
      <x:c r="G42" s="8" t="n">
        <x:v>2010</x:v>
      </x:c>
      <x:c r="H42" s="10" t="n">
        <x:f>E42/C42</x:f>
        <x:v>0.5872352863535221</x:v>
      </x:c>
    </x:row>
    <x:row r="43" ht="22" customHeight="1">
      <x:c r="A43" s="12" t="n">
        <x:v>2020</x:v>
      </x:c>
      <x:c r="B43" s="8" t="str">
        <x:v>Games and Toys</x:v>
      </x:c>
      <x:c r="C43" s="8" t="n">
        <x:v>154189.13</x:v>
      </x:c>
      <x:c r="D43" s="8" t="n">
        <x:v>69694.32</x:v>
      </x:c>
      <x:c r="E43" s="8" t="n">
        <x:f>C43-D43</x:f>
        <x:v>84494.81</x:v>
      </x:c>
      <x:c r="F43" s="8" t="n">
        <x:v>4956</x:v>
      </x:c>
      <x:c r="G43" s="8" t="n">
        <x:v>1279</x:v>
      </x:c>
      <x:c r="H43" s="10" t="n">
        <x:f>E43/C43</x:f>
        <x:v>0.5479945959874084</x:v>
      </x:c>
    </x:row>
    <x:row r="44" ht="22" customHeight="1">
      <x:c r="A44" s="12" t="n">
        <x:v>2020</x:v>
      </x:c>
      <x:c r="B44" s="8" t="str">
        <x:v>Home Appliances</x:v>
      </x:c>
      <x:c r="C44" s="8" t="n">
        <x:v>1107301.56</x:v>
      </x:c>
      <x:c r="D44" s="8" t="n">
        <x:v>465043.7</x:v>
      </x:c>
      <x:c r="E44" s="8" t="n">
        <x:f>C44-D44</x:f>
        <x:v>642257.8600000001</x:v>
      </x:c>
      <x:c r="F44" s="8" t="n">
        <x:v>1780</x:v>
      </x:c>
      <x:c r="G44" s="8" t="n">
        <x:v>532</x:v>
      </x:c>
      <x:c r="H44" s="10" t="n">
        <x:f>E44/C44</x:f>
        <x:v>0.5800207307573919</x:v>
      </x:c>
    </x:row>
    <x:row r="45" ht="22" customHeight="1">
      <x:c r="A45" s="12" t="n">
        <x:v>2020</x:v>
      </x:c>
      <x:c r="B45" s="8" t="str">
        <x:v>Music, Movies and Audio Books</x:v>
      </x:c>
      <x:c r="C45" s="8" t="n">
        <x:v>566479.4</x:v>
      </x:c>
      <x:c r="D45" s="8" t="n">
        <x:v>220301.62</x:v>
      </x:c>
      <x:c r="E45" s="8" t="n">
        <x:f>C45-D45</x:f>
        <x:v>346177.78</x:v>
      </x:c>
      <x:c r="F45" s="8" t="n">
        <x:v>5019</x:v>
      </x:c>
      <x:c r="G45" s="8" t="n">
        <x:v>1370</x:v>
      </x:c>
      <x:c r="H45" s="10" t="n">
        <x:f>E45/C45</x:f>
        <x:v>0.6111039165766664</x:v>
      </x:c>
    </x:row>
    <x:row r="46" ht="22" customHeight="1">
      <x:c r="A46" s="12" t="n">
        <x:v>2020</x:v>
      </x:c>
      <x:c r="B46" s="8" t="str">
        <x:v>TV and Video</x:v>
      </x:c>
      <x:c r="C46" s="8" t="n">
        <x:v>882866.01</x:v>
      </x:c>
      <x:c r="D46" s="8" t="n">
        <x:v>359852.13</x:v>
      </x:c>
      <x:c r="E46" s="8" t="n">
        <x:f>C46-D46</x:f>
        <x:v>523013.88</x:v>
      </x:c>
      <x:c r="F46" s="8" t="n">
        <x:v>1719</x:v>
      </x:c>
      <x:c r="G46" s="8" t="n">
        <x:v>510</x:v>
      </x:c>
      <x:c r="H46" s="10" t="n">
        <x:f>E46/C46</x:f>
        <x:v>0.5924045937616287</x:v>
      </x:c>
    </x:row>
    <x:row r="47" ht="22" customHeight="1">
      <x:c r="A47" s="12" t="n">
        <x:v>2021</x:v>
      </x:c>
      <x:c r="B47" s="8" t="str">
        <x:v>Audio</x:v>
      </x:c>
      <x:c r="C47" s="8" t="n">
        <x:v>43296.9</x:v>
      </x:c>
      <x:c r="D47" s="8" t="n">
        <x:v>18482.41</x:v>
      </x:c>
      <x:c r="E47" s="8" t="n">
        <x:f>C47-D47</x:f>
        <x:v>24814.49</x:v>
      </x:c>
      <x:c r="F47" s="8" t="n">
        <x:v>323</x:v>
      </x:c>
      <x:c r="G47" s="8" t="n">
        <x:v>92</x:v>
      </x:c>
      <x:c r="H47" s="10" t="n">
        <x:f>E47/C47</x:f>
        <x:v>0.5731239418988426</x:v>
      </x:c>
    </x:row>
    <x:row r="48" ht="22" customHeight="1">
      <x:c r="A48" s="12" t="n">
        <x:v>2021</x:v>
      </x:c>
      <x:c r="B48" s="8" t="str">
        <x:v>Cameras and camcorders</x:v>
      </x:c>
      <x:c r="C48" s="8" t="n">
        <x:v>129196.99</x:v>
      </x:c>
      <x:c r="D48" s="8" t="n">
        <x:v>51638.81</x:v>
      </x:c>
      <x:c r="E48" s="8" t="n">
        <x:f>C48-D48</x:f>
        <x:v>77558.18000000001</x:v>
      </x:c>
      <x:c r="F48" s="8" t="n">
        <x:v>310</x:v>
      </x:c>
      <x:c r="G48" s="8" t="n">
        <x:v>102</x:v>
      </x:c>
      <x:c r="H48" s="10" t="n">
        <x:f>E48/C48</x:f>
        <x:v>0.6003094963744898</x:v>
      </x:c>
    </x:row>
    <x:row r="49" ht="22" customHeight="1">
      <x:c r="A49" s="12" t="n">
        <x:v>2021</x:v>
      </x:c>
      <x:c r="B49" s="8" t="str">
        <x:v>Cell phones</x:v>
      </x:c>
      <x:c r="C49" s="8" t="n">
        <x:v>159454.04</x:v>
      </x:c>
      <x:c r="D49" s="8" t="n">
        <x:v>67340.65</x:v>
      </x:c>
      <x:c r="E49" s="8" t="n">
        <x:f>C49-D49</x:f>
        <x:v>92113.39000000001</x:v>
      </x:c>
      <x:c r="F49" s="8" t="n">
        <x:v>738</x:v>
      </x:c>
      <x:c r="G49" s="8" t="n">
        <x:v>182</x:v>
      </x:c>
      <x:c r="H49" s="10" t="n">
        <x:f>E49/C49</x:f>
        <x:v>0.5776798756557062</x:v>
      </x:c>
    </x:row>
    <x:row r="50" ht="22" customHeight="1">
      <x:c r="A50" s="12" t="n">
        <x:v>2021</x:v>
      </x:c>
      <x:c r="B50" s="8" t="str">
        <x:v>Computers</x:v>
      </x:c>
      <x:c r="C50" s="8" t="n">
        <x:v>445745.65</x:v>
      </x:c>
      <x:c r="D50" s="8" t="n">
        <x:v>184252.84</x:v>
      </x:c>
      <x:c r="E50" s="8" t="n">
        <x:f>C50-D50</x:f>
        <x:v>261492.81000000003</x:v>
      </x:c>
      <x:c r="F50" s="8" t="n">
        <x:v>982</x:v>
      </x:c>
      <x:c r="G50" s="8" t="n">
        <x:v>233</x:v>
      </x:c>
      <x:c r="H50" s="10" t="n">
        <x:f>E50/C50</x:f>
        <x:v>0.586641305417114</x:v>
      </x:c>
    </x:row>
    <x:row r="51" ht="22" customHeight="1">
      <x:c r="A51" s="12" t="n">
        <x:v>2021</x:v>
      </x:c>
      <x:c r="B51" s="8" t="str">
        <x:v>Games and Toys</x:v>
      </x:c>
      <x:c r="C51" s="8" t="n">
        <x:v>15155.18</x:v>
      </x:c>
      <x:c r="D51" s="8" t="n">
        <x:v>6819.57</x:v>
      </x:c>
      <x:c r="E51" s="8" t="n">
        <x:f>C51-D51</x:f>
        <x:v>8335.61</x:v>
      </x:c>
      <x:c r="F51" s="8" t="n">
        <x:v>455</x:v>
      </x:c>
      <x:c r="G51" s="8" t="n">
        <x:v>138</x:v>
      </x:c>
      <x:c r="H51" s="10" t="n">
        <x:f>E51/C51</x:f>
        <x:v>0.5500172218343827</x:v>
      </x:c>
    </x:row>
    <x:row r="52" ht="22" customHeight="1">
      <x:c r="A52" s="12" t="n">
        <x:v>2021</x:v>
      </x:c>
      <x:c r="B52" s="8" t="str">
        <x:v>Home Appliances</x:v>
      </x:c>
      <x:c r="C52" s="8" t="n">
        <x:v>77082.06</x:v>
      </x:c>
      <x:c r="D52" s="8" t="n">
        <x:v>31998.13</x:v>
      </x:c>
      <x:c r="E52" s="8" t="n">
        <x:f>C52-D52</x:f>
        <x:v>45083.92999999999</x:v>
      </x:c>
      <x:c r="F52" s="8" t="n">
        <x:v>156</x:v>
      </x:c>
      <x:c r="G52" s="8" t="n">
        <x:v>54</x:v>
      </x:c>
      <x:c r="H52" s="10" t="n">
        <x:f>E52/C52</x:f>
        <x:v>0.5848822670281515</x:v>
      </x:c>
    </x:row>
    <x:row r="53" ht="22" customHeight="1">
      <x:c r="A53" s="12" t="n">
        <x:v>2021</x:v>
      </x:c>
      <x:c r="B53" s="8" t="str">
        <x:v>Music, Movies and Audio Books</x:v>
      </x:c>
      <x:c r="C53" s="8" t="n">
        <x:v>67405.78</x:v>
      </x:c>
      <x:c r="D53" s="8" t="n">
        <x:v>26924.99</x:v>
      </x:c>
      <x:c r="E53" s="8" t="n">
        <x:f>C53-D53</x:f>
        <x:v>40480.78999999999</x:v>
      </x:c>
      <x:c r="F53" s="8" t="n">
        <x:v>587</x:v>
      </x:c>
      <x:c r="G53" s="8" t="n">
        <x:v>152</x:v>
      </x:c>
      <x:c r="H53" s="10" t="n">
        <x:f>E53/C53</x:f>
        <x:v>0.6005536913896701</x:v>
      </x:c>
    </x:row>
    <x:row r="54" ht="22" customHeight="1">
      <x:c r="A54" s="12" t="n">
        <x:v>2021</x:v>
      </x:c>
      <x:c r="B54" s="8" t="str">
        <x:v>TV and Video</x:v>
      </x:c>
      <x:c r="C54" s="8" t="n">
        <x:v>101951.88</x:v>
      </x:c>
      <x:c r="D54" s="8" t="n">
        <x:v>43367.39</x:v>
      </x:c>
      <x:c r="E54" s="8" t="n">
        <x:f>C54-D54</x:f>
        <x:v>58584.490000000005</x:v>
      </x:c>
      <x:c r="F54" s="8" t="n">
        <x:v>246</x:v>
      </x:c>
      <x:c r="G54" s="8" t="n">
        <x:v>66</x:v>
      </x:c>
      <x:c r="H54" s="10" t="n">
        <x:f>E54/C54</x:f>
        <x:v>0.5746288347012336</x:v>
      </x:c>
    </x:row>
    <x:row r="55" ht="22" customHeight="1">
      <x:c r="A55" s="2"/>
      <x:c r="B55" s="2"/>
      <x:c r="C55" s="2"/>
      <x:c r="D55" s="2"/>
      <x:c r="E55" s="2"/>
      <x:c r="F55" s="2"/>
      <x:c r="G55" s="2"/>
      <x:c r="H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2D4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8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E5 / E9. Comparable stores and investment screening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2" t="str">
        <x:v>Strict cohort: open before 2019; sales in all 12 months in both years. No closure calendar.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7" t="str">
        <x:v>Store</x:v>
      </x:c>
      <x:c r="B6" s="7" t="str">
        <x:v>Coverage group</x:v>
      </x:c>
      <x:c r="C6" s="7" t="str">
        <x:v>Area sqm</x:v>
      </x:c>
      <x:c r="D6" s="7" t="str">
        <x:v>Months 2019</x:v>
      </x:c>
      <x:c r="E6" s="7" t="str">
        <x:v>Months 2020</x:v>
      </x:c>
      <x:c r="F6" s="7" t="str">
        <x:v>Est. sales 2019</x:v>
      </x:c>
      <x:c r="G6" s="7" t="str">
        <x:v>Est. sales 2020</x:v>
      </x:c>
      <x:c r="H6" s="7" t="str">
        <x:v>Est. GP 2020</x:v>
      </x:c>
      <x:c r="I6" s="7" t="str">
        <x:v>Change</x:v>
      </x:c>
      <x:c r="J6" s="7" t="str">
        <x:v>Growth</x:v>
      </x:c>
      <x:c r="K6" s="7" t="str">
        <x:v>Sales / sqm</x:v>
      </x:c>
      <x:c r="L6" s="7" t="str">
        <x:v>GP / sqm</x:v>
      </x:c>
    </x:row>
    <x:row r="7" ht="22" customHeight="1">
      <x:c r="A7" s="8" t="str">
        <x:v>01 · Australia · Australian Capital Territory</x:v>
      </x:c>
      <x:c r="B7" s="8" t="str">
        <x:v>Established, incomplete monthly coverage</x:v>
      </x:c>
      <x:c r="C7" s="8" t="n">
        <x:v>595</x:v>
      </x:c>
      <x:c r="D7" s="8" t="n">
        <x:v>12</x:v>
      </x:c>
      <x:c r="E7" s="8" t="n">
        <x:v>9</x:v>
      </x:c>
      <x:c r="F7" s="8" t="n">
        <x:v>83345.18</x:v>
      </x:c>
      <x:c r="G7" s="8" t="n">
        <x:v>59547.84</x:v>
      </x:c>
      <x:c r="H7" s="8" t="n">
        <x:v>35576.51</x:v>
      </x:c>
      <x:c r="I7" s="8" t="n">
        <x:f>G7-F7</x:f>
        <x:v>-23797.339999999997</x:v>
      </x:c>
      <x:c r="J7" s="10" t="n">
        <x:f>IF(F7=0,"n.a.",I7/F7)</x:f>
        <x:v>-0.28552748941210515</x:v>
      </x:c>
      <x:c r="K7" s="9" t="n">
        <x:f>IF(C7&gt;0,G7/C7,"n.a.")</x:f>
        <x:v>100.08040336134454</x:v>
      </x:c>
      <x:c r="L7" s="9" t="n">
        <x:f>IF(C7&gt;0,H7/C7,"n.a.")</x:f>
        <x:v>59.792453781512606</x:v>
      </x:c>
    </x:row>
    <x:row r="8" ht="22" customHeight="1">
      <x:c r="A8" s="8" t="str">
        <x:v>02 · Australia · Northern Territory</x:v>
      </x:c>
      <x:c r="B8" s="8" t="str">
        <x:v>Established, incomplete monthly coverage</x:v>
      </x:c>
      <x:c r="C8" s="8" t="n">
        <x:v>665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0</x:v>
      </x:c>
      <x:c r="I8" s="8" t="n">
        <x:f>G8-F8</x:f>
        <x:v>0</x:v>
      </x:c>
      <x:c r="J8" s="10" t="str">
        <x:f>IF(F8=0,"n.a.",I8/F8)</x:f>
        <x:v>n.a.</x:v>
      </x:c>
      <x:c r="K8" s="9" t="n">
        <x:f>IF(C8&gt;0,G8/C8,"n.a.")</x:f>
        <x:v>0</x:v>
      </x:c>
      <x:c r="L8" s="9" t="n">
        <x:f>IF(C8&gt;0,H8/C8,"n.a.")</x:f>
        <x:v>0</x:v>
      </x:c>
    </x:row>
    <x:row r="9" ht="22" customHeight="1">
      <x:c r="A9" s="8" t="str">
        <x:v>03 · Australia · South Australia</x:v>
      </x:c>
      <x:c r="B9" s="8" t="str">
        <x:v>Established, incomplete monthly coverage</x:v>
      </x:c>
      <x:c r="C9" s="8" t="n">
        <x:v>2000</x:v>
      </x:c>
      <x:c r="D9" s="8" t="n">
        <x:v>0</x:v>
      </x:c>
      <x:c r="E9" s="8" t="n">
        <x:v>0</x:v>
      </x:c>
      <x:c r="F9" s="8" t="n">
        <x:v>0</x:v>
      </x:c>
      <x:c r="G9" s="8" t="n">
        <x:v>0</x:v>
      </x:c>
      <x:c r="H9" s="8" t="n">
        <x:v>0</x:v>
      </x:c>
      <x:c r="I9" s="8" t="n">
        <x:f>G9-F9</x:f>
        <x:v>0</x:v>
      </x:c>
      <x:c r="J9" s="10" t="str">
        <x:f>IF(F9=0,"n.a.",I9/F9)</x:f>
        <x:v>n.a.</x:v>
      </x:c>
      <x:c r="K9" s="9" t="n">
        <x:f>IF(C9&gt;0,G9/C9,"n.a.")</x:f>
        <x:v>0</x:v>
      </x:c>
      <x:c r="L9" s="9" t="n">
        <x:f>IF(C9&gt;0,H9/C9,"n.a.")</x:f>
        <x:v>0</x:v>
      </x:c>
    </x:row>
    <x:row r="10" ht="22" customHeight="1">
      <x:c r="A10" s="8" t="str">
        <x:v>04 · Australia · Tasmania</x:v>
      </x:c>
      <x:c r="B10" s="8" t="str">
        <x:v>Established, incomplete monthly coverage</x:v>
      </x:c>
      <x:c r="C10" s="8" t="n">
        <x:v>2000</x:v>
      </x:c>
      <x:c r="D10" s="8" t="n">
        <x:v>11</x:v>
      </x:c>
      <x:c r="E10" s="8" t="n">
        <x:v>7</x:v>
      </x:c>
      <x:c r="F10" s="8" t="n">
        <x:v>181319.47</x:v>
      </x:c>
      <x:c r="G10" s="8" t="n">
        <x:v>34941.02</x:v>
      </x:c>
      <x:c r="H10" s="8" t="n">
        <x:v>21008.4</x:v>
      </x:c>
      <x:c r="I10" s="8" t="n">
        <x:f>G10-F10</x:f>
        <x:v>-146378.45</x:v>
      </x:c>
      <x:c r="J10" s="10" t="n">
        <x:f>IF(F10=0,"n.a.",I10/F10)</x:f>
        <x:v>-0.8072958188108537</x:v>
      </x:c>
      <x:c r="K10" s="9" t="n">
        <x:f>IF(C10&gt;0,G10/C10,"n.a.")</x:f>
        <x:v>17.470509999999997</x:v>
      </x:c>
      <x:c r="L10" s="9" t="n">
        <x:f>IF(C10&gt;0,H10/C10,"n.a.")</x:f>
        <x:v>10.5042</x:v>
      </x:c>
    </x:row>
    <x:row r="11" ht="22" customHeight="1">
      <x:c r="A11" s="8" t="str">
        <x:v>05 · Australia · Victoria</x:v>
      </x:c>
      <x:c r="B11" s="8" t="str">
        <x:v>Established, incomplete monthly coverage</x:v>
      </x:c>
      <x:c r="C11" s="8" t="n">
        <x:v>2000</x:v>
      </x:c>
      <x:c r="D11" s="8" t="n">
        <x:v>12</x:v>
      </x:c>
      <x:c r="E11" s="8" t="n">
        <x:v>10</x:v>
      </x:c>
      <x:c r="F11" s="8" t="n">
        <x:v>277555.37</x:v>
      </x:c>
      <x:c r="G11" s="8" t="n">
        <x:v>115533.8</x:v>
      </x:c>
      <x:c r="H11" s="8" t="n">
        <x:v>66369.91</x:v>
      </x:c>
      <x:c r="I11" s="8" t="n">
        <x:f>G11-F11</x:f>
        <x:v>-162021.57</x:v>
      </x:c>
      <x:c r="J11" s="10" t="n">
        <x:f>IF(F11=0,"n.a.",I11/F11)</x:f>
        <x:v>-0.583745037972063</x:v>
      </x:c>
      <x:c r="K11" s="9" t="n">
        <x:f>IF(C11&gt;0,G11/C11,"n.a.")</x:f>
        <x:v>57.7669</x:v>
      </x:c>
      <x:c r="L11" s="9" t="n">
        <x:f>IF(C11&gt;0,H11/C11,"n.a.")</x:f>
        <x:v>33.184955</x:v>
      </x:c>
    </x:row>
    <x:row r="12" ht="22" customHeight="1">
      <x:c r="A12" s="8" t="str">
        <x:v>06 · Australia · Western Australia</x:v>
      </x:c>
      <x:c r="B12" s="8" t="str">
        <x:v>Established, incomplete monthly coverage</x:v>
      </x:c>
      <x:c r="C12" s="8" t="n">
        <x:v>2000</x:v>
      </x:c>
      <x:c r="D12" s="8" t="n">
        <x:v>12</x:v>
      </x:c>
      <x:c r="E12" s="8" t="n">
        <x:v>10</x:v>
      </x:c>
      <x:c r="F12" s="8" t="n">
        <x:v>146542.8</x:v>
      </x:c>
      <x:c r="G12" s="8" t="n">
        <x:v>111147</x:v>
      </x:c>
      <x:c r="H12" s="8" t="n">
        <x:v>67214.9</x:v>
      </x:c>
      <x:c r="I12" s="8" t="n">
        <x:f>G12-F12</x:f>
        <x:v>-35395.79999999999</x:v>
      </x:c>
      <x:c r="J12" s="10" t="n">
        <x:f>IF(F12=0,"n.a.",I12/F12)</x:f>
        <x:v>-0.24153899065665452</x:v>
      </x:c>
      <x:c r="K12" s="9" t="n">
        <x:f>IF(C12&gt;0,G12/C12,"n.a.")</x:f>
        <x:v>55.5735</x:v>
      </x:c>
      <x:c r="L12" s="9" t="n">
        <x:f>IF(C12&gt;0,H12/C12,"n.a.")</x:f>
        <x:v>33.60745</x:v>
      </x:c>
    </x:row>
    <x:row r="13" ht="22" customHeight="1">
      <x:c r="A13" s="8" t="str">
        <x:v>07 · Canada · New Brunswick</x:v>
      </x:c>
      <x:c r="B13" s="8" t="str">
        <x:v>Established, incomplete monthly coverage</x:v>
      </x:c>
      <x:c r="C13" s="8" t="n">
        <x:v>1105</x:v>
      </x:c>
      <x:c r="D13" s="8" t="n">
        <x:v>0</x:v>
      </x:c>
      <x:c r="E13" s="8" t="n">
        <x:v>0</x:v>
      </x:c>
      <x:c r="F13" s="8" t="n">
        <x:v>0</x:v>
      </x:c>
      <x:c r="G13" s="8" t="n">
        <x:v>0</x:v>
      </x:c>
      <x:c r="H13" s="8" t="n">
        <x:v>0</x:v>
      </x:c>
      <x:c r="I13" s="8" t="n">
        <x:f>G13-F13</x:f>
        <x:v>0</x:v>
      </x:c>
      <x:c r="J13" s="10" t="str">
        <x:f>IF(F13=0,"n.a.",I13/F13)</x:f>
        <x:v>n.a.</x:v>
      </x:c>
      <x:c r="K13" s="9" t="n">
        <x:f>IF(C13&gt;0,G13/C13,"n.a.")</x:f>
        <x:v>0</x:v>
      </x:c>
      <x:c r="L13" s="9" t="n">
        <x:f>IF(C13&gt;0,H13/C13,"n.a.")</x:f>
        <x:v>0</x:v>
      </x:c>
    </x:row>
    <x:row r="14" ht="22" customHeight="1">
      <x:c r="A14" s="8" t="str">
        <x:v>08 · Canada · Newfoundland and Labrador</x:v>
      </x:c>
      <x:c r="B14" s="8" t="str">
        <x:v>Strict same-store</x:v>
      </x:c>
      <x:c r="C14" s="8" t="n">
        <x:v>2105</x:v>
      </x:c>
      <x:c r="D14" s="8" t="n">
        <x:v>12</x:v>
      </x:c>
      <x:c r="E14" s="8" t="n">
        <x:v>12</x:v>
      </x:c>
      <x:c r="F14" s="8" t="n">
        <x:v>344169.46</x:v>
      </x:c>
      <x:c r="G14" s="8" t="n">
        <x:v>160783.21</x:v>
      </x:c>
      <x:c r="H14" s="8" t="n">
        <x:v>94595.04</x:v>
      </x:c>
      <x:c r="I14" s="8" t="n">
        <x:f>G14-F14</x:f>
        <x:v>-183386.25000000003</x:v>
      </x:c>
      <x:c r="J14" s="10" t="n">
        <x:f>IF(F14=0,"n.a.",I14/F14)</x:f>
        <x:v>-0.5328370797339195</x:v>
      </x:c>
      <x:c r="K14" s="9" t="n">
        <x:f>IF(C14&gt;0,G14/C14,"n.a.")</x:f>
        <x:v>76.38157244655582</x:v>
      </x:c>
      <x:c r="L14" s="9" t="n">
        <x:f>IF(C14&gt;0,H14/C14,"n.a.")</x:f>
        <x:v>44.93826128266033</x:v>
      </x:c>
    </x:row>
    <x:row r="15" ht="22" customHeight="1">
      <x:c r="A15" s="8" t="str">
        <x:v>09 · Canada · Northwest Territories</x:v>
      </x:c>
      <x:c r="B15" s="8" t="str">
        <x:v>Established, incomplete monthly coverage</x:v>
      </x:c>
      <x:c r="C15" s="8" t="n">
        <x:v>1500</x:v>
      </x:c>
      <x:c r="D15" s="8" t="n">
        <x:v>11</x:v>
      </x:c>
      <x:c r="E15" s="8" t="n">
        <x:v>11</x:v>
      </x:c>
      <x:c r="F15" s="8" t="n">
        <x:v>433627.51</x:v>
      </x:c>
      <x:c r="G15" s="8" t="n">
        <x:v>194642.34</x:v>
      </x:c>
      <x:c r="H15" s="8" t="n">
        <x:v>110992.15</x:v>
      </x:c>
      <x:c r="I15" s="8" t="n">
        <x:f>G15-F15</x:f>
        <x:v>-238985.17</x:v>
      </x:c>
      <x:c r="J15" s="10" t="n">
        <x:f>IF(F15=0,"n.a.",I15/F15)</x:f>
        <x:v>-0.5511300931991147</x:v>
      </x:c>
      <x:c r="K15" s="9" t="n">
        <x:f>IF(C15&gt;0,G15/C15,"n.a.")</x:f>
        <x:v>129.76156</x:v>
      </x:c>
      <x:c r="L15" s="9" t="n">
        <x:f>IF(C15&gt;0,H15/C15,"n.a.")</x:f>
        <x:v>73.99476666666666</x:v>
      </x:c>
    </x:row>
    <x:row r="16" ht="22" customHeight="1">
      <x:c r="A16" s="8" t="str">
        <x:v>10 · Canada · Nunavut</x:v>
      </x:c>
      <x:c r="B16" s="8" t="str">
        <x:v>Established, incomplete monthly coverage</x:v>
      </x:c>
      <x:c r="C16" s="8" t="n">
        <x:v>1210</x:v>
      </x:c>
      <x:c r="D16" s="8" t="n">
        <x:v>11</x:v>
      </x:c>
      <x:c r="E16" s="8" t="n">
        <x:v>11</x:v>
      </x:c>
      <x:c r="F16" s="8" t="n">
        <x:v>351148.61</x:v>
      </x:c>
      <x:c r="G16" s="8" t="n">
        <x:v>196229.14</x:v>
      </x:c>
      <x:c r="H16" s="8" t="n">
        <x:v>113025.82</x:v>
      </x:c>
      <x:c r="I16" s="8" t="n">
        <x:f>G16-F16</x:f>
        <x:v>-154919.46999999997</x:v>
      </x:c>
      <x:c r="J16" s="10" t="n">
        <x:f>IF(F16=0,"n.a.",I16/F16)</x:f>
        <x:v>-0.44117922038763013</x:v>
      </x:c>
      <x:c r="K16" s="9" t="n">
        <x:f>IF(C16&gt;0,G16/C16,"n.a.")</x:f>
        <x:v>162.17284297520663</x:v>
      </x:c>
      <x:c r="L16" s="9" t="n">
        <x:f>IF(C16&gt;0,H16/C16,"n.a.")</x:f>
        <x:v>93.40976859504133</x:v>
      </x:c>
    </x:row>
    <x:row r="17" ht="22" customHeight="1">
      <x:c r="A17" s="8" t="str">
        <x:v>11 · Canada · Yukon</x:v>
      </x:c>
      <x:c r="B17" s="8" t="str">
        <x:v>Established, incomplete monthly coverage</x:v>
      </x:c>
      <x:c r="C17" s="8" t="n">
        <x:v>1210</x:v>
      </x:c>
      <x:c r="D17" s="8" t="n">
        <x:v>0</x:v>
      </x:c>
      <x:c r="E17" s="8" t="n">
        <x:v>0</x:v>
      </x:c>
      <x:c r="F17" s="8" t="n">
        <x:v>0</x:v>
      </x:c>
      <x:c r="G17" s="8" t="n">
        <x:v>0</x:v>
      </x:c>
      <x:c r="H17" s="8" t="n">
        <x:v>0</x:v>
      </x:c>
      <x:c r="I17" s="8" t="n">
        <x:f>G17-F17</x:f>
        <x:v>0</x:v>
      </x:c>
      <x:c r="J17" s="10" t="str">
        <x:f>IF(F17=0,"n.a.",I17/F17)</x:f>
        <x:v>n.a.</x:v>
      </x:c>
      <x:c r="K17" s="9" t="n">
        <x:f>IF(C17&gt;0,G17/C17,"n.a.")</x:f>
        <x:v>0</x:v>
      </x:c>
      <x:c r="L17" s="9" t="n">
        <x:f>IF(C17&gt;0,H17/C17,"n.a.")</x:f>
        <x:v>0</x:v>
      </x:c>
    </x:row>
    <x:row r="18" ht="22" customHeight="1">
      <x:c r="A18" s="8" t="str">
        <x:v>12 · France · Basse-Normandie</x:v>
      </x:c>
      <x:c r="B18" s="8" t="str">
        <x:v>Established, incomplete monthly coverage</x:v>
      </x:c>
      <x:c r="C18" s="8" t="n">
        <x:v>350</x:v>
      </x:c>
      <x:c r="D18" s="8" t="n">
        <x:v>11</x:v>
      </x:c>
      <x:c r="E18" s="8" t="n">
        <x:v>7</x:v>
      </x:c>
      <x:c r="F18" s="8" t="n">
        <x:v>53193.33</x:v>
      </x:c>
      <x:c r="G18" s="8" t="n">
        <x:v>54126.12</x:v>
      </x:c>
      <x:c r="H18" s="8" t="n">
        <x:v>33223.99</x:v>
      </x:c>
      <x:c r="I18" s="8" t="n">
        <x:f>G18-F18</x:f>
        <x:v>932.7900000000009</x:v>
      </x:c>
      <x:c r="J18" s="10" t="n">
        <x:f>IF(F18=0,"n.a.",I18/F18)</x:f>
        <x:v>0.017535845189613073</x:v>
      </x:c>
      <x:c r="K18" s="9" t="n">
        <x:f>IF(C18&gt;0,G18/C18,"n.a.")</x:f>
        <x:v>154.64605714285716</x:v>
      </x:c>
      <x:c r="L18" s="9" t="n">
        <x:f>IF(C18&gt;0,H18/C18,"n.a.")</x:f>
        <x:v>94.9256857142857</x:v>
      </x:c>
    </x:row>
    <x:row r="19" ht="22" customHeight="1">
      <x:c r="A19" s="8" t="str">
        <x:v>13 · France · Corse</x:v>
      </x:c>
      <x:c r="B19" s="8" t="str">
        <x:v>Established, incomplete monthly coverage</x:v>
      </x:c>
      <x:c r="C19" s="8" t="n">
        <x:v>245</x:v>
      </x:c>
      <x:c r="D19" s="8" t="n">
        <x:v>9</x:v>
      </x:c>
      <x:c r="E19" s="8" t="n">
        <x:v>8</x:v>
      </x:c>
      <x:c r="F19" s="8" t="n">
        <x:v>46260.47</x:v>
      </x:c>
      <x:c r="G19" s="8" t="n">
        <x:v>37988.94</x:v>
      </x:c>
      <x:c r="H19" s="8" t="n">
        <x:v>23923.57</x:v>
      </x:c>
      <x:c r="I19" s="8" t="n">
        <x:f>G19-F19</x:f>
        <x:v>-8271.529999999999</x:v>
      </x:c>
      <x:c r="J19" s="10" t="n">
        <x:f>IF(F19=0,"n.a.",I19/F19)</x:f>
        <x:v>-0.17880341466483152</x:v>
      </x:c>
      <x:c r="K19" s="9" t="n">
        <x:f>IF(C19&gt;0,G19/C19,"n.a.")</x:f>
        <x:v>155.0568979591837</x:v>
      </x:c>
      <x:c r="L19" s="9" t="n">
        <x:f>IF(C19&gt;0,H19/C19,"n.a.")</x:f>
        <x:v>97.64722448979592</x:v>
      </x:c>
    </x:row>
    <x:row r="20" ht="22" customHeight="1">
      <x:c r="A20" s="8" t="str">
        <x:v>14 · France · Franche-Comté</x:v>
      </x:c>
      <x:c r="B20" s="8" t="str">
        <x:v>Established, incomplete monthly coverage</x:v>
      </x:c>
      <x:c r="C20" s="8" t="n">
        <x:v>350</x:v>
      </x:c>
      <x:c r="D20" s="8" t="n">
        <x:v>9</x:v>
      </x:c>
      <x:c r="E20" s="8" t="n">
        <x:v>6</x:v>
      </x:c>
      <x:c r="F20" s="8" t="n">
        <x:v>25694.46</x:v>
      </x:c>
      <x:c r="G20" s="8" t="n">
        <x:v>19755.19</x:v>
      </x:c>
      <x:c r="H20" s="8" t="n">
        <x:v>12126.53</x:v>
      </x:c>
      <x:c r="I20" s="8" t="n">
        <x:f>G20-F20</x:f>
        <x:v>-5939.27</x:v>
      </x:c>
      <x:c r="J20" s="10" t="n">
        <x:f>IF(F20=0,"n.a.",I20/F20)</x:f>
        <x:v>-0.23114982762821248</x:v>
      </x:c>
      <x:c r="K20" s="9" t="n">
        <x:f>IF(C20&gt;0,G20/C20,"n.a.")</x:f>
        <x:v>56.4434</x:v>
      </x:c>
      <x:c r="L20" s="9" t="n">
        <x:f>IF(C20&gt;0,H20/C20,"n.a.")</x:f>
        <x:v>34.64722857142857</x:v>
      </x:c>
    </x:row>
    <x:row r="21" ht="22" customHeight="1">
      <x:c r="A21" s="8" t="str">
        <x:v>15 · France · La Réunion</x:v>
      </x:c>
      <x:c r="B21" s="8" t="str">
        <x:v>Established, incomplete monthly coverage</x:v>
      </x:c>
      <x:c r="C21" s="8" t="n">
        <x:v>400</x:v>
      </x:c>
      <x:c r="D21" s="8" t="n">
        <x:v>11</x:v>
      </x:c>
      <x:c r="E21" s="8" t="n">
        <x:v>7</x:v>
      </x:c>
      <x:c r="F21" s="8" t="n">
        <x:v>75094.3</x:v>
      </x:c>
      <x:c r="G21" s="8" t="n">
        <x:v>41970.26</x:v>
      </x:c>
      <x:c r="H21" s="8" t="n">
        <x:v>25774.92</x:v>
      </x:c>
      <x:c r="I21" s="8" t="n">
        <x:f>G21-F21</x:f>
        <x:v>-33124.04</x:v>
      </x:c>
      <x:c r="J21" s="10" t="n">
        <x:f>IF(F21=0,"n.a.",I21/F21)</x:f>
        <x:v>-0.4410992578664426</x:v>
      </x:c>
      <x:c r="K21" s="9" t="n">
        <x:f>IF(C21&gt;0,G21/C21,"n.a.")</x:f>
        <x:v>104.92565</x:v>
      </x:c>
      <x:c r="L21" s="9" t="n">
        <x:f>IF(C21&gt;0,H21/C21,"n.a.")</x:f>
        <x:v>64.4373</x:v>
      </x:c>
    </x:row>
    <x:row r="22" ht="22" customHeight="1">
      <x:c r="A22" s="8" t="str">
        <x:v>16 · France · Limousin</x:v>
      </x:c>
      <x:c r="B22" s="8" t="str">
        <x:v>Established, incomplete monthly coverage</x:v>
      </x:c>
      <x:c r="C22" s="8" t="n">
        <x:v>385</x:v>
      </x:c>
      <x:c r="D22" s="8" t="n">
        <x:v>12</x:v>
      </x:c>
      <x:c r="E22" s="8" t="n">
        <x:v>9</x:v>
      </x:c>
      <x:c r="F22" s="8" t="n">
        <x:v>62656.76</x:v>
      </x:c>
      <x:c r="G22" s="8" t="n">
        <x:v>54601.44</x:v>
      </x:c>
      <x:c r="H22" s="8" t="n">
        <x:v>32800.1</x:v>
      </x:c>
      <x:c r="I22" s="8" t="n">
        <x:f>G22-F22</x:f>
        <x:v>-8055.32</x:v>
      </x:c>
      <x:c r="J22" s="10" t="n">
        <x:f>IF(F22=0,"n.a.",I22/F22)</x:f>
        <x:v>-0.1285626642679896</x:v>
      </x:c>
      <x:c r="K22" s="9" t="n">
        <x:f>IF(C22&gt;0,G22/C22,"n.a.")</x:f>
        <x:v>141.8219220779221</x:v>
      </x:c>
      <x:c r="L22" s="9" t="n">
        <x:f>IF(C22&gt;0,H22/C22,"n.a.")</x:f>
        <x:v>85.19506493506493</x:v>
      </x:c>
    </x:row>
    <x:row r="23" ht="22" customHeight="1">
      <x:c r="A23" s="8" t="str">
        <x:v>17 · France · Martinique</x:v>
      </x:c>
      <x:c r="B23" s="8" t="str">
        <x:v>Established, incomplete monthly coverage</x:v>
      </x:c>
      <x:c r="C23" s="8" t="n">
        <x:v>350</x:v>
      </x:c>
      <x:c r="D23" s="8" t="n">
        <x:v>9</x:v>
      </x:c>
      <x:c r="E23" s="8" t="n">
        <x:v>8</x:v>
      </x:c>
      <x:c r="F23" s="8" t="n">
        <x:v>39113.11</x:v>
      </x:c>
      <x:c r="G23" s="8" t="n">
        <x:v>34240.51</x:v>
      </x:c>
      <x:c r="H23" s="8" t="n">
        <x:v>20939.86</x:v>
      </x:c>
      <x:c r="I23" s="8" t="n">
        <x:f>G23-F23</x:f>
        <x:v>-4872.5999999999985</x:v>
      </x:c>
      <x:c r="J23" s="10" t="n">
        <x:f>IF(F23=0,"n.a.",I23/F23)</x:f>
        <x:v>-0.12457715584365443</x:v>
      </x:c>
      <x:c r="K23" s="9" t="n">
        <x:f>IF(C23&gt;0,G23/C23,"n.a.")</x:f>
        <x:v>97.83002857142857</x:v>
      </x:c>
      <x:c r="L23" s="9" t="n">
        <x:f>IF(C23&gt;0,H23/C23,"n.a.")</x:f>
        <x:v>59.82817142857143</x:v>
      </x:c>
    </x:row>
    <x:row r="24" ht="22" customHeight="1">
      <x:c r="A24" s="8" t="str">
        <x:v>18 · France · Mayotte</x:v>
      </x:c>
      <x:c r="B24" s="8" t="str">
        <x:v>Established, incomplete monthly coverage</x:v>
      </x:c>
      <x:c r="C24" s="8" t="n">
        <x:v>310</x:v>
      </x:c>
      <x:c r="D24" s="8" t="n">
        <x:v>11</x:v>
      </x:c>
      <x:c r="E24" s="8" t="n">
        <x:v>8</x:v>
      </x:c>
      <x:c r="F24" s="8" t="n">
        <x:v>89756.71</x:v>
      </x:c>
      <x:c r="G24" s="8" t="n">
        <x:v>21675.38</x:v>
      </x:c>
      <x:c r="H24" s="8" t="n">
        <x:v>12186.83</x:v>
      </x:c>
      <x:c r="I24" s="8" t="n">
        <x:f>G24-F24</x:f>
        <x:v>-68081.33</x:v>
      </x:c>
      <x:c r="J24" s="10" t="n">
        <x:f>IF(F24=0,"n.a.",I24/F24)</x:f>
        <x:v>-0.7585096423431741</x:v>
      </x:c>
      <x:c r="K24" s="9" t="n">
        <x:f>IF(C24&gt;0,G24/C24,"n.a.")</x:f>
        <x:v>69.9205806451613</x:v>
      </x:c>
      <x:c r="L24" s="9" t="n">
        <x:f>IF(C24&gt;0,H24/C24,"n.a.")</x:f>
        <x:v>39.31235483870968</x:v>
      </x:c>
    </x:row>
    <x:row r="25" ht="22" customHeight="1">
      <x:c r="A25" s="8" t="str">
        <x:v>19 · Germany · Berlin</x:v>
      </x:c>
      <x:c r="B25" s="8" t="str">
        <x:v>Established, incomplete monthly coverage</x:v>
      </x:c>
      <x:c r="C25" s="8" t="n">
        <x:v>1295</x:v>
      </x:c>
      <x:c r="D25" s="8" t="n">
        <x:v>12</x:v>
      </x:c>
      <x:c r="E25" s="8" t="n">
        <x:v>9</x:v>
      </x:c>
      <x:c r="F25" s="8" t="n">
        <x:v>162502.45</x:v>
      </x:c>
      <x:c r="G25" s="8" t="n">
        <x:v>63005.84</x:v>
      </x:c>
      <x:c r="H25" s="8" t="n">
        <x:v>37443.18</x:v>
      </x:c>
      <x:c r="I25" s="8" t="n">
        <x:f>G25-F25</x:f>
        <x:v>-99496.61000000002</x:v>
      </x:c>
      <x:c r="J25" s="10" t="n">
        <x:f>IF(F25=0,"n.a.",I25/F25)</x:f>
        <x:v>-0.6122775995069614</x:v>
      </x:c>
      <x:c r="K25" s="9" t="n">
        <x:f>IF(C25&gt;0,G25/C25,"n.a.")</x:f>
        <x:v>48.6531583011583</x:v>
      </x:c>
      <x:c r="L25" s="9" t="n">
        <x:f>IF(C25&gt;0,H25/C25,"n.a.")</x:f>
        <x:v>28.91365250965251</x:v>
      </x:c>
    </x:row>
    <x:row r="26" ht="22" customHeight="1">
      <x:c r="A26" s="8" t="str">
        <x:v>20 · Germany · Brandenburg</x:v>
      </x:c>
      <x:c r="B26" s="8" t="str">
        <x:v>Established, incomplete monthly coverage</x:v>
      </x:c>
      <x:c r="C26" s="8" t="n">
        <x:v>1715</x:v>
      </x:c>
      <x:c r="D26" s="8" t="n">
        <x:v>6</x:v>
      </x:c>
      <x:c r="E26" s="8" t="n">
        <x:v>0</x:v>
      </x:c>
      <x:c r="F26" s="8" t="n">
        <x:v>89306.76</x:v>
      </x:c>
      <x:c r="G26" s="8" t="n">
        <x:v>0</x:v>
      </x:c>
      <x:c r="H26" s="8" t="n">
        <x:v>0</x:v>
      </x:c>
      <x:c r="I26" s="8" t="n">
        <x:f>G26-F26</x:f>
        <x:v>-89306.76</x:v>
      </x:c>
      <x:c r="J26" s="10" t="n">
        <x:f>IF(F26=0,"n.a.",I26/F26)</x:f>
        <x:v>-1</x:v>
      </x:c>
      <x:c r="K26" s="9" t="n">
        <x:f>IF(C26&gt;0,G26/C26,"n.a.")</x:f>
        <x:v>0</x:v>
      </x:c>
      <x:c r="L26" s="9" t="n">
        <x:f>IF(C26&gt;0,H26/C26,"n.a.")</x:f>
        <x:v>0</x:v>
      </x:c>
    </x:row>
    <x:row r="27" ht="22" customHeight="1">
      <x:c r="A27" s="8" t="str">
        <x:v>21 · Germany · Freie Hansestadt Bremen</x:v>
      </x:c>
      <x:c r="B27" s="8" t="str">
        <x:v>Established, incomplete monthly coverage</x:v>
      </x:c>
      <x:c r="C27" s="8" t="n">
        <x:v>560</x:v>
      </x:c>
      <x:c r="D27" s="8" t="n">
        <x:v>11</x:v>
      </x:c>
      <x:c r="E27" s="8" t="n">
        <x:v>10</x:v>
      </x:c>
      <x:c r="F27" s="8" t="n">
        <x:v>236119.93</x:v>
      </x:c>
      <x:c r="G27" s="8" t="n">
        <x:v>79077.78</x:v>
      </x:c>
      <x:c r="H27" s="8" t="n">
        <x:v>45149.08</x:v>
      </x:c>
      <x:c r="I27" s="8" t="n">
        <x:f>G27-F27</x:f>
        <x:v>-157042.15</x:v>
      </x:c>
      <x:c r="J27" s="10" t="n">
        <x:f>IF(F27=0,"n.a.",I27/F27)</x:f>
        <x:v>-0.6650948524336764</x:v>
      </x:c>
      <x:c r="K27" s="9" t="n">
        <x:f>IF(C27&gt;0,G27/C27,"n.a.")</x:f>
        <x:v>141.21032142857143</x:v>
      </x:c>
      <x:c r="L27" s="9" t="n">
        <x:f>IF(C27&gt;0,H27/C27,"n.a.")</x:f>
        <x:v>80.62335714285715</x:v>
      </x:c>
    </x:row>
    <x:row r="28" ht="22" customHeight="1">
      <x:c r="A28" s="8" t="str">
        <x:v>22 · Germany · Freistaat Thüringen</x:v>
      </x:c>
      <x:c r="B28" s="8" t="str">
        <x:v>Established, incomplete monthly coverage</x:v>
      </x:c>
      <x:c r="C28" s="8" t="n">
        <x:v>2000</x:v>
      </x:c>
      <x:c r="D28" s="8" t="n">
        <x:v>12</x:v>
      </x:c>
      <x:c r="E28" s="8" t="n">
        <x:v>11</x:v>
      </x:c>
      <x:c r="F28" s="8" t="n">
        <x:v>271521.3</x:v>
      </x:c>
      <x:c r="G28" s="8" t="n">
        <x:v>77482.26</x:v>
      </x:c>
      <x:c r="H28" s="8" t="n">
        <x:v>44132.02</x:v>
      </x:c>
      <x:c r="I28" s="8" t="n">
        <x:f>G28-F28</x:f>
        <x:v>-194039.03999999998</x:v>
      </x:c>
      <x:c r="J28" s="10" t="n">
        <x:f>IF(F28=0,"n.a.",I28/F28)</x:f>
        <x:v>-0.7146365312776566</x:v>
      </x:c>
      <x:c r="K28" s="9" t="n">
        <x:f>IF(C28&gt;0,G28/C28,"n.a.")</x:f>
        <x:v>38.74113</x:v>
      </x:c>
      <x:c r="L28" s="9" t="n">
        <x:f>IF(C28&gt;0,H28/C28,"n.a.")</x:f>
        <x:v>22.06601</x:v>
      </x:c>
    </x:row>
    <x:row r="29" ht="22" customHeight="1">
      <x:c r="A29" s="8" t="str">
        <x:v>23 · Germany · Hamburg</x:v>
      </x:c>
      <x:c r="B29" s="8" t="str">
        <x:v>Established, incomplete monthly coverage</x:v>
      </x:c>
      <x:c r="C29" s="8" t="n">
        <x:v>1365</x:v>
      </x:c>
      <x:c r="D29" s="8" t="n">
        <x:v>11</x:v>
      </x:c>
      <x:c r="E29" s="8" t="n">
        <x:v>11</x:v>
      </x:c>
      <x:c r="F29" s="8" t="n">
        <x:v>190784.22</x:v>
      </x:c>
      <x:c r="G29" s="8" t="n">
        <x:v>102549.27</x:v>
      </x:c>
      <x:c r="H29" s="8" t="n">
        <x:v>60874.53</x:v>
      </x:c>
      <x:c r="I29" s="8" t="n">
        <x:f>G29-F29</x:f>
        <x:v>-88234.95</x:v>
      </x:c>
      <x:c r="J29" s="10" t="n">
        <x:f>IF(F29=0,"n.a.",I29/F29)</x:f>
        <x:v>-0.46248557663731305</x:v>
      </x:c>
      <x:c r="K29" s="9" t="n">
        <x:f>IF(C29&gt;0,G29/C29,"n.a.")</x:f>
        <x:v>75.12767032967034</x:v>
      </x:c>
      <x:c r="L29" s="9" t="n">
        <x:f>IF(C29&gt;0,H29/C29,"n.a.")</x:f>
        <x:v>44.59672527472527</x:v>
      </x:c>
    </x:row>
    <x:row r="30" ht="22" customHeight="1">
      <x:c r="A30" s="8" t="str">
        <x:v>24 · Germany · Hessen</x:v>
      </x:c>
      <x:c r="B30" s="8" t="str">
        <x:v>Established, incomplete monthly coverage</x:v>
      </x:c>
      <x:c r="C30" s="8" t="n">
        <x:v>1855</x:v>
      </x:c>
      <x:c r="D30" s="8" t="n">
        <x:v>12</x:v>
      </x:c>
      <x:c r="E30" s="8" t="n">
        <x:v>11</x:v>
      </x:c>
      <x:c r="F30" s="8" t="n">
        <x:v>184961.16</x:v>
      </x:c>
      <x:c r="G30" s="8" t="n">
        <x:v>115336.7</x:v>
      </x:c>
      <x:c r="H30" s="8" t="n">
        <x:v>68015.33</x:v>
      </x:c>
      <x:c r="I30" s="8" t="n">
        <x:f>G30-F30</x:f>
        <x:v>-69624.46</x:v>
      </x:c>
      <x:c r="J30" s="10" t="n">
        <x:f>IF(F30=0,"n.a.",I30/F30)</x:f>
        <x:v>-0.376427461851991</x:v>
      </x:c>
      <x:c r="K30" s="9" t="n">
        <x:f>IF(C30&gt;0,G30/C30,"n.a.")</x:f>
        <x:v>62.17611859838275</x:v>
      </x:c>
      <x:c r="L30" s="9" t="n">
        <x:f>IF(C30&gt;0,H30/C30,"n.a.")</x:f>
        <x:v>36.66594609164421</x:v>
      </x:c>
    </x:row>
    <x:row r="31" ht="22" customHeight="1">
      <x:c r="A31" s="8" t="str">
        <x:v>25 · Germany · Mecklenburg-Vorpommern</x:v>
      </x:c>
      <x:c r="B31" s="8" t="str">
        <x:v>Established, incomplete monthly coverage</x:v>
      </x:c>
      <x:c r="C31" s="8" t="n">
        <x:v>1610</x:v>
      </x:c>
      <x:c r="D31" s="8" t="n">
        <x:v>0</x:v>
      </x:c>
      <x:c r="E31" s="8" t="n">
        <x:v>0</x:v>
      </x:c>
      <x:c r="F31" s="8" t="n">
        <x:v>0</x:v>
      </x:c>
      <x:c r="G31" s="8" t="n">
        <x:v>0</x:v>
      </x:c>
      <x:c r="H31" s="8" t="n">
        <x:v>0</x:v>
      </x:c>
      <x:c r="I31" s="8" t="n">
        <x:f>G31-F31</x:f>
        <x:v>0</x:v>
      </x:c>
      <x:c r="J31" s="10" t="str">
        <x:f>IF(F31=0,"n.a.",I31/F31)</x:f>
        <x:v>n.a.</x:v>
      </x:c>
      <x:c r="K31" s="9" t="n">
        <x:f>IF(C31&gt;0,G31/C31,"n.a.")</x:f>
        <x:v>0</x:v>
      </x:c>
      <x:c r="L31" s="9" t="n">
        <x:f>IF(C31&gt;0,H31/C31,"n.a.")</x:f>
        <x:v>0</x:v>
      </x:c>
    </x:row>
    <x:row r="32" ht="22" customHeight="1">
      <x:c r="A32" s="8" t="str">
        <x:v>26 · Germany · Saarland</x:v>
      </x:c>
      <x:c r="B32" s="8" t="str">
        <x:v>Opened 2019 or later</x:v>
      </x:c>
      <x:c r="C32" s="8" t="n">
        <x:v>350</x:v>
      </x:c>
      <x:c r="D32" s="8" t="n">
        <x:v>9</x:v>
      </x:c>
      <x:c r="E32" s="8" t="n">
        <x:v>10</x:v>
      </x:c>
      <x:c r="F32" s="8" t="n">
        <x:v>170160.62</x:v>
      </x:c>
      <x:c r="G32" s="8" t="n">
        <x:v>97216.75</x:v>
      </x:c>
      <x:c r="H32" s="8" t="n">
        <x:v>59030.57</x:v>
      </x:c>
      <x:c r="I32" s="8" t="n">
        <x:f>G32-F32</x:f>
        <x:v>-72943.87</x:v>
      </x:c>
      <x:c r="J32" s="10" t="n">
        <x:f>IF(F32=0,"n.a.",I32/F32)</x:f>
        <x:v>-0.4286765645306182</x:v>
      </x:c>
      <x:c r="K32" s="9" t="n">
        <x:f>IF(C32&gt;0,G32/C32,"n.a.")</x:f>
        <x:v>277.76214285714286</x:v>
      </x:c>
      <x:c r="L32" s="9" t="n">
        <x:f>IF(C32&gt;0,H32/C32,"n.a.")</x:f>
        <x:v>168.65877142857144</x:v>
      </x:c>
    </x:row>
    <x:row r="33" ht="22" customHeight="1">
      <x:c r="A33" s="8" t="str">
        <x:v>27 · Germany · Sachsen-Anhalt</x:v>
      </x:c>
      <x:c r="B33" s="8" t="str">
        <x:v>Established, incomplete monthly coverage</x:v>
      </x:c>
      <x:c r="C33" s="8" t="n">
        <x:v>2000</x:v>
      </x:c>
      <x:c r="D33" s="8" t="n">
        <x:v>12</x:v>
      </x:c>
      <x:c r="E33" s="8" t="n">
        <x:v>11</x:v>
      </x:c>
      <x:c r="F33" s="8" t="n">
        <x:v>214439.51</x:v>
      </x:c>
      <x:c r="G33" s="8" t="n">
        <x:v>88326.31</x:v>
      </x:c>
      <x:c r="H33" s="8" t="n">
        <x:v>50052.85</x:v>
      </x:c>
      <x:c r="I33" s="8" t="n">
        <x:f>G33-F33</x:f>
        <x:v>-126113.20000000001</x:v>
      </x:c>
      <x:c r="J33" s="10" t="n">
        <x:f>IF(F33=0,"n.a.",I33/F33)</x:f>
        <x:v>-0.5881061750234368</x:v>
      </x:c>
      <x:c r="K33" s="9" t="n">
        <x:f>IF(C33&gt;0,G33/C33,"n.a.")</x:f>
        <x:v>44.163154999999996</x:v>
      </x:c>
      <x:c r="L33" s="9" t="n">
        <x:f>IF(C33&gt;0,H33/C33,"n.a.")</x:f>
        <x:v>25.026425</x:v>
      </x:c>
    </x:row>
    <x:row r="34" ht="22" customHeight="1">
      <x:c r="A34" s="8" t="str">
        <x:v>28 · Italy · Caltanissetta</x:v>
      </x:c>
      <x:c r="B34" s="8" t="str">
        <x:v>Established, incomplete monthly coverage</x:v>
      </x:c>
      <x:c r="C34" s="8" t="n">
        <x:v>1200</x:v>
      </x:c>
      <x:c r="D34" s="8" t="n">
        <x:v>0</x:v>
      </x:c>
      <x:c r="E34" s="8" t="n">
        <x:v>0</x:v>
      </x:c>
      <x:c r="F34" s="8" t="n">
        <x:v>0</x:v>
      </x:c>
      <x:c r="G34" s="8" t="n">
        <x:v>0</x:v>
      </x:c>
      <x:c r="H34" s="8" t="n">
        <x:v>0</x:v>
      </x:c>
      <x:c r="I34" s="8" t="n">
        <x:f>G34-F34</x:f>
        <x:v>0</x:v>
      </x:c>
      <x:c r="J34" s="10" t="str">
        <x:f>IF(F34=0,"n.a.",I34/F34)</x:f>
        <x:v>n.a.</x:v>
      </x:c>
      <x:c r="K34" s="9" t="n">
        <x:f>IF(C34&gt;0,G34/C34,"n.a.")</x:f>
        <x:v>0</x:v>
      </x:c>
      <x:c r="L34" s="9" t="n">
        <x:f>IF(C34&gt;0,H34/C34,"n.a.")</x:f>
        <x:v>0</x:v>
      </x:c>
    </x:row>
    <x:row r="35" ht="22" customHeight="1">
      <x:c r="A35" s="8" t="str">
        <x:v>29 · Italy · Enna</x:v>
      </x:c>
      <x:c r="B35" s="8" t="str">
        <x:v>Established, incomplete monthly coverage</x:v>
      </x:c>
      <x:c r="C35" s="8" t="n">
        <x:v>1000</x:v>
      </x:c>
      <x:c r="D35" s="8" t="n">
        <x:v>11</x:v>
      </x:c>
      <x:c r="E35" s="8" t="n">
        <x:v>9</x:v>
      </x:c>
      <x:c r="F35" s="8" t="n">
        <x:v>278462.89</x:v>
      </x:c>
      <x:c r="G35" s="8" t="n">
        <x:v>121895.59</x:v>
      </x:c>
      <x:c r="H35" s="8" t="n">
        <x:v>70300.94</x:v>
      </x:c>
      <x:c r="I35" s="8" t="n">
        <x:f>G35-F35</x:f>
        <x:v>-156567.30000000002</x:v>
      </x:c>
      <x:c r="J35" s="10" t="n">
        <x:f>IF(F35=0,"n.a.",I35/F35)</x:f>
        <x:v>-0.5622555307100346</x:v>
      </x:c>
      <x:c r="K35" s="9" t="n">
        <x:f>IF(C35&gt;0,G35/C35,"n.a.")</x:f>
        <x:v>121.89559</x:v>
      </x:c>
      <x:c r="L35" s="9" t="n">
        <x:f>IF(C35&gt;0,H35/C35,"n.a.")</x:f>
        <x:v>70.30094</x:v>
      </x:c>
    </x:row>
    <x:row r="36" ht="22" customHeight="1">
      <x:c r="A36" s="8" t="str">
        <x:v>30 · Italy · Pesaro</x:v>
      </x:c>
      <x:c r="B36" s="8" t="str">
        <x:v>Established, incomplete monthly coverage</x:v>
      </x:c>
      <x:c r="C36" s="8" t="n">
        <x:v>2100</x:v>
      </x:c>
      <x:c r="D36" s="8" t="n">
        <x:v>11</x:v>
      </x:c>
      <x:c r="E36" s="8" t="n">
        <x:v>8</x:v>
      </x:c>
      <x:c r="F36" s="8" t="n">
        <x:v>283358.34</x:v>
      </x:c>
      <x:c r="G36" s="8" t="n">
        <x:v>138923.94</x:v>
      </x:c>
      <x:c r="H36" s="8" t="n">
        <x:v>81156.71</x:v>
      </x:c>
      <x:c r="I36" s="8" t="n">
        <x:f>G36-F36</x:f>
        <x:v>-144434.40000000002</x:v>
      </x:c>
      <x:c r="J36" s="10" t="n">
        <x:f>IF(F36=0,"n.a.",I36/F36)</x:f>
        <x:v>-0.5097234829933011</x:v>
      </x:c>
      <x:c r="K36" s="9" t="n">
        <x:f>IF(C36&gt;0,G36/C36,"n.a.")</x:f>
        <x:v>66.15425714285715</x:v>
      </x:c>
      <x:c r="L36" s="9" t="n">
        <x:f>IF(C36&gt;0,H36/C36,"n.a.")</x:f>
        <x:v>38.64605238095238</x:v>
      </x:c>
    </x:row>
    <x:row r="37" ht="22" customHeight="1">
      <x:c r="A37" s="8" t="str">
        <x:v>31 · Netherlands · Drenthe</x:v>
      </x:c>
      <x:c r="B37" s="8" t="str">
        <x:v>Established, incomplete monthly coverage</x:v>
      </x:c>
      <x:c r="C37" s="8" t="n">
        <x:v>1085</x:v>
      </x:c>
      <x:c r="D37" s="8" t="n">
        <x:v>12</x:v>
      </x:c>
      <x:c r="E37" s="8" t="n">
        <x:v>10</x:v>
      </x:c>
      <x:c r="F37" s="8" t="n">
        <x:v>108981.54</x:v>
      </x:c>
      <x:c r="G37" s="8" t="n">
        <x:v>52753.88</x:v>
      </x:c>
      <x:c r="H37" s="8" t="n">
        <x:v>31250.03</x:v>
      </x:c>
      <x:c r="I37" s="8" t="n">
        <x:f>G37-F37</x:f>
        <x:v>-56227.659999999996</x:v>
      </x:c>
      <x:c r="J37" s="10" t="n">
        <x:f>IF(F37=0,"n.a.",I37/F37)</x:f>
        <x:v>-0.5159374697769916</x:v>
      </x:c>
      <x:c r="K37" s="9" t="n">
        <x:f>IF(C37&gt;0,G37/C37,"n.a.")</x:f>
        <x:v>48.62108755760369</x:v>
      </x:c>
      <x:c r="L37" s="9" t="n">
        <x:f>IF(C37&gt;0,H37/C37,"n.a.")</x:f>
        <x:v>28.801870967741934</x:v>
      </x:c>
    </x:row>
    <x:row r="38" ht="22" customHeight="1">
      <x:c r="A38" s="8" t="str">
        <x:v>32 · Netherlands · Flevoland</x:v>
      </x:c>
      <x:c r="B38" s="8" t="str">
        <x:v>Established, incomplete monthly coverage</x:v>
      </x:c>
      <x:c r="C38" s="8" t="n">
        <x:v>910</x:v>
      </x:c>
      <x:c r="D38" s="8" t="n">
        <x:v>11</x:v>
      </x:c>
      <x:c r="E38" s="8" t="n">
        <x:v>10</x:v>
      </x:c>
      <x:c r="F38" s="8" t="n">
        <x:v>145191.95</x:v>
      </x:c>
      <x:c r="G38" s="8" t="n">
        <x:v>63065.97</x:v>
      </x:c>
      <x:c r="H38" s="8" t="n">
        <x:v>37016.01</x:v>
      </x:c>
      <x:c r="I38" s="8" t="n">
        <x:f>G38-F38</x:f>
        <x:v>-82125.98000000001</x:v>
      </x:c>
      <x:c r="J38" s="10" t="n">
        <x:f>IF(F38=0,"n.a.",I38/F38)</x:f>
        <x:v>-0.565637282232245</x:v>
      </x:c>
      <x:c r="K38" s="9" t="n">
        <x:f>IF(C38&gt;0,G38/C38,"n.a.")</x:f>
        <x:v>69.30326373626374</x:v>
      </x:c>
      <x:c r="L38" s="9" t="n">
        <x:f>IF(C38&gt;0,H38/C38,"n.a.")</x:f>
        <x:v>40.67693406593407</x:v>
      </x:c>
    </x:row>
    <x:row r="39" ht="22" customHeight="1">
      <x:c r="A39" s="8" t="str">
        <x:v>33 · Netherlands · Friesland</x:v>
      </x:c>
      <x:c r="B39" s="8" t="str">
        <x:v>Established, incomplete monthly coverage</x:v>
      </x:c>
      <x:c r="C39" s="8" t="n">
        <x:v>1540</x:v>
      </x:c>
      <x:c r="D39" s="8" t="n">
        <x:v>12</x:v>
      </x:c>
      <x:c r="E39" s="8" t="n">
        <x:v>11</x:v>
      </x:c>
      <x:c r="F39" s="8" t="n">
        <x:v>132373.85</x:v>
      </x:c>
      <x:c r="G39" s="8" t="n">
        <x:v>80749.14</x:v>
      </x:c>
      <x:c r="H39" s="8" t="n">
        <x:v>47330.49</x:v>
      </x:c>
      <x:c r="I39" s="8" t="n">
        <x:f>G39-F39</x:f>
        <x:v>-51624.71000000001</x:v>
      </x:c>
      <x:c r="J39" s="10" t="n">
        <x:f>IF(F39=0,"n.a.",I39/F39)</x:f>
        <x:v>-0.3899917544137305</x:v>
      </x:c>
      <x:c r="K39" s="9" t="n">
        <x:f>IF(C39&gt;0,G39/C39,"n.a.")</x:f>
        <x:v>52.43450649350649</x:v>
      </x:c>
      <x:c r="L39" s="9" t="n">
        <x:f>IF(C39&gt;0,H39/C39,"n.a.")</x:f>
        <x:v>30.734084415584416</x:v>
      </x:c>
    </x:row>
    <x:row r="40" ht="22" customHeight="1">
      <x:c r="A40" s="8" t="str">
        <x:v>34 · Netherlands · Groningen</x:v>
      </x:c>
      <x:c r="B40" s="8" t="str">
        <x:v>Established, incomplete monthly coverage</x:v>
      </x:c>
      <x:c r="C40" s="8" t="n">
        <x:v>1365</x:v>
      </x:c>
      <x:c r="D40" s="8" t="n">
        <x:v>11</x:v>
      </x:c>
      <x:c r="E40" s="8" t="n">
        <x:v>9</x:v>
      </x:c>
      <x:c r="F40" s="8" t="n">
        <x:v>129759.5</x:v>
      </x:c>
      <x:c r="G40" s="8" t="n">
        <x:v>53751.32</x:v>
      </x:c>
      <x:c r="H40" s="8" t="n">
        <x:v>30956.34</x:v>
      </x:c>
      <x:c r="I40" s="8" t="n">
        <x:f>G40-F40</x:f>
        <x:v>-76008.18</x:v>
      </x:c>
      <x:c r="J40" s="10" t="n">
        <x:f>IF(F40=0,"n.a.",I40/F40)</x:f>
        <x:v>-0.5857619673318716</x:v>
      </x:c>
      <x:c r="K40" s="9" t="n">
        <x:f>IF(C40&gt;0,G40/C40,"n.a.")</x:f>
        <x:v>39.37825641025641</x:v>
      </x:c>
      <x:c r="L40" s="9" t="n">
        <x:f>IF(C40&gt;0,H40/C40,"n.a.")</x:f>
        <x:v>22.678637362637364</x:v>
      </x:c>
    </x:row>
    <x:row r="41" ht="22" customHeight="1">
      <x:c r="A41" s="8" t="str">
        <x:v>35 · Netherlands · Zeeland</x:v>
      </x:c>
      <x:c r="B41" s="8" t="str">
        <x:v>Established, incomplete monthly coverage</x:v>
      </x:c>
      <x:c r="C41" s="8" t="n">
        <x:v>1225</x:v>
      </x:c>
      <x:c r="D41" s="8" t="n">
        <x:v>0</x:v>
      </x:c>
      <x:c r="E41" s="8" t="n">
        <x:v>0</x:v>
      </x:c>
      <x:c r="F41" s="8" t="n">
        <x:v>0</x:v>
      </x:c>
      <x:c r="G41" s="8" t="n">
        <x:v>0</x:v>
      </x:c>
      <x:c r="H41" s="8" t="n">
        <x:v>0</x:v>
      </x:c>
      <x:c r="I41" s="8" t="n">
        <x:f>G41-F41</x:f>
        <x:v>0</x:v>
      </x:c>
      <x:c r="J41" s="10" t="str">
        <x:f>IF(F41=0,"n.a.",I41/F41)</x:f>
        <x:v>n.a.</x:v>
      </x:c>
      <x:c r="K41" s="9" t="n">
        <x:f>IF(C41&gt;0,G41/C41,"n.a.")</x:f>
        <x:v>0</x:v>
      </x:c>
      <x:c r="L41" s="9" t="n">
        <x:f>IF(C41&gt;0,H41/C41,"n.a.")</x:f>
        <x:v>0</x:v>
      </x:c>
    </x:row>
    <x:row r="42" ht="22" customHeight="1">
      <x:c r="A42" s="8" t="str">
        <x:v>36 · United Kingdom · Armagh</x:v>
      </x:c>
      <x:c r="B42" s="8" t="str">
        <x:v>Established, incomplete monthly coverage</x:v>
      </x:c>
      <x:c r="C42" s="8" t="n">
        <x:v>1300</x:v>
      </x:c>
      <x:c r="D42" s="8" t="n">
        <x:v>12</x:v>
      </x:c>
      <x:c r="E42" s="8" t="n">
        <x:v>11</x:v>
      </x:c>
      <x:c r="F42" s="8" t="n">
        <x:v>286993.68</x:v>
      </x:c>
      <x:c r="G42" s="8" t="n">
        <x:v>130175.95</x:v>
      </x:c>
      <x:c r="H42" s="8" t="n">
        <x:v>75064.2</x:v>
      </x:c>
      <x:c r="I42" s="8" t="n">
        <x:f>G42-F42</x:f>
        <x:v>-156817.72999999998</x:v>
      </x:c>
      <x:c r="J42" s="10" t="n">
        <x:f>IF(F42=0,"n.a.",I42/F42)</x:f>
        <x:v>-0.5464152729774397</x:v>
      </x:c>
      <x:c r="K42" s="9" t="n">
        <x:f>IF(C42&gt;0,G42/C42,"n.a.")</x:f>
        <x:v>100.13534615384616</x:v>
      </x:c>
      <x:c r="L42" s="9" t="n">
        <x:f>IF(C42&gt;0,H42/C42,"n.a.")</x:f>
        <x:v>57.741692307692304</x:v>
      </x:c>
    </x:row>
    <x:row r="43" ht="22" customHeight="1">
      <x:c r="A43" s="8" t="str">
        <x:v>37 · United Kingdom · Ayrshire</x:v>
      </x:c>
      <x:c r="B43" s="8" t="str">
        <x:v>Established, incomplete monthly coverage</x:v>
      </x:c>
      <x:c r="C43" s="8" t="n">
        <x:v>2100</x:v>
      </x:c>
      <x:c r="D43" s="8" t="n">
        <x:v>12</x:v>
      </x:c>
      <x:c r="E43" s="8" t="n">
        <x:v>11</x:v>
      </x:c>
      <x:c r="F43" s="8" t="n">
        <x:v>204682.65</x:v>
      </x:c>
      <x:c r="G43" s="8" t="n">
        <x:v>118089.63</x:v>
      </x:c>
      <x:c r="H43" s="8" t="n">
        <x:v>68702.24</x:v>
      </x:c>
      <x:c r="I43" s="8" t="n">
        <x:f>G43-F43</x:f>
        <x:v>-86593.01999999999</x:v>
      </x:c>
      <x:c r="J43" s="10" t="n">
        <x:f>IF(F43=0,"n.a.",I43/F43)</x:f>
        <x:v>-0.42305989296112784</x:v>
      </x:c>
      <x:c r="K43" s="9" t="n">
        <x:f>IF(C43&gt;0,G43/C43,"n.a.")</x:f>
        <x:v>56.233157142857145</x:v>
      </x:c>
      <x:c r="L43" s="9" t="n">
        <x:f>IF(C43&gt;0,H43/C43,"n.a.")</x:f>
        <x:v>32.71535238095238</x:v>
      </x:c>
    </x:row>
    <x:row r="44" ht="22" customHeight="1">
      <x:c r="A44" s="8" t="str">
        <x:v>38 · United Kingdom · Belfast</x:v>
      </x:c>
      <x:c r="B44" s="8" t="str">
        <x:v>Established, incomplete monthly coverage</x:v>
      </x:c>
      <x:c r="C44" s="8" t="n">
        <x:v>1800</x:v>
      </x:c>
      <x:c r="D44" s="8" t="n">
        <x:v>11</x:v>
      </x:c>
      <x:c r="E44" s="8" t="n">
        <x:v>12</x:v>
      </x:c>
      <x:c r="F44" s="8" t="n">
        <x:v>285114.75</x:v>
      </x:c>
      <x:c r="G44" s="8" t="n">
        <x:v>151441.8</x:v>
      </x:c>
      <x:c r="H44" s="8" t="n">
        <x:v>88344.67</x:v>
      </x:c>
      <x:c r="I44" s="8" t="n">
        <x:f>G44-F44</x:f>
        <x:v>-133672.95</x:v>
      </x:c>
      <x:c r="J44" s="10" t="n">
        <x:f>IF(F44=0,"n.a.",I44/F44)</x:f>
        <x:v>-0.46883912529955046</x:v>
      </x:c>
      <x:c r="K44" s="9" t="n">
        <x:f>IF(C44&gt;0,G44/C44,"n.a.")</x:f>
        <x:v>84.13433333333333</x:v>
      </x:c>
      <x:c r="L44" s="9" t="n">
        <x:f>IF(C44&gt;0,H44/C44,"n.a.")</x:f>
        <x:v>49.08037222222222</x:v>
      </x:c>
    </x:row>
    <x:row r="45" ht="22" customHeight="1">
      <x:c r="A45" s="8" t="str">
        <x:v>39 · United Kingdom · Blaenau Gwent</x:v>
      </x:c>
      <x:c r="B45" s="8" t="str">
        <x:v>Strict same-store</x:v>
      </x:c>
      <x:c r="C45" s="8" t="n">
        <x:v>2100</x:v>
      </x:c>
      <x:c r="D45" s="8" t="n">
        <x:v>12</x:v>
      </x:c>
      <x:c r="E45" s="8" t="n">
        <x:v>12</x:v>
      </x:c>
      <x:c r="F45" s="8" t="n">
        <x:v>338792.19</x:v>
      </x:c>
      <x:c r="G45" s="8" t="n">
        <x:v>142362.65</x:v>
      </x:c>
      <x:c r="H45" s="8" t="n">
        <x:v>84626.86</x:v>
      </x:c>
      <x:c r="I45" s="8" t="n">
        <x:f>G45-F45</x:f>
        <x:v>-196429.54</x:v>
      </x:c>
      <x:c r="J45" s="10" t="n">
        <x:f>IF(F45=0,"n.a.",I45/F45)</x:f>
        <x:v>-0.5797935896928439</x:v>
      </x:c>
      <x:c r="K45" s="9" t="n">
        <x:f>IF(C45&gt;0,G45/C45,"n.a.")</x:f>
        <x:v>67.79173809523809</x:v>
      </x:c>
      <x:c r="L45" s="9" t="n">
        <x:f>IF(C45&gt;0,H45/C45,"n.a.")</x:f>
        <x:v>40.29850476190476</x:v>
      </x:c>
    </x:row>
    <x:row r="46" ht="22" customHeight="1">
      <x:c r="A46" s="8" t="str">
        <x:v>40 · United Kingdom · Dungannon and South Tyrone</x:v>
      </x:c>
      <x:c r="B46" s="8" t="str">
        <x:v>Established, incomplete monthly coverage</x:v>
      </x:c>
      <x:c r="C46" s="8" t="n">
        <x:v>1300</x:v>
      </x:c>
      <x:c r="D46" s="8" t="n">
        <x:v>11</x:v>
      </x:c>
      <x:c r="E46" s="8" t="n">
        <x:v>10</x:v>
      </x:c>
      <x:c r="F46" s="8" t="n">
        <x:v>289201.17</x:v>
      </x:c>
      <x:c r="G46" s="8" t="n">
        <x:v>126625.84</x:v>
      </x:c>
      <x:c r="H46" s="8" t="n">
        <x:v>73668.44</x:v>
      </x:c>
      <x:c r="I46" s="8" t="n">
        <x:f>G46-F46</x:f>
        <x:v>-162575.33</x:v>
      </x:c>
      <x:c r="J46" s="10" t="n">
        <x:f>IF(F46=0,"n.a.",I46/F46)</x:f>
        <x:v>-0.5621530853419437</x:v>
      </x:c>
      <x:c r="K46" s="9" t="n">
        <x:f>IF(C46&gt;0,G46/C46,"n.a.")</x:f>
        <x:v>97.40449230769231</x:v>
      </x:c>
      <x:c r="L46" s="9" t="n">
        <x:f>IF(C46&gt;0,H46/C46,"n.a.")</x:f>
        <x:v>56.66803076923077</x:v>
      </x:c>
    </x:row>
    <x:row r="47" ht="22" customHeight="1">
      <x:c r="A47" s="8" t="str">
        <x:v>41 · United Kingdom · Fermanagh</x:v>
      </x:c>
      <x:c r="B47" s="8" t="str">
        <x:v>Established, incomplete monthly coverage</x:v>
      </x:c>
      <x:c r="C47" s="8" t="n">
        <x:v>2100</x:v>
      </x:c>
      <x:c r="D47" s="8" t="n">
        <x:v>0</x:v>
      </x:c>
      <x:c r="E47" s="8" t="n">
        <x:v>0</x:v>
      </x:c>
      <x:c r="F47" s="8" t="n">
        <x:v>0</x:v>
      </x:c>
      <x:c r="G47" s="8" t="n">
        <x:v>0</x:v>
      </x:c>
      <x:c r="H47" s="8" t="n">
        <x:v>0</x:v>
      </x:c>
      <x:c r="I47" s="8" t="n">
        <x:f>G47-F47</x:f>
        <x:v>0</x:v>
      </x:c>
      <x:c r="J47" s="10" t="str">
        <x:f>IF(F47=0,"n.a.",I47/F47)</x:f>
        <x:v>n.a.</x:v>
      </x:c>
      <x:c r="K47" s="9" t="n">
        <x:f>IF(C47&gt;0,G47/C47,"n.a.")</x:f>
        <x:v>0</x:v>
      </x:c>
      <x:c r="L47" s="9" t="n">
        <x:f>IF(C47&gt;0,H47/C47,"n.a.")</x:f>
        <x:v>0</x:v>
      </x:c>
    </x:row>
    <x:row r="48" ht="22" customHeight="1">
      <x:c r="A48" s="8" t="str">
        <x:v>42 · United Kingdom · North Down</x:v>
      </x:c>
      <x:c r="B48" s="8" t="str">
        <x:v>Established, incomplete monthly coverage</x:v>
      </x:c>
      <x:c r="C48" s="8" t="n">
        <x:v>1900</x:v>
      </x:c>
      <x:c r="D48" s="8" t="n">
        <x:v>12</x:v>
      </x:c>
      <x:c r="E48" s="8" t="n">
        <x:v>10</x:v>
      </x:c>
      <x:c r="F48" s="8" t="n">
        <x:v>296544.55</x:v>
      </x:c>
      <x:c r="G48" s="8" t="n">
        <x:v>129894.15</x:v>
      </x:c>
      <x:c r="H48" s="8" t="n">
        <x:v>75258.77</x:v>
      </x:c>
      <x:c r="I48" s="8" t="n">
        <x:f>G48-F48</x:f>
        <x:v>-166650.4</x:v>
      </x:c>
      <x:c r="J48" s="10" t="n">
        <x:f>IF(F48=0,"n.a.",I48/F48)</x:f>
        <x:v>-0.5619742463653438</x:v>
      </x:c>
      <x:c r="K48" s="9" t="n">
        <x:f>IF(C48&gt;0,G48/C48,"n.a.")</x:f>
        <x:v>68.36534210526315</x:v>
      </x:c>
      <x:c r="L48" s="9" t="n">
        <x:f>IF(C48&gt;0,H48/C48,"n.a.")</x:f>
        <x:v>39.60987894736842</x:v>
      </x:c>
    </x:row>
    <x:row r="49" ht="22" customHeight="1">
      <x:c r="A49" s="8" t="str">
        <x:v>43 · United States · Alaska</x:v>
      </x:c>
      <x:c r="B49" s="8" t="str">
        <x:v>Established, incomplete monthly coverage</x:v>
      </x:c>
      <x:c r="C49" s="8" t="n">
        <x:v>1190</x:v>
      </x:c>
      <x:c r="D49" s="8" t="n">
        <x:v>11</x:v>
      </x:c>
      <x:c r="E49" s="8" t="n">
        <x:v>12</x:v>
      </x:c>
      <x:c r="F49" s="8" t="n">
        <x:v>469094.42</x:v>
      </x:c>
      <x:c r="G49" s="8" t="n">
        <x:v>263444.43</x:v>
      </x:c>
      <x:c r="H49" s="8" t="n">
        <x:v>156566.67</x:v>
      </x:c>
      <x:c r="I49" s="8" t="n">
        <x:f>G49-F49</x:f>
        <x:v>-205649.99</x:v>
      </x:c>
      <x:c r="J49" s="10" t="n">
        <x:f>IF(F49=0,"n.a.",I49/F49)</x:f>
        <x:v>-0.4383978602857821</x:v>
      </x:c>
      <x:c r="K49" s="9" t="n">
        <x:f>IF(C49&gt;0,G49/C49,"n.a.")</x:f>
        <x:v>221.3818739495798</x:v>
      </x:c>
      <x:c r="L49" s="9" t="n">
        <x:f>IF(C49&gt;0,H49/C49,"n.a.")</x:f>
        <x:v>131.56863025210086</x:v>
      </x:c>
    </x:row>
    <x:row r="50" ht="22" customHeight="1">
      <x:c r="A50" s="8" t="str">
        <x:v>44 · United States · Arkansas</x:v>
      </x:c>
      <x:c r="B50" s="8" t="str">
        <x:v>Established, incomplete monthly coverage</x:v>
      </x:c>
      <x:c r="C50" s="8" t="n">
        <x:v>2000</x:v>
      </x:c>
      <x:c r="D50" s="8" t="n">
        <x:v>12</x:v>
      </x:c>
      <x:c r="E50" s="8" t="n">
        <x:v>11</x:v>
      </x:c>
      <x:c r="F50" s="8" t="n">
        <x:v>374484.08</x:v>
      </x:c>
      <x:c r="G50" s="8" t="n">
        <x:v>206960.59</x:v>
      </x:c>
      <x:c r="H50" s="8" t="n">
        <x:v>123847.53</x:v>
      </x:c>
      <x:c r="I50" s="8" t="n">
        <x:f>G50-F50</x:f>
        <x:v>-167523.49000000002</x:v>
      </x:c>
      <x:c r="J50" s="10" t="n">
        <x:f>IF(F50=0,"n.a.",I50/F50)</x:f>
        <x:v>-0.44734475761960296</x:v>
      </x:c>
      <x:c r="K50" s="9" t="n">
        <x:f>IF(C50&gt;0,G50/C50,"n.a.")</x:f>
        <x:v>103.480295</x:v>
      </x:c>
      <x:c r="L50" s="9" t="n">
        <x:f>IF(C50&gt;0,H50/C50,"n.a.")</x:f>
        <x:v>61.923764999999996</x:v>
      </x:c>
    </x:row>
    <x:row r="51" ht="22" customHeight="1">
      <x:c r="A51" s="8" t="str">
        <x:v>45 · United States · Connecticut</x:v>
      </x:c>
      <x:c r="B51" s="8" t="str">
        <x:v>Strict same-store</x:v>
      </x:c>
      <x:c r="C51" s="8" t="n">
        <x:v>2000</x:v>
      </x:c>
      <x:c r="D51" s="8" t="n">
        <x:v>12</x:v>
      </x:c>
      <x:c r="E51" s="8" t="n">
        <x:v>12</x:v>
      </x:c>
      <x:c r="F51" s="8" t="n">
        <x:v>407442.5</x:v>
      </x:c>
      <x:c r="G51" s="8" t="n">
        <x:v>276715.11</x:v>
      </x:c>
      <x:c r="H51" s="8" t="n">
        <x:v>164503.01</x:v>
      </x:c>
      <x:c r="I51" s="8" t="n">
        <x:f>G51-F51</x:f>
        <x:v>-130727.39000000001</x:v>
      </x:c>
      <x:c r="J51" s="10" t="n">
        <x:f>IF(F51=0,"n.a.",I51/F51)</x:f>
        <x:v>-0.320848684170159</x:v>
      </x:c>
      <x:c r="K51" s="9" t="n">
        <x:f>IF(C51&gt;0,G51/C51,"n.a.")</x:f>
        <x:v>138.357555</x:v>
      </x:c>
      <x:c r="L51" s="9" t="n">
        <x:f>IF(C51&gt;0,H51/C51,"n.a.")</x:f>
        <x:v>82.25150500000001</x:v>
      </x:c>
    </x:row>
    <x:row r="52" ht="22" customHeight="1">
      <x:c r="A52" s="8" t="str">
        <x:v>46 · United States · Delaware</x:v>
      </x:c>
      <x:c r="B52" s="8" t="str">
        <x:v>Established, incomplete monthly coverage</x:v>
      </x:c>
      <x:c r="C52" s="8" t="n">
        <x:v>1015</x:v>
      </x:c>
      <x:c r="D52" s="8" t="n">
        <x:v>0</x:v>
      </x:c>
      <x:c r="E52" s="8" t="n">
        <x:v>0</x:v>
      </x:c>
      <x:c r="F52" s="8" t="n">
        <x:v>0</x:v>
      </x:c>
      <x:c r="G52" s="8" t="n">
        <x:v>0</x:v>
      </x:c>
      <x:c r="H52" s="8" t="n">
        <x:v>0</x:v>
      </x:c>
      <x:c r="I52" s="8" t="n">
        <x:f>G52-F52</x:f>
        <x:v>0</x:v>
      </x:c>
      <x:c r="J52" s="10" t="str">
        <x:f>IF(F52=0,"n.a.",I52/F52)</x:f>
        <x:v>n.a.</x:v>
      </x:c>
      <x:c r="K52" s="9" t="n">
        <x:f>IF(C52&gt;0,G52/C52,"n.a.")</x:f>
        <x:v>0</x:v>
      </x:c>
      <x:c r="L52" s="9" t="n">
        <x:f>IF(C52&gt;0,H52/C52,"n.a.")</x:f>
        <x:v>0</x:v>
      </x:c>
    </x:row>
    <x:row r="53" ht="22" customHeight="1">
      <x:c r="A53" s="8" t="str">
        <x:v>47 · United States · Hawaii</x:v>
      </x:c>
      <x:c r="B53" s="8" t="str">
        <x:v>Established, incomplete monthly coverage</x:v>
      </x:c>
      <x:c r="C53" s="8" t="n">
        <x:v>1120</x:v>
      </x:c>
      <x:c r="D53" s="8" t="n">
        <x:v>12</x:v>
      </x:c>
      <x:c r="E53" s="8" t="n">
        <x:v>11</x:v>
      </x:c>
      <x:c r="F53" s="8" t="n">
        <x:v>410915.21</x:v>
      </x:c>
      <x:c r="G53" s="8" t="n">
        <x:v>205304.34</x:v>
      </x:c>
      <x:c r="H53" s="8" t="n">
        <x:v>115564.39</x:v>
      </x:c>
      <x:c r="I53" s="8" t="n">
        <x:f>G53-F53</x:f>
        <x:v>-205610.87000000002</x:v>
      </x:c>
      <x:c r="J53" s="10" t="n">
        <x:f>IF(F53=0,"n.a.",I53/F53)</x:f>
        <x:v>-0.5003729844899146</x:v>
      </x:c>
      <x:c r="K53" s="9" t="n">
        <x:f>IF(C53&gt;0,G53/C53,"n.a.")</x:f>
        <x:v>183.30744642857144</x:v>
      </x:c>
      <x:c r="L53" s="9" t="n">
        <x:f>IF(C53&gt;0,H53/C53,"n.a.")</x:f>
        <x:v>103.18249107142857</x:v>
      </x:c>
    </x:row>
    <x:row r="54" ht="22" customHeight="1">
      <x:c r="A54" s="8" t="str">
        <x:v>48 · United States · Idaho</x:v>
      </x:c>
      <x:c r="B54" s="8" t="str">
        <x:v>Established, incomplete monthly coverage</x:v>
      </x:c>
      <x:c r="C54" s="8" t="n">
        <x:v>1540</x:v>
      </x:c>
      <x:c r="D54" s="8" t="n">
        <x:v>12</x:v>
      </x:c>
      <x:c r="E54" s="8" t="n">
        <x:v>11</x:v>
      </x:c>
      <x:c r="F54" s="8" t="n">
        <x:v>321799.1</x:v>
      </x:c>
      <x:c r="G54" s="8" t="n">
        <x:v>168947.73</x:v>
      </x:c>
      <x:c r="H54" s="8" t="n">
        <x:v>96639.04</x:v>
      </x:c>
      <x:c r="I54" s="8" t="n">
        <x:f>G54-F54</x:f>
        <x:v>-152851.36999999997</x:v>
      </x:c>
      <x:c r="J54" s="10" t="n">
        <x:f>IF(F54=0,"n.a.",I54/F54)</x:f>
        <x:v>-0.47499004813872997</x:v>
      </x:c>
      <x:c r="K54" s="9" t="n">
        <x:f>IF(C54&gt;0,G54/C54,"n.a.")</x:f>
        <x:v>109.70631818181819</x:v>
      </x:c>
      <x:c r="L54" s="9" t="n">
        <x:f>IF(C54&gt;0,H54/C54,"n.a.")</x:f>
        <x:v>62.752623376623376</x:v>
      </x:c>
    </x:row>
    <x:row r="55" ht="22" customHeight="1">
      <x:c r="A55" s="8" t="str">
        <x:v>49 · United States · Iowa</x:v>
      </x:c>
      <x:c r="B55" s="8" t="str">
        <x:v>Established, incomplete monthly coverage</x:v>
      </x:c>
      <x:c r="C55" s="8" t="n">
        <x:v>2000</x:v>
      </x:c>
      <x:c r="D55" s="8" t="n">
        <x:v>11</x:v>
      </x:c>
      <x:c r="E55" s="8" t="n">
        <x:v>12</x:v>
      </x:c>
      <x:c r="F55" s="8" t="n">
        <x:v>472079.9</x:v>
      </x:c>
      <x:c r="G55" s="8" t="n">
        <x:v>180614.2</x:v>
      </x:c>
      <x:c r="H55" s="8" t="n">
        <x:v>102630.63</x:v>
      </x:c>
      <x:c r="I55" s="8" t="n">
        <x:f>G55-F55</x:f>
        <x:v>-291465.7</x:v>
      </x:c>
      <x:c r="J55" s="10" t="n">
        <x:f>IF(F55=0,"n.a.",I55/F55)</x:f>
        <x:v>-0.6174075617284277</x:v>
      </x:c>
      <x:c r="K55" s="9" t="n">
        <x:f>IF(C55&gt;0,G55/C55,"n.a.")</x:f>
        <x:v>90.3071</x:v>
      </x:c>
      <x:c r="L55" s="9" t="n">
        <x:f>IF(C55&gt;0,H55/C55,"n.a.")</x:f>
        <x:v>51.315315000000005</x:v>
      </x:c>
    </x:row>
    <x:row r="56" ht="22" customHeight="1">
      <x:c r="A56" s="8" t="str">
        <x:v>50 · United States · Kansas</x:v>
      </x:c>
      <x:c r="B56" s="8" t="str">
        <x:v>Strict same-store</x:v>
      </x:c>
      <x:c r="C56" s="8" t="n">
        <x:v>2000</x:v>
      </x:c>
      <x:c r="D56" s="8" t="n">
        <x:v>12</x:v>
      </x:c>
      <x:c r="E56" s="8" t="n">
        <x:v>12</x:v>
      </x:c>
      <x:c r="F56" s="8" t="n">
        <x:v>373931.65</x:v>
      </x:c>
      <x:c r="G56" s="8" t="n">
        <x:v>299135.14</x:v>
      </x:c>
      <x:c r="H56" s="8" t="n">
        <x:v>179234.95</x:v>
      </x:c>
      <x:c r="I56" s="8" t="n">
        <x:f>G56-F56</x:f>
        <x:v>-74796.51000000001</x:v>
      </x:c>
      <x:c r="J56" s="10" t="n">
        <x:f>IF(F56=0,"n.a.",I56/F56)</x:f>
        <x:v>-0.20002722422667352</x:v>
      </x:c>
      <x:c r="K56" s="9" t="n">
        <x:f>IF(C56&gt;0,G56/C56,"n.a.")</x:f>
        <x:v>149.56757000000002</x:v>
      </x:c>
      <x:c r="L56" s="9" t="n">
        <x:f>IF(C56&gt;0,H56/C56,"n.a.")</x:f>
        <x:v>89.617475</x:v>
      </x:c>
    </x:row>
    <x:row r="57" ht="22" customHeight="1">
      <x:c r="A57" s="8" t="str">
        <x:v>51 · United States · Maine</x:v>
      </x:c>
      <x:c r="B57" s="8" t="str">
        <x:v>Established, incomplete monthly coverage</x:v>
      </x:c>
      <x:c r="C57" s="8" t="n">
        <x:v>1295</x:v>
      </x:c>
      <x:c r="D57" s="8" t="n">
        <x:v>12</x:v>
      </x:c>
      <x:c r="E57" s="8" t="n">
        <x:v>11</x:v>
      </x:c>
      <x:c r="F57" s="8" t="n">
        <x:v>328628.79</x:v>
      </x:c>
      <x:c r="G57" s="8" t="n">
        <x:v>225794.43</x:v>
      </x:c>
      <x:c r="H57" s="8" t="n">
        <x:v>131918.17</x:v>
      </x:c>
      <x:c r="I57" s="8" t="n">
        <x:f>G57-F57</x:f>
        <x:v>-102834.35999999999</x:v>
      </x:c>
      <x:c r="J57" s="10" t="n">
        <x:f>IF(F57=0,"n.a.",I57/F57)</x:f>
        <x:v>-0.31291951018655423</x:v>
      </x:c>
      <x:c r="K57" s="9" t="n">
        <x:f>IF(C57&gt;0,G57/C57,"n.a.")</x:f>
        <x:v>174.3586332046332</x:v>
      </x:c>
      <x:c r="L57" s="9" t="n">
        <x:f>IF(C57&gt;0,H57/C57,"n.a.")</x:f>
        <x:v>101.86731274131274</x:v>
      </x:c>
    </x:row>
    <x:row r="58" ht="22" customHeight="1">
      <x:c r="A58" s="8" t="str">
        <x:v>52 · United States · Mississippi</x:v>
      </x:c>
      <x:c r="B58" s="8" t="str">
        <x:v>Established, incomplete monthly coverage</x:v>
      </x:c>
      <x:c r="C58" s="8" t="n">
        <x:v>2000</x:v>
      </x:c>
      <x:c r="D58" s="8" t="n">
        <x:v>0</x:v>
      </x:c>
      <x:c r="E58" s="8" t="n">
        <x:v>0</x:v>
      </x:c>
      <x:c r="F58" s="8" t="n">
        <x:v>0</x:v>
      </x:c>
      <x:c r="G58" s="8" t="n">
        <x:v>0</x:v>
      </x:c>
      <x:c r="H58" s="8" t="n">
        <x:v>0</x:v>
      </x:c>
      <x:c r="I58" s="8" t="n">
        <x:f>G58-F58</x:f>
        <x:v>0</x:v>
      </x:c>
      <x:c r="J58" s="10" t="str">
        <x:f>IF(F58=0,"n.a.",I58/F58)</x:f>
        <x:v>n.a.</x:v>
      </x:c>
      <x:c r="K58" s="9" t="n">
        <x:f>IF(C58&gt;0,G58/C58,"n.a.")</x:f>
        <x:v>0</x:v>
      </x:c>
      <x:c r="L58" s="9" t="n">
        <x:f>IF(C58&gt;0,H58/C58,"n.a.")</x:f>
        <x:v>0</x:v>
      </x:c>
    </x:row>
    <x:row r="59" ht="22" customHeight="1">
      <x:c r="A59" s="8" t="str">
        <x:v>53 · United States · Montana</x:v>
      </x:c>
      <x:c r="B59" s="8" t="str">
        <x:v>Strict same-store</x:v>
      </x:c>
      <x:c r="C59" s="8" t="n">
        <x:v>1260</x:v>
      </x:c>
      <x:c r="D59" s="8" t="n">
        <x:v>12</x:v>
      </x:c>
      <x:c r="E59" s="8" t="n">
        <x:v>12</x:v>
      </x:c>
      <x:c r="F59" s="8" t="n">
        <x:v>330496.85</x:v>
      </x:c>
      <x:c r="G59" s="8" t="n">
        <x:v>238202.13</x:v>
      </x:c>
      <x:c r="H59" s="8" t="n">
        <x:v>138141.45</x:v>
      </x:c>
      <x:c r="I59" s="8" t="n">
        <x:f>G59-F59</x:f>
        <x:v>-92294.71999999997</x:v>
      </x:c>
      <x:c r="J59" s="10" t="n">
        <x:f>IF(F59=0,"n.a.",I59/F59)</x:f>
        <x:v>-0.2792605133755435</x:v>
      </x:c>
      <x:c r="K59" s="9" t="n">
        <x:f>IF(C59&gt;0,G59/C59,"n.a.")</x:f>
        <x:v>189.04930952380954</x:v>
      </x:c>
      <x:c r="L59" s="9" t="n">
        <x:f>IF(C59&gt;0,H59/C59,"n.a.")</x:f>
        <x:v>109.63607142857144</x:v>
      </x:c>
    </x:row>
    <x:row r="60" ht="22" customHeight="1">
      <x:c r="A60" s="8" t="str">
        <x:v>54 · United States · Nebraska</x:v>
      </x:c>
      <x:c r="B60" s="8" t="str">
        <x:v>Strict same-store</x:v>
      </x:c>
      <x:c r="C60" s="8" t="n">
        <x:v>2000</x:v>
      </x:c>
      <x:c r="D60" s="8" t="n">
        <x:v>12</x:v>
      </x:c>
      <x:c r="E60" s="8" t="n">
        <x:v>12</x:v>
      </x:c>
      <x:c r="F60" s="8" t="n">
        <x:v>451311.9</x:v>
      </x:c>
      <x:c r="G60" s="8" t="n">
        <x:v>231295.43</x:v>
      </x:c>
      <x:c r="H60" s="8" t="n">
        <x:v>137772.84</x:v>
      </x:c>
      <x:c r="I60" s="8" t="n">
        <x:f>G60-F60</x:f>
        <x:v>-220016.47000000003</x:v>
      </x:c>
      <x:c r="J60" s="10" t="n">
        <x:f>IF(F60=0,"n.a.",I60/F60)</x:f>
        <x:v>-0.4875042514943657</x:v>
      </x:c>
      <x:c r="K60" s="9" t="n">
        <x:f>IF(C60&gt;0,G60/C60,"n.a.")</x:f>
        <x:v>115.64771499999999</x:v>
      </x:c>
      <x:c r="L60" s="9" t="n">
        <x:f>IF(C60&gt;0,H60/C60,"n.a.")</x:f>
        <x:v>68.88642</x:v>
      </x:c>
    </x:row>
    <x:row r="61" ht="22" customHeight="1">
      <x:c r="A61" s="8" t="str">
        <x:v>55 · United States · Nevada</x:v>
      </x:c>
      <x:c r="B61" s="8" t="str">
        <x:v>Established, incomplete monthly coverage</x:v>
      </x:c>
      <x:c r="C61" s="8" t="n">
        <x:v>2000</x:v>
      </x:c>
      <x:c r="D61" s="8" t="n">
        <x:v>12</x:v>
      </x:c>
      <x:c r="E61" s="8" t="n">
        <x:v>11</x:v>
      </x:c>
      <x:c r="F61" s="8" t="n">
        <x:v>445442.2</x:v>
      </x:c>
      <x:c r="G61" s="8" t="n">
        <x:v>233389.62</x:v>
      </x:c>
      <x:c r="H61" s="8" t="n">
        <x:v>134431.3</x:v>
      </x:c>
      <x:c r="I61" s="8" t="n">
        <x:f>G61-F61</x:f>
        <x:v>-212052.58000000002</x:v>
      </x:c>
      <x:c r="J61" s="10" t="n">
        <x:f>IF(F61=0,"n.a.",I61/F61)</x:f>
        <x:v>-0.47604959745619074</x:v>
      </x:c>
      <x:c r="K61" s="9" t="n">
        <x:f>IF(C61&gt;0,G61/C61,"n.a.")</x:f>
        <x:v>116.69481</x:v>
      </x:c>
      <x:c r="L61" s="9" t="n">
        <x:f>IF(C61&gt;0,H61/C61,"n.a.")</x:f>
        <x:v>67.21565</x:v>
      </x:c>
    </x:row>
    <x:row r="62" ht="22" customHeight="1">
      <x:c r="A62" s="8" t="str">
        <x:v>56 · United States · New Hampshire</x:v>
      </x:c>
      <x:c r="B62" s="8" t="str">
        <x:v>Strict same-store</x:v>
      </x:c>
      <x:c r="C62" s="8" t="n">
        <x:v>1260</x:v>
      </x:c>
      <x:c r="D62" s="8" t="n">
        <x:v>12</x:v>
      </x:c>
      <x:c r="E62" s="8" t="n">
        <x:v>12</x:v>
      </x:c>
      <x:c r="F62" s="8" t="n">
        <x:v>366900.74</x:v>
      </x:c>
      <x:c r="G62" s="8" t="n">
        <x:v>190652.46</x:v>
      </x:c>
      <x:c r="H62" s="8" t="n">
        <x:v>112451.38</x:v>
      </x:c>
      <x:c r="I62" s="8" t="n">
        <x:f>G62-F62</x:f>
        <x:v>-176248.28</x:v>
      </x:c>
      <x:c r="J62" s="10" t="n">
        <x:f>IF(F62=0,"n.a.",I62/F62)</x:f>
        <x:v>-0.4803704675002836</x:v>
      </x:c>
      <x:c r="K62" s="9" t="n">
        <x:f>IF(C62&gt;0,G62/C62,"n.a.")</x:f>
        <x:v>151.31147619047618</x:v>
      </x:c>
      <x:c r="L62" s="9" t="n">
        <x:f>IF(C62&gt;0,H62/C62,"n.a.")</x:f>
        <x:v>89.247126984127</x:v>
      </x:c>
    </x:row>
    <x:row r="63" ht="22" customHeight="1">
      <x:c r="A63" s="8" t="str">
        <x:v>57 · United States · New Mexico</x:v>
      </x:c>
      <x:c r="B63" s="8" t="str">
        <x:v>Strict same-store</x:v>
      </x:c>
      <x:c r="C63" s="8" t="n">
        <x:v>1645</x:v>
      </x:c>
      <x:c r="D63" s="8" t="n">
        <x:v>12</x:v>
      </x:c>
      <x:c r="E63" s="8" t="n">
        <x:v>12</x:v>
      </x:c>
      <x:c r="F63" s="8" t="n">
        <x:v>452645.11</x:v>
      </x:c>
      <x:c r="G63" s="8" t="n">
        <x:v>224025.18</x:v>
      </x:c>
      <x:c r="H63" s="8" t="n">
        <x:v>134926.26</x:v>
      </x:c>
      <x:c r="I63" s="8" t="n">
        <x:f>G63-F63</x:f>
        <x:v>-228619.93</x:v>
      </x:c>
      <x:c r="J63" s="10" t="n">
        <x:f>IF(F63=0,"n.a.",I63/F63)</x:f>
        <x:v>-0.5050754442039592</x:v>
      </x:c>
      <x:c r="K63" s="9" t="n">
        <x:f>IF(C63&gt;0,G63/C63,"n.a.")</x:f>
        <x:v>136.18551975683891</x:v>
      </x:c>
      <x:c r="L63" s="9" t="n">
        <x:f>IF(C63&gt;0,H63/C63,"n.a.")</x:f>
        <x:v>82.0220425531915</x:v>
      </x:c>
    </x:row>
    <x:row r="64" ht="22" customHeight="1">
      <x:c r="A64" s="8" t="str">
        <x:v>58 · United States · North Dakota</x:v>
      </x:c>
      <x:c r="B64" s="8" t="str">
        <x:v>Established, incomplete monthly coverage</x:v>
      </x:c>
      <x:c r="C64" s="8" t="n">
        <x:v>1330</x:v>
      </x:c>
      <x:c r="D64" s="8" t="n">
        <x:v>0</x:v>
      </x:c>
      <x:c r="E64" s="8" t="n">
        <x:v>0</x:v>
      </x:c>
      <x:c r="F64" s="8" t="n">
        <x:v>0</x:v>
      </x:c>
      <x:c r="G64" s="8" t="n">
        <x:v>0</x:v>
      </x:c>
      <x:c r="H64" s="8" t="n">
        <x:v>0</x:v>
      </x:c>
      <x:c r="I64" s="8" t="n">
        <x:f>G64-F64</x:f>
        <x:v>0</x:v>
      </x:c>
      <x:c r="J64" s="10" t="str">
        <x:f>IF(F64=0,"n.a.",I64/F64)</x:f>
        <x:v>n.a.</x:v>
      </x:c>
      <x:c r="K64" s="9" t="n">
        <x:f>IF(C64&gt;0,G64/C64,"n.a.")</x:f>
        <x:v>0</x:v>
      </x:c>
      <x:c r="L64" s="9" t="n">
        <x:f>IF(C64&gt;0,H64/C64,"n.a.")</x:f>
        <x:v>0</x:v>
      </x:c>
    </x:row>
    <x:row r="65" ht="22" customHeight="1">
      <x:c r="A65" s="8" t="str">
        <x:v>59 · United States · Oregon</x:v>
      </x:c>
      <x:c r="B65" s="8" t="str">
        <x:v>Established, incomplete monthly coverage</x:v>
      </x:c>
      <x:c r="C65" s="8" t="n">
        <x:v>2000</x:v>
      </x:c>
      <x:c r="D65" s="8" t="n">
        <x:v>12</x:v>
      </x:c>
      <x:c r="E65" s="8" t="n">
        <x:v>11</x:v>
      </x:c>
      <x:c r="F65" s="8" t="n">
        <x:v>438027.03</x:v>
      </x:c>
      <x:c r="G65" s="8" t="n">
        <x:v>189830.74</x:v>
      </x:c>
      <x:c r="H65" s="8" t="n">
        <x:v>107010.76</x:v>
      </x:c>
      <x:c r="I65" s="8" t="n">
        <x:f>G65-F65</x:f>
        <x:v>-248196.29000000004</x:v>
      </x:c>
      <x:c r="J65" s="10" t="n">
        <x:f>IF(F65=0,"n.a.",I65/F65)</x:f>
        <x:v>-0.5666232287080549</x:v>
      </x:c>
      <x:c r="K65" s="9" t="n">
        <x:f>IF(C65&gt;0,G65/C65,"n.a.")</x:f>
        <x:v>94.91537</x:v>
      </x:c>
      <x:c r="L65" s="9" t="n">
        <x:f>IF(C65&gt;0,H65/C65,"n.a.")</x:f>
        <x:v>53.505379999999995</x:v>
      </x:c>
    </x:row>
    <x:row r="66" ht="22" customHeight="1">
      <x:c r="A66" s="8" t="str">
        <x:v>60 · United States · Rhode Island</x:v>
      </x:c>
      <x:c r="B66" s="8" t="str">
        <x:v>Established, incomplete monthly coverage</x:v>
      </x:c>
      <x:c r="C66" s="8" t="n">
        <x:v>1260</x:v>
      </x:c>
      <x:c r="D66" s="8" t="n">
        <x:v>0</x:v>
      </x:c>
      <x:c r="E66" s="8" t="n">
        <x:v>0</x:v>
      </x:c>
      <x:c r="F66" s="8" t="n">
        <x:v>0</x:v>
      </x:c>
      <x:c r="G66" s="8" t="n">
        <x:v>0</x:v>
      </x:c>
      <x:c r="H66" s="8" t="n">
        <x:v>0</x:v>
      </x:c>
      <x:c r="I66" s="8" t="n">
        <x:f>G66-F66</x:f>
        <x:v>0</x:v>
      </x:c>
      <x:c r="J66" s="10" t="str">
        <x:f>IF(F66=0,"n.a.",I66/F66)</x:f>
        <x:v>n.a.</x:v>
      </x:c>
      <x:c r="K66" s="9" t="n">
        <x:f>IF(C66&gt;0,G66/C66,"n.a.")</x:f>
        <x:v>0</x:v>
      </x:c>
      <x:c r="L66" s="9" t="n">
        <x:f>IF(C66&gt;0,H66/C66,"n.a.")</x:f>
        <x:v>0</x:v>
      </x:c>
    </x:row>
    <x:row r="67" ht="22" customHeight="1">
      <x:c r="A67" s="8" t="str">
        <x:v>61 · United States · South Carolina</x:v>
      </x:c>
      <x:c r="B67" s="8" t="str">
        <x:v>Strict same-store</x:v>
      </x:c>
      <x:c r="C67" s="8" t="n">
        <x:v>2000</x:v>
      </x:c>
      <x:c r="D67" s="8" t="n">
        <x:v>12</x:v>
      </x:c>
      <x:c r="E67" s="8" t="n">
        <x:v>12</x:v>
      </x:c>
      <x:c r="F67" s="8" t="n">
        <x:v>434038.17</x:v>
      </x:c>
      <x:c r="G67" s="8" t="n">
        <x:v>207979.48</x:v>
      </x:c>
      <x:c r="H67" s="8" t="n">
        <x:v>120811.26</x:v>
      </x:c>
      <x:c r="I67" s="8" t="n">
        <x:f>G67-F67</x:f>
        <x:v>-226058.68999999997</x:v>
      </x:c>
      <x:c r="J67" s="10" t="n">
        <x:f>IF(F67=0,"n.a.",I67/F67)</x:f>
        <x:v>-0.5208267512509326</x:v>
      </x:c>
      <x:c r="K67" s="9" t="n">
        <x:f>IF(C67&gt;0,G67/C67,"n.a.")</x:f>
        <x:v>103.98974000000001</x:v>
      </x:c>
      <x:c r="L67" s="9" t="n">
        <x:f>IF(C67&gt;0,H67/C67,"n.a.")</x:f>
        <x:v>60.405629999999995</x:v>
      </x:c>
    </x:row>
    <x:row r="68" ht="22" customHeight="1">
      <x:c r="A68" s="8" t="str">
        <x:v>62 · United States · South Dakota</x:v>
      </x:c>
      <x:c r="B68" s="8" t="str">
        <x:v>Established, incomplete monthly coverage</x:v>
      </x:c>
      <x:c r="C68" s="8" t="n">
        <x:v>1120</x:v>
      </x:c>
      <x:c r="D68" s="8" t="n">
        <x:v>12</x:v>
      </x:c>
      <x:c r="E68" s="8" t="n">
        <x:v>11</x:v>
      </x:c>
      <x:c r="F68" s="8" t="n">
        <x:v>321125.04</x:v>
      </x:c>
      <x:c r="G68" s="8" t="n">
        <x:v>157563.76</x:v>
      </x:c>
      <x:c r="H68" s="8" t="n">
        <x:v>91338.45</x:v>
      </x:c>
      <x:c r="I68" s="8" t="n">
        <x:f>G68-F68</x:f>
        <x:v>-163561.27999999997</x:v>
      </x:c>
      <x:c r="J68" s="10" t="n">
        <x:f>IF(F68=0,"n.a.",I68/F68)</x:f>
        <x:v>-0.5093382938932448</x:v>
      </x:c>
      <x:c r="K68" s="9" t="n">
        <x:f>IF(C68&gt;0,G68/C68,"n.a.")</x:f>
        <x:v>140.68192857142859</x:v>
      </x:c>
      <x:c r="L68" s="9" t="n">
        <x:f>IF(C68&gt;0,H68/C68,"n.a.")</x:f>
        <x:v>81.5521875</x:v>
      </x:c>
    </x:row>
    <x:row r="69" ht="22" customHeight="1">
      <x:c r="A69" s="8" t="str">
        <x:v>63 · United States · Utah</x:v>
      </x:c>
      <x:c r="B69" s="8" t="str">
        <x:v>Established, incomplete monthly coverage</x:v>
      </x:c>
      <x:c r="C69" s="8" t="n">
        <x:v>2000</x:v>
      </x:c>
      <x:c r="D69" s="8" t="n">
        <x:v>11</x:v>
      </x:c>
      <x:c r="E69" s="8" t="n">
        <x:v>0</x:v>
      </x:c>
      <x:c r="F69" s="8" t="n">
        <x:v>256113.6</x:v>
      </x:c>
      <x:c r="G69" s="8" t="n">
        <x:v>0</x:v>
      </x:c>
      <x:c r="H69" s="8" t="n">
        <x:v>0</x:v>
      </x:c>
      <x:c r="I69" s="8" t="n">
        <x:f>G69-F69</x:f>
        <x:v>-256113.6</x:v>
      </x:c>
      <x:c r="J69" s="10" t="n">
        <x:f>IF(F69=0,"n.a.",I69/F69)</x:f>
        <x:v>-1</x:v>
      </x:c>
      <x:c r="K69" s="9" t="n">
        <x:f>IF(C69&gt;0,G69/C69,"n.a.")</x:f>
        <x:v>0</x:v>
      </x:c>
      <x:c r="L69" s="9" t="n">
        <x:f>IF(C69&gt;0,H69/C69,"n.a.")</x:f>
        <x:v>0</x:v>
      </x:c>
    </x:row>
    <x:row r="70" ht="22" customHeight="1">
      <x:c r="A70" s="8" t="str">
        <x:v>64 · United States · Washington DC</x:v>
      </x:c>
      <x:c r="B70" s="8" t="str">
        <x:v>Strict same-store</x:v>
      </x:c>
      <x:c r="C70" s="8" t="n">
        <x:v>1330</x:v>
      </x:c>
      <x:c r="D70" s="8" t="n">
        <x:v>12</x:v>
      </x:c>
      <x:c r="E70" s="8" t="n">
        <x:v>12</x:v>
      </x:c>
      <x:c r="F70" s="8" t="n">
        <x:v>369857.81</x:v>
      </x:c>
      <x:c r="G70" s="8" t="n">
        <x:v>239205.71</x:v>
      </x:c>
      <x:c r="H70" s="8" t="n">
        <x:v>143911.4</x:v>
      </x:c>
      <x:c r="I70" s="8" t="n">
        <x:f>G70-F70</x:f>
        <x:v>-130652.1</x:v>
      </x:c>
      <x:c r="J70" s="10" t="n">
        <x:f>IF(F70=0,"n.a.",I70/F70)</x:f>
        <x:v>-0.3532495366259807</x:v>
      </x:c>
      <x:c r="K70" s="9" t="n">
        <x:f>IF(C70&gt;0,G70/C70,"n.a.")</x:f>
        <x:v>179.85391729323308</x:v>
      </x:c>
      <x:c r="L70" s="9" t="n">
        <x:f>IF(C70&gt;0,H70/C70,"n.a.")</x:f>
        <x:v>108.20406015037594</x:v>
      </x:c>
    </x:row>
    <x:row r="71" ht="22" customHeight="1">
      <x:c r="A71" s="8" t="str">
        <x:v>65 · United States · West Virginia</x:v>
      </x:c>
      <x:c r="B71" s="8" t="str">
        <x:v>Established, incomplete monthly coverage</x:v>
      </x:c>
      <x:c r="C71" s="8" t="n">
        <x:v>1785</x:v>
      </x:c>
      <x:c r="D71" s="8" t="n">
        <x:v>12</x:v>
      </x:c>
      <x:c r="E71" s="8" t="n">
        <x:v>11</x:v>
      </x:c>
      <x:c r="F71" s="8" t="n">
        <x:v>377773.44</x:v>
      </x:c>
      <x:c r="G71" s="8" t="n">
        <x:v>210601.92</x:v>
      </x:c>
      <x:c r="H71" s="8" t="n">
        <x:v>123191.43</x:v>
      </x:c>
      <x:c r="I71" s="8" t="n">
        <x:f>G71-F71</x:f>
        <x:v>-167171.52</x:v>
      </x:c>
      <x:c r="J71" s="10" t="n">
        <x:f>IF(F71=0,"n.a.",I71/F71)</x:f>
        <x:v>-0.44251792820585795</x:v>
      </x:c>
      <x:c r="K71" s="9" t="n">
        <x:f>IF(C71&gt;0,G71/C71,"n.a.")</x:f>
        <x:v>117.98426890756303</x:v>
      </x:c>
      <x:c r="L71" s="9" t="n">
        <x:f>IF(C71&gt;0,H71/C71,"n.a.")</x:f>
        <x:v>69.01480672268907</x:v>
      </x:c>
    </x:row>
    <x:row r="72" ht="22" customHeight="1">
      <x:c r="A72" s="8" t="str">
        <x:v>66 · United States · Wyoming</x:v>
      </x:c>
      <x:c r="B72" s="8" t="str">
        <x:v>Strict same-store</x:v>
      </x:c>
      <x:c r="C72" s="8" t="n">
        <x:v>840</x:v>
      </x:c>
      <x:c r="D72" s="8" t="n">
        <x:v>12</x:v>
      </x:c>
      <x:c r="E72" s="8" t="n">
        <x:v>12</x:v>
      </x:c>
      <x:c r="F72" s="8" t="n">
        <x:v>445048.69</x:v>
      </x:c>
      <x:c r="G72" s="8" t="n">
        <x:v>205111.88</x:v>
      </x:c>
      <x:c r="H72" s="8" t="n">
        <x:v>119972.12</x:v>
      </x:c>
      <x:c r="I72" s="8" t="n">
        <x:f>G72-F72</x:f>
        <x:v>-239936.81</x:v>
      </x:c>
      <x:c r="J72" s="10" t="n">
        <x:f>IF(F72=0,"n.a.",I72/F72)</x:f>
        <x:v>-0.5391248539569906</x:v>
      </x:c>
      <x:c r="K72" s="9" t="n">
        <x:f>IF(C72&gt;0,G72/C72,"n.a.")</x:f>
        <x:v>244.18080952380953</x:v>
      </x:c>
      <x:c r="L72" s="9" t="n">
        <x:f>IF(C72&gt;0,H72/C72,"n.a.")</x:f>
        <x:v>142.82395238095236</x:v>
      </x:c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</x:sheetData>
  <x:conditionalFormatting sqref="I7:J72">
    <x:cfRule type="cellIs" dxfId="0" priority="1" operator="lessThan">
      <x:formula>0</x:formula>
    </x:cfRule>
  </x:conditionalFormatting>
  <x:conditionalFormatting sqref="G7:G72">
    <x:cfRule type="dataBar" priority="2">
      <x:dataBar>
        <x:cfvo type="min"/>
        <x:cfvo type="max"/>
        <x:color rgb="FF9CC4DE"/>
      </x:dataBar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2D4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2" customHeight="1">
      <x:c r="A1" s="2"/>
      <x:c r="B1" s="2"/>
      <x:c r="C1" s="2"/>
      <x:c r="D1" s="2"/>
      <x:c r="E1" s="2"/>
    </x:row>
    <x:row r="2" ht="22" customHeight="1">
      <x:c r="A2" s="3" t="str">
        <x:v>E6. Repeat orders within 90 days</x:v>
      </x:c>
      <x:c r="B2" s="2"/>
      <x:c r="C2" s="2"/>
      <x:c r="D2" s="2"/>
      <x:c r="E2" s="2"/>
    </x:row>
    <x:row r="3" ht="22" customHeight="1">
      <x:c r="A3" s="4"/>
      <x:c r="B3" s="4"/>
      <x:c r="C3" s="4"/>
      <x:c r="D3" s="4"/>
      <x:c r="E3" s="4"/>
    </x:row>
    <x:row r="4" ht="22" customHeight="1">
      <x:c r="A4" s="2" t="str">
        <x:v>First observed purchase; full 90-day windows only, as of 20-Feb-2021. Distinct orders.</x:v>
      </x:c>
      <x:c r="B4" s="2"/>
      <x:c r="C4" s="2"/>
      <x:c r="D4" s="2"/>
      <x:c r="E4" s="2"/>
    </x:row>
    <x:row r="5" ht="22" customHeight="1">
      <x:c r="A5" s="2"/>
      <x:c r="B5" s="2"/>
      <x:c r="C5" s="2"/>
      <x:c r="D5" s="2"/>
      <x:c r="E5" s="2"/>
    </x:row>
    <x:row r="6" ht="38" customHeight="1">
      <x:c r="A6" s="7" t="str">
        <x:v>Cohort</x:v>
      </x:c>
      <x:c r="B6" s="7" t="str">
        <x:v>Customers</x:v>
      </x:c>
      <x:c r="C6" s="7" t="str">
        <x:v>Eligible90</x:v>
      </x:c>
      <x:c r="D6" s="7" t="str">
        <x:v>Repeat90</x:v>
      </x:c>
      <x:c r="E6" s="7" t="str">
        <x:v>90-day repeat rate</x:v>
      </x:c>
    </x:row>
    <x:row r="7" ht="22" customHeight="1">
      <x:c r="A7" s="8" t="str">
        <x:v>2016-01</x:v>
      </x:c>
      <x:c r="B7" s="8" t="n">
        <x:v>289</x:v>
      </x:c>
      <x:c r="C7" s="8" t="n">
        <x:v>289</x:v>
      </x:c>
      <x:c r="D7" s="8" t="n">
        <x:v>13</x:v>
      </x:c>
      <x:c r="E7" s="10" t="n">
        <x:f>IF(C7=0,"n.a.",D7/C7)</x:f>
        <x:v>0.04498269896193772</x:v>
      </x:c>
    </x:row>
    <x:row r="8" ht="22" customHeight="1">
      <x:c r="A8" s="8" t="str">
        <x:v>2016-02</x:v>
      </x:c>
      <x:c r="B8" s="8" t="n">
        <x:v>318</x:v>
      </x:c>
      <x:c r="C8" s="8" t="n">
        <x:v>318</x:v>
      </x:c>
      <x:c r="D8" s="8" t="n">
        <x:v>14</x:v>
      </x:c>
      <x:c r="E8" s="10" t="n">
        <x:f>IF(C8=0,"n.a.",D8/C8)</x:f>
        <x:v>0.0440251572327044</x:v>
      </x:c>
    </x:row>
    <x:row r="9" ht="22" customHeight="1">
      <x:c r="A9" s="8" t="str">
        <x:v>2016-03</x:v>
      </x:c>
      <x:c r="B9" s="8" t="n">
        <x:v>103</x:v>
      </x:c>
      <x:c r="C9" s="8" t="n">
        <x:v>103</x:v>
      </x:c>
      <x:c r="D9" s="8" t="n">
        <x:v>1</x:v>
      </x:c>
      <x:c r="E9" s="10" t="n">
        <x:f>IF(C9=0,"n.a.",D9/C9)</x:f>
        <x:v>0.009708737864077669</x:v>
      </x:c>
    </x:row>
    <x:row r="10" ht="22" customHeight="1">
      <x:c r="A10" s="8" t="str">
        <x:v>2016-04</x:v>
      </x:c>
      <x:c r="B10" s="8" t="n">
        <x:v>39</x:v>
      </x:c>
      <x:c r="C10" s="8" t="n">
        <x:v>39</x:v>
      </x:c>
      <x:c r="D10" s="8" t="n">
        <x:v>2</x:v>
      </x:c>
      <x:c r="E10" s="10" t="n">
        <x:f>IF(C10=0,"n.a.",D10/C10)</x:f>
        <x:v>0.05128205128205128</x:v>
      </x:c>
    </x:row>
    <x:row r="11" ht="22" customHeight="1">
      <x:c r="A11" s="8" t="str">
        <x:v>2016-05</x:v>
      </x:c>
      <x:c r="B11" s="8" t="n">
        <x:v>213</x:v>
      </x:c>
      <x:c r="C11" s="8" t="n">
        <x:v>213</x:v>
      </x:c>
      <x:c r="D11" s="8" t="n">
        <x:v>15</x:v>
      </x:c>
      <x:c r="E11" s="10" t="n">
        <x:f>IF(C11=0,"n.a.",D11/C11)</x:f>
        <x:v>0.07042253521126761</x:v>
      </x:c>
    </x:row>
    <x:row r="12" ht="22" customHeight="1">
      <x:c r="A12" s="8" t="str">
        <x:v>2016-06</x:v>
      </x:c>
      <x:c r="B12" s="8" t="n">
        <x:v>220</x:v>
      </x:c>
      <x:c r="C12" s="8" t="n">
        <x:v>220</x:v>
      </x:c>
      <x:c r="D12" s="8" t="n">
        <x:v>14</x:v>
      </x:c>
      <x:c r="E12" s="10" t="n">
        <x:f>IF(C12=0,"n.a.",D12/C12)</x:f>
        <x:v>0.06363636363636363</x:v>
      </x:c>
    </x:row>
    <x:row r="13" ht="22" customHeight="1">
      <x:c r="A13" s="8" t="str">
        <x:v>2016-07</x:v>
      </x:c>
      <x:c r="B13" s="8" t="n">
        <x:v>178</x:v>
      </x:c>
      <x:c r="C13" s="8" t="n">
        <x:v>178</x:v>
      </x:c>
      <x:c r="D13" s="8" t="n">
        <x:v>5</x:v>
      </x:c>
      <x:c r="E13" s="10" t="n">
        <x:f>IF(C13=0,"n.a.",D13/C13)</x:f>
        <x:v>0.028089887640449437</x:v>
      </x:c>
    </x:row>
    <x:row r="14" ht="22" customHeight="1">
      <x:c r="A14" s="8" t="str">
        <x:v>2016-08</x:v>
      </x:c>
      <x:c r="B14" s="8" t="n">
        <x:v>199</x:v>
      </x:c>
      <x:c r="C14" s="8" t="n">
        <x:v>199</x:v>
      </x:c>
      <x:c r="D14" s="8" t="n">
        <x:v>11</x:v>
      </x:c>
      <x:c r="E14" s="10" t="n">
        <x:f>IF(C14=0,"n.a.",D14/C14)</x:f>
        <x:v>0.05527638190954774</x:v>
      </x:c>
    </x:row>
    <x:row r="15" ht="22" customHeight="1">
      <x:c r="A15" s="8" t="str">
        <x:v>2016-09</x:v>
      </x:c>
      <x:c r="B15" s="8" t="n">
        <x:v>234</x:v>
      </x:c>
      <x:c r="C15" s="8" t="n">
        <x:v>234</x:v>
      </x:c>
      <x:c r="D15" s="8" t="n">
        <x:v>8</x:v>
      </x:c>
      <x:c r="E15" s="10" t="n">
        <x:f>IF(C15=0,"n.a.",D15/C15)</x:f>
        <x:v>0.03418803418803419</x:v>
      </x:c>
    </x:row>
    <x:row r="16" ht="22" customHeight="1">
      <x:c r="A16" s="8" t="str">
        <x:v>2016-10</x:v>
      </x:c>
      <x:c r="B16" s="8" t="n">
        <x:v>220</x:v>
      </x:c>
      <x:c r="C16" s="8" t="n">
        <x:v>220</x:v>
      </x:c>
      <x:c r="D16" s="8" t="n">
        <x:v>13</x:v>
      </x:c>
      <x:c r="E16" s="10" t="n">
        <x:f>IF(C16=0,"n.a.",D16/C16)</x:f>
        <x:v>0.05909090909090909</x:v>
      </x:c>
    </x:row>
    <x:row r="17" ht="22" customHeight="1">
      <x:c r="A17" s="8" t="str">
        <x:v>2016-11</x:v>
      </x:c>
      <x:c r="B17" s="8" t="n">
        <x:v>210</x:v>
      </x:c>
      <x:c r="C17" s="8" t="n">
        <x:v>210</x:v>
      </x:c>
      <x:c r="D17" s="8" t="n">
        <x:v>15</x:v>
      </x:c>
      <x:c r="E17" s="10" t="n">
        <x:f>IF(C17=0,"n.a.",D17/C17)</x:f>
        <x:v>0.07142857142857142</x:v>
      </x:c>
    </x:row>
    <x:row r="18" ht="22" customHeight="1">
      <x:c r="A18" s="8" t="str">
        <x:v>2016-12</x:v>
      </x:c>
      <x:c r="B18" s="8" t="n">
        <x:v>338</x:v>
      </x:c>
      <x:c r="C18" s="8" t="n">
        <x:v>338</x:v>
      </x:c>
      <x:c r="D18" s="8" t="n">
        <x:v>22</x:v>
      </x:c>
      <x:c r="E18" s="10" t="n">
        <x:f>IF(C18=0,"n.a.",D18/C18)</x:f>
        <x:v>0.0650887573964497</x:v>
      </x:c>
    </x:row>
    <x:row r="19" ht="22" customHeight="1">
      <x:c r="A19" s="8" t="str">
        <x:v>2017-01</x:v>
      </x:c>
      <x:c r="B19" s="8" t="n">
        <x:v>247</x:v>
      </x:c>
      <x:c r="C19" s="8" t="n">
        <x:v>247</x:v>
      </x:c>
      <x:c r="D19" s="8" t="n">
        <x:v>11</x:v>
      </x:c>
      <x:c r="E19" s="10" t="n">
        <x:f>IF(C19=0,"n.a.",D19/C19)</x:f>
        <x:v>0.044534412955465584</x:v>
      </x:c>
    </x:row>
    <x:row r="20" ht="22" customHeight="1">
      <x:c r="A20" s="8" t="str">
        <x:v>2017-02</x:v>
      </x:c>
      <x:c r="B20" s="8" t="n">
        <x:v>283</x:v>
      </x:c>
      <x:c r="C20" s="8" t="n">
        <x:v>283</x:v>
      </x:c>
      <x:c r="D20" s="8" t="n">
        <x:v>9</x:v>
      </x:c>
      <x:c r="E20" s="10" t="n">
        <x:f>IF(C20=0,"n.a.",D20/C20)</x:f>
        <x:v>0.03180212014134275</x:v>
      </x:c>
    </x:row>
    <x:row r="21" ht="22" customHeight="1">
      <x:c r="A21" s="8" t="str">
        <x:v>2017-03</x:v>
      </x:c>
      <x:c r="B21" s="8" t="n">
        <x:v>98</x:v>
      </x:c>
      <x:c r="C21" s="8" t="n">
        <x:v>98</x:v>
      </x:c>
      <x:c r="D21" s="8" t="n">
        <x:v>2</x:v>
      </x:c>
      <x:c r="E21" s="10" t="n">
        <x:f>IF(C21=0,"n.a.",D21/C21)</x:f>
        <x:v>0.02040816326530612</x:v>
      </x:c>
    </x:row>
    <x:row r="22" ht="22" customHeight="1">
      <x:c r="A22" s="8" t="str">
        <x:v>2017-04</x:v>
      </x:c>
      <x:c r="B22" s="8" t="n">
        <x:v>21</x:v>
      </x:c>
      <x:c r="C22" s="8" t="n">
        <x:v>21</x:v>
      </x:c>
      <x:c r="D22" s="8" t="n">
        <x:v>0</x:v>
      </x:c>
      <x:c r="E22" s="10" t="n">
        <x:f>IF(C22=0,"n.a.",D22/C22)</x:f>
        <x:v>0</x:v>
      </x:c>
    </x:row>
    <x:row r="23" ht="22" customHeight="1">
      <x:c r="A23" s="8" t="str">
        <x:v>2017-05</x:v>
      </x:c>
      <x:c r="B23" s="8" t="n">
        <x:v>184</x:v>
      </x:c>
      <x:c r="C23" s="8" t="n">
        <x:v>184</x:v>
      </x:c>
      <x:c r="D23" s="8" t="n">
        <x:v>11</x:v>
      </x:c>
      <x:c r="E23" s="10" t="n">
        <x:f>IF(C23=0,"n.a.",D23/C23)</x:f>
        <x:v>0.059782608695652176</x:v>
      </x:c>
    </x:row>
    <x:row r="24" ht="22" customHeight="1">
      <x:c r="A24" s="8" t="str">
        <x:v>2017-06</x:v>
      </x:c>
      <x:c r="B24" s="8" t="n">
        <x:v>194</x:v>
      </x:c>
      <x:c r="C24" s="8" t="n">
        <x:v>194</x:v>
      </x:c>
      <x:c r="D24" s="8" t="n">
        <x:v>14</x:v>
      </x:c>
      <x:c r="E24" s="10" t="n">
        <x:f>IF(C24=0,"n.a.",D24/C24)</x:f>
        <x:v>0.07216494845360824</x:v>
      </x:c>
    </x:row>
    <x:row r="25" ht="22" customHeight="1">
      <x:c r="A25" s="8" t="str">
        <x:v>2017-07</x:v>
      </x:c>
      <x:c r="B25" s="8" t="n">
        <x:v>168</x:v>
      </x:c>
      <x:c r="C25" s="8" t="n">
        <x:v>168</x:v>
      </x:c>
      <x:c r="D25" s="8" t="n">
        <x:v>6</x:v>
      </x:c>
      <x:c r="E25" s="10" t="n">
        <x:f>IF(C25=0,"n.a.",D25/C25)</x:f>
        <x:v>0.03571428571428571</x:v>
      </x:c>
    </x:row>
    <x:row r="26" ht="22" customHeight="1">
      <x:c r="A26" s="8" t="str">
        <x:v>2017-08</x:v>
      </x:c>
      <x:c r="B26" s="8" t="n">
        <x:v>194</x:v>
      </x:c>
      <x:c r="C26" s="8" t="n">
        <x:v>194</x:v>
      </x:c>
      <x:c r="D26" s="8" t="n">
        <x:v>13</x:v>
      </x:c>
      <x:c r="E26" s="10" t="n">
        <x:f>IF(C26=0,"n.a.",D26/C26)</x:f>
        <x:v>0.06701030927835051</x:v>
      </x:c>
    </x:row>
    <x:row r="27" ht="22" customHeight="1">
      <x:c r="A27" s="8" t="str">
        <x:v>2017-09</x:v>
      </x:c>
      <x:c r="B27" s="8" t="n">
        <x:v>196</x:v>
      </x:c>
      <x:c r="C27" s="8" t="n">
        <x:v>196</x:v>
      </x:c>
      <x:c r="D27" s="8" t="n">
        <x:v>14</x:v>
      </x:c>
      <x:c r="E27" s="10" t="n">
        <x:f>IF(C27=0,"n.a.",D27/C27)</x:f>
        <x:v>0.07142857142857142</x:v>
      </x:c>
    </x:row>
    <x:row r="28" ht="22" customHeight="1">
      <x:c r="A28" s="8" t="str">
        <x:v>2017-10</x:v>
      </x:c>
      <x:c r="B28" s="8" t="n">
        <x:v>203</x:v>
      </x:c>
      <x:c r="C28" s="8" t="n">
        <x:v>203</x:v>
      </x:c>
      <x:c r="D28" s="8" t="n">
        <x:v>10</x:v>
      </x:c>
      <x:c r="E28" s="10" t="n">
        <x:f>IF(C28=0,"n.a.",D28/C28)</x:f>
        <x:v>0.04926108374384237</x:v>
      </x:c>
    </x:row>
    <x:row r="29" ht="22" customHeight="1">
      <x:c r="A29" s="8" t="str">
        <x:v>2017-11</x:v>
      </x:c>
      <x:c r="B29" s="8" t="n">
        <x:v>215</x:v>
      </x:c>
      <x:c r="C29" s="8" t="n">
        <x:v>215</x:v>
      </x:c>
      <x:c r="D29" s="8" t="n">
        <x:v>22</x:v>
      </x:c>
      <x:c r="E29" s="10" t="n">
        <x:f>IF(C29=0,"n.a.",D29/C29)</x:f>
        <x:v>0.10232558139534884</x:v>
      </x:c>
    </x:row>
    <x:row r="30" ht="22" customHeight="1">
      <x:c r="A30" s="8" t="str">
        <x:v>2017-12</x:v>
      </x:c>
      <x:c r="B30" s="8" t="n">
        <x:v>373</x:v>
      </x:c>
      <x:c r="C30" s="8" t="n">
        <x:v>373</x:v>
      </x:c>
      <x:c r="D30" s="8" t="n">
        <x:v>31</x:v>
      </x:c>
      <x:c r="E30" s="10" t="n">
        <x:f>IF(C30=0,"n.a.",D30/C30)</x:f>
        <x:v>0.08310991957104558</x:v>
      </x:c>
    </x:row>
    <x:row r="31" ht="22" customHeight="1">
      <x:c r="A31" s="8" t="str">
        <x:v>2018-01</x:v>
      </x:c>
      <x:c r="B31" s="8" t="n">
        <x:v>257</x:v>
      </x:c>
      <x:c r="C31" s="8" t="n">
        <x:v>257</x:v>
      </x:c>
      <x:c r="D31" s="8" t="n">
        <x:v>14</x:v>
      </x:c>
      <x:c r="E31" s="10" t="n">
        <x:f>IF(C31=0,"n.a.",D31/C31)</x:f>
        <x:v>0.054474708171206226</x:v>
      </x:c>
    </x:row>
    <x:row r="32" ht="22" customHeight="1">
      <x:c r="A32" s="8" t="str">
        <x:v>2018-02</x:v>
      </x:c>
      <x:c r="B32" s="8" t="n">
        <x:v>318</x:v>
      </x:c>
      <x:c r="C32" s="8" t="n">
        <x:v>318</x:v>
      </x:c>
      <x:c r="D32" s="8" t="n">
        <x:v>17</x:v>
      </x:c>
      <x:c r="E32" s="10" t="n">
        <x:f>IF(C32=0,"n.a.",D32/C32)</x:f>
        <x:v>0.05345911949685535</x:v>
      </x:c>
    </x:row>
    <x:row r="33" ht="22" customHeight="1">
      <x:c r="A33" s="8" t="str">
        <x:v>2018-03</x:v>
      </x:c>
      <x:c r="B33" s="8" t="n">
        <x:v>112</x:v>
      </x:c>
      <x:c r="C33" s="8" t="n">
        <x:v>112</x:v>
      </x:c>
      <x:c r="D33" s="8" t="n">
        <x:v>2</x:v>
      </x:c>
      <x:c r="E33" s="10" t="n">
        <x:f>IF(C33=0,"n.a.",D33/C33)</x:f>
        <x:v>0.017857142857142856</x:v>
      </x:c>
    </x:row>
    <x:row r="34" ht="22" customHeight="1">
      <x:c r="A34" s="8" t="str">
        <x:v>2018-04</x:v>
      </x:c>
      <x:c r="B34" s="8" t="n">
        <x:v>23</x:v>
      </x:c>
      <x:c r="C34" s="8" t="n">
        <x:v>23</x:v>
      </x:c>
      <x:c r="D34" s="8" t="n">
        <x:v>3</x:v>
      </x:c>
      <x:c r="E34" s="10" t="n">
        <x:f>IF(C34=0,"n.a.",D34/C34)</x:f>
        <x:v>0.13043478260869565</x:v>
      </x:c>
    </x:row>
    <x:row r="35" ht="22" customHeight="1">
      <x:c r="A35" s="8" t="str">
        <x:v>2018-05</x:v>
      </x:c>
      <x:c r="B35" s="8" t="n">
        <x:v>275</x:v>
      </x:c>
      <x:c r="C35" s="8" t="n">
        <x:v>275</x:v>
      </x:c>
      <x:c r="D35" s="8" t="n">
        <x:v>19</x:v>
      </x:c>
      <x:c r="E35" s="10" t="n">
        <x:f>IF(C35=0,"n.a.",D35/C35)</x:f>
        <x:v>0.06909090909090909</x:v>
      </x:c>
    </x:row>
    <x:row r="36" ht="22" customHeight="1">
      <x:c r="A36" s="8" t="str">
        <x:v>2018-06</x:v>
      </x:c>
      <x:c r="B36" s="8" t="n">
        <x:v>264</x:v>
      </x:c>
      <x:c r="C36" s="8" t="n">
        <x:v>264</x:v>
      </x:c>
      <x:c r="D36" s="8" t="n">
        <x:v>31</x:v>
      </x:c>
      <x:c r="E36" s="10" t="n">
        <x:f>IF(C36=0,"n.a.",D36/C36)</x:f>
        <x:v>0.11742424242424243</x:v>
      </x:c>
    </x:row>
    <x:row r="37" ht="22" customHeight="1">
      <x:c r="A37" s="8" t="str">
        <x:v>2018-07</x:v>
      </x:c>
      <x:c r="B37" s="8" t="n">
        <x:v>237</x:v>
      </x:c>
      <x:c r="C37" s="8" t="n">
        <x:v>237</x:v>
      </x:c>
      <x:c r="D37" s="8" t="n">
        <x:v>24</x:v>
      </x:c>
      <x:c r="E37" s="10" t="n">
        <x:f>IF(C37=0,"n.a.",D37/C37)</x:f>
        <x:v>0.10126582278481013</x:v>
      </x:c>
    </x:row>
    <x:row r="38" ht="22" customHeight="1">
      <x:c r="A38" s="8" t="str">
        <x:v>2018-08</x:v>
      </x:c>
      <x:c r="B38" s="8" t="n">
        <x:v>276</x:v>
      </x:c>
      <x:c r="C38" s="8" t="n">
        <x:v>276</x:v>
      </x:c>
      <x:c r="D38" s="8" t="n">
        <x:v>40</x:v>
      </x:c>
      <x:c r="E38" s="10" t="n">
        <x:f>IF(C38=0,"n.a.",D38/C38)</x:f>
        <x:v>0.14492753623188406</x:v>
      </x:c>
    </x:row>
    <x:row r="39" ht="22" customHeight="1">
      <x:c r="A39" s="8" t="str">
        <x:v>2018-09</x:v>
      </x:c>
      <x:c r="B39" s="8" t="n">
        <x:v>277</x:v>
      </x:c>
      <x:c r="C39" s="8" t="n">
        <x:v>277</x:v>
      </x:c>
      <x:c r="D39" s="8" t="n">
        <x:v>39</x:v>
      </x:c>
      <x:c r="E39" s="10" t="n">
        <x:f>IF(C39=0,"n.a.",D39/C39)</x:f>
        <x:v>0.1407942238267148</x:v>
      </x:c>
    </x:row>
    <x:row r="40" ht="22" customHeight="1">
      <x:c r="A40" s="8" t="str">
        <x:v>2018-10</x:v>
      </x:c>
      <x:c r="B40" s="8" t="n">
        <x:v>288</x:v>
      </x:c>
      <x:c r="C40" s="8" t="n">
        <x:v>288</x:v>
      </x:c>
      <x:c r="D40" s="8" t="n">
        <x:v>45</x:v>
      </x:c>
      <x:c r="E40" s="10" t="n">
        <x:f>IF(C40=0,"n.a.",D40/C40)</x:f>
        <x:v>0.15625</x:v>
      </x:c>
    </x:row>
    <x:row r="41" ht="22" customHeight="1">
      <x:c r="A41" s="8" t="str">
        <x:v>2018-11</x:v>
      </x:c>
      <x:c r="B41" s="8" t="n">
        <x:v>295</x:v>
      </x:c>
      <x:c r="C41" s="8" t="n">
        <x:v>295</x:v>
      </x:c>
      <x:c r="D41" s="8" t="n">
        <x:v>45</x:v>
      </x:c>
      <x:c r="E41" s="10" t="n">
        <x:f>IF(C41=0,"n.a.",D41/C41)</x:f>
        <x:v>0.15254237288135594</x:v>
      </x:c>
    </x:row>
    <x:row r="42" ht="22" customHeight="1">
      <x:c r="A42" s="8" t="str">
        <x:v>2018-12</x:v>
      </x:c>
      <x:c r="B42" s="8" t="n">
        <x:v>482</x:v>
      </x:c>
      <x:c r="C42" s="8" t="n">
        <x:v>482</x:v>
      </x:c>
      <x:c r="D42" s="8" t="n">
        <x:v>79</x:v>
      </x:c>
      <x:c r="E42" s="10" t="n">
        <x:f>IF(C42=0,"n.a.",D42/C42)</x:f>
        <x:v>0.16390041493775934</x:v>
      </x:c>
    </x:row>
    <x:row r="43" ht="22" customHeight="1">
      <x:c r="A43" s="8" t="str">
        <x:v>2019-01</x:v>
      </x:c>
      <x:c r="B43" s="8" t="n">
        <x:v>373</x:v>
      </x:c>
      <x:c r="C43" s="8" t="n">
        <x:v>373</x:v>
      </x:c>
      <x:c r="D43" s="8" t="n">
        <x:v>44</x:v>
      </x:c>
      <x:c r="E43" s="10" t="n">
        <x:f>IF(C43=0,"n.a.",D43/C43)</x:f>
        <x:v>0.11796246648793565</x:v>
      </x:c>
    </x:row>
    <x:row r="44" ht="22" customHeight="1">
      <x:c r="A44" s="8" t="str">
        <x:v>2019-02</x:v>
      </x:c>
      <x:c r="B44" s="8" t="n">
        <x:v>382</x:v>
      </x:c>
      <x:c r="C44" s="8" t="n">
        <x:v>382</x:v>
      </x:c>
      <x:c r="D44" s="8" t="n">
        <x:v>48</x:v>
      </x:c>
      <x:c r="E44" s="10" t="n">
        <x:f>IF(C44=0,"n.a.",D44/C44)</x:f>
        <x:v>0.1256544502617801</x:v>
      </x:c>
    </x:row>
    <x:row r="45" ht="22" customHeight="1">
      <x:c r="A45" s="8" t="str">
        <x:v>2019-03</x:v>
      </x:c>
      <x:c r="B45" s="8" t="n">
        <x:v>135</x:v>
      </x:c>
      <x:c r="C45" s="8" t="n">
        <x:v>135</x:v>
      </x:c>
      <x:c r="D45" s="8" t="n">
        <x:v>10</x:v>
      </x:c>
      <x:c r="E45" s="10" t="n">
        <x:f>IF(C45=0,"n.a.",D45/C45)</x:f>
        <x:v>0.07407407407407407</x:v>
      </x:c>
    </x:row>
    <x:row r="46" ht="22" customHeight="1">
      <x:c r="A46" s="8" t="str">
        <x:v>2019-04</x:v>
      </x:c>
      <x:c r="B46" s="8" t="n">
        <x:v>31</x:v>
      </x:c>
      <x:c r="C46" s="8" t="n">
        <x:v>31</x:v>
      </x:c>
      <x:c r="D46" s="8" t="n">
        <x:v>3</x:v>
      </x:c>
      <x:c r="E46" s="10" t="n">
        <x:f>IF(C46=0,"n.a.",D46/C46)</x:f>
        <x:v>0.0967741935483871</x:v>
      </x:c>
    </x:row>
    <x:row r="47" ht="22" customHeight="1">
      <x:c r="A47" s="8" t="str">
        <x:v>2019-05</x:v>
      </x:c>
      <x:c r="B47" s="8" t="n">
        <x:v>259</x:v>
      </x:c>
      <x:c r="C47" s="8" t="n">
        <x:v>259</x:v>
      </x:c>
      <x:c r="D47" s="8" t="n">
        <x:v>20</x:v>
      </x:c>
      <x:c r="E47" s="10" t="n">
        <x:f>IF(C47=0,"n.a.",D47/C47)</x:f>
        <x:v>0.07722007722007722</x:v>
      </x:c>
    </x:row>
    <x:row r="48" ht="22" customHeight="1">
      <x:c r="A48" s="8" t="str">
        <x:v>2019-06</x:v>
      </x:c>
      <x:c r="B48" s="8" t="n">
        <x:v>248</x:v>
      </x:c>
      <x:c r="C48" s="8" t="n">
        <x:v>248</x:v>
      </x:c>
      <x:c r="D48" s="8" t="n">
        <x:v>36</x:v>
      </x:c>
      <x:c r="E48" s="10" t="n">
        <x:f>IF(C48=0,"n.a.",D48/C48)</x:f>
        <x:v>0.14516129032258066</x:v>
      </x:c>
    </x:row>
    <x:row r="49" ht="22" customHeight="1">
      <x:c r="A49" s="8" t="str">
        <x:v>2019-07</x:v>
      </x:c>
      <x:c r="B49" s="8" t="n">
        <x:v>229</x:v>
      </x:c>
      <x:c r="C49" s="8" t="n">
        <x:v>229</x:v>
      </x:c>
      <x:c r="D49" s="8" t="n">
        <x:v>22</x:v>
      </x:c>
      <x:c r="E49" s="10" t="n">
        <x:f>IF(C49=0,"n.a.",D49/C49)</x:f>
        <x:v>0.09606986899563319</x:v>
      </x:c>
    </x:row>
    <x:row r="50" ht="22" customHeight="1">
      <x:c r="A50" s="8" t="str">
        <x:v>2019-08</x:v>
      </x:c>
      <x:c r="B50" s="8" t="n">
        <x:v>231</x:v>
      </x:c>
      <x:c r="C50" s="8" t="n">
        <x:v>231</x:v>
      </x:c>
      <x:c r="D50" s="8" t="n">
        <x:v>43</x:v>
      </x:c>
      <x:c r="E50" s="10" t="n">
        <x:f>IF(C50=0,"n.a.",D50/C50)</x:f>
        <x:v>0.18614718614718614</x:v>
      </x:c>
    </x:row>
    <x:row r="51" ht="22" customHeight="1">
      <x:c r="A51" s="8" t="str">
        <x:v>2019-09</x:v>
      </x:c>
      <x:c r="B51" s="8" t="n">
        <x:v>234</x:v>
      </x:c>
      <x:c r="C51" s="8" t="n">
        <x:v>234</x:v>
      </x:c>
      <x:c r="D51" s="8" t="n">
        <x:v>45</x:v>
      </x:c>
      <x:c r="E51" s="10" t="n">
        <x:f>IF(C51=0,"n.a.",D51/C51)</x:f>
        <x:v>0.19230769230769232</x:v>
      </x:c>
    </x:row>
    <x:row r="52" ht="22" customHeight="1">
      <x:c r="A52" s="8" t="str">
        <x:v>2019-10</x:v>
      </x:c>
      <x:c r="B52" s="8" t="n">
        <x:v>205</x:v>
      </x:c>
      <x:c r="C52" s="8" t="n">
        <x:v>205</x:v>
      </x:c>
      <x:c r="D52" s="8" t="n">
        <x:v>27</x:v>
      </x:c>
      <x:c r="E52" s="10" t="n">
        <x:f>IF(C52=0,"n.a.",D52/C52)</x:f>
        <x:v>0.13170731707317074</x:v>
      </x:c>
    </x:row>
    <x:row r="53" ht="22" customHeight="1">
      <x:c r="A53" s="8" t="str">
        <x:v>2019-11</x:v>
      </x:c>
      <x:c r="B53" s="8" t="n">
        <x:v>220</x:v>
      </x:c>
      <x:c r="C53" s="8" t="n">
        <x:v>220</x:v>
      </x:c>
      <x:c r="D53" s="8" t="n">
        <x:v>45</x:v>
      </x:c>
      <x:c r="E53" s="10" t="n">
        <x:f>IF(C53=0,"n.a.",D53/C53)</x:f>
        <x:v>0.20454545454545456</x:v>
      </x:c>
    </x:row>
    <x:row r="54" ht="22" customHeight="1">
      <x:c r="A54" s="8" t="str">
        <x:v>2019-12</x:v>
      </x:c>
      <x:c r="B54" s="8" t="n">
        <x:v>285</x:v>
      </x:c>
      <x:c r="C54" s="8" t="n">
        <x:v>285</x:v>
      </x:c>
      <x:c r="D54" s="8" t="n">
        <x:v>52</x:v>
      </x:c>
      <x:c r="E54" s="10" t="n">
        <x:f>IF(C54=0,"n.a.",D54/C54)</x:f>
        <x:v>0.1824561403508772</x:v>
      </x:c>
    </x:row>
    <x:row r="55" ht="22" customHeight="1">
      <x:c r="A55" s="8" t="str">
        <x:v>2020-01</x:v>
      </x:c>
      <x:c r="B55" s="8" t="n">
        <x:v>215</x:v>
      </x:c>
      <x:c r="C55" s="8" t="n">
        <x:v>215</x:v>
      </x:c>
      <x:c r="D55" s="8" t="n">
        <x:v>25</x:v>
      </x:c>
      <x:c r="E55" s="10" t="n">
        <x:f>IF(C55=0,"n.a.",D55/C55)</x:f>
        <x:v>0.11627906976744186</x:v>
      </x:c>
    </x:row>
    <x:row r="56" ht="22" customHeight="1">
      <x:c r="A56" s="8" t="str">
        <x:v>2020-02</x:v>
      </x:c>
      <x:c r="B56" s="8" t="n">
        <x:v>235</x:v>
      </x:c>
      <x:c r="C56" s="8" t="n">
        <x:v>235</x:v>
      </x:c>
      <x:c r="D56" s="8" t="n">
        <x:v>11</x:v>
      </x:c>
      <x:c r="E56" s="10" t="n">
        <x:f>IF(C56=0,"n.a.",D56/C56)</x:f>
        <x:v>0.04680851063829787</x:v>
      </x:c>
    </x:row>
    <x:row r="57" ht="22" customHeight="1">
      <x:c r="A57" s="8" t="str">
        <x:v>2020-03</x:v>
      </x:c>
      <x:c r="B57" s="8" t="n">
        <x:v>67</x:v>
      </x:c>
      <x:c r="C57" s="8" t="n">
        <x:v>67</x:v>
      </x:c>
      <x:c r="D57" s="8" t="n">
        <x:v>0</x:v>
      </x:c>
      <x:c r="E57" s="10" t="n">
        <x:f>IF(C57=0,"n.a.",D57/C57)</x:f>
        <x:v>0</x:v>
      </x:c>
    </x:row>
    <x:row r="58" ht="22" customHeight="1">
      <x:c r="A58" s="8" t="str">
        <x:v>2020-04</x:v>
      </x:c>
      <x:c r="B58" s="8" t="n">
        <x:v>19</x:v>
      </x:c>
      <x:c r="C58" s="8" t="n">
        <x:v>19</x:v>
      </x:c>
      <x:c r="D58" s="8" t="n">
        <x:v>1</x:v>
      </x:c>
      <x:c r="E58" s="10" t="n">
        <x:f>IF(C58=0,"n.a.",D58/C58)</x:f>
        <x:v>0.05263157894736842</x:v>
      </x:c>
    </x:row>
    <x:row r="59" ht="22" customHeight="1">
      <x:c r="A59" s="8" t="str">
        <x:v>2020-05</x:v>
      </x:c>
      <x:c r="B59" s="8" t="n">
        <x:v>101</x:v>
      </x:c>
      <x:c r="C59" s="8" t="n">
        <x:v>101</x:v>
      </x:c>
      <x:c r="D59" s="8" t="n">
        <x:v>4</x:v>
      </x:c>
      <x:c r="E59" s="10" t="n">
        <x:f>IF(C59=0,"n.a.",D59/C59)</x:f>
        <x:v>0.039603960396039604</x:v>
      </x:c>
    </x:row>
    <x:row r="60" ht="22" customHeight="1">
      <x:c r="A60" s="8" t="str">
        <x:v>2020-06</x:v>
      </x:c>
      <x:c r="B60" s="8" t="n">
        <x:v>68</x:v>
      </x:c>
      <x:c r="C60" s="8" t="n">
        <x:v>68</x:v>
      </x:c>
      <x:c r="D60" s="8" t="n">
        <x:v>4</x:v>
      </x:c>
      <x:c r="E60" s="10" t="n">
        <x:f>IF(C60=0,"n.a.",D60/C60)</x:f>
        <x:v>0.058823529411764705</x:v>
      </x:c>
    </x:row>
    <x:row r="61" ht="22" customHeight="1">
      <x:c r="A61" s="8" t="str">
        <x:v>2020-07</x:v>
      </x:c>
      <x:c r="B61" s="8" t="n">
        <x:v>47</x:v>
      </x:c>
      <x:c r="C61" s="8" t="n">
        <x:v>47</x:v>
      </x:c>
      <x:c r="D61" s="8" t="n">
        <x:v>2</x:v>
      </x:c>
      <x:c r="E61" s="10" t="n">
        <x:f>IF(C61=0,"n.a.",D61/C61)</x:f>
        <x:v>0.0425531914893617</x:v>
      </x:c>
    </x:row>
    <x:row r="62" ht="22" customHeight="1">
      <x:c r="A62" s="8" t="str">
        <x:v>2020-08</x:v>
      </x:c>
      <x:c r="B62" s="8" t="n">
        <x:v>29</x:v>
      </x:c>
      <x:c r="C62" s="8" t="n">
        <x:v>29</x:v>
      </x:c>
      <x:c r="D62" s="8" t="n">
        <x:v>0</x:v>
      </x:c>
      <x:c r="E62" s="10" t="n">
        <x:f>IF(C62=0,"n.a.",D62/C62)</x:f>
        <x:v>0</x:v>
      </x:c>
    </x:row>
    <x:row r="63" ht="22" customHeight="1">
      <x:c r="A63" s="8" t="str">
        <x:v>2020-09</x:v>
      </x:c>
      <x:c r="B63" s="8" t="n">
        <x:v>31</x:v>
      </x:c>
      <x:c r="C63" s="8" t="n">
        <x:v>31</x:v>
      </x:c>
      <x:c r="D63" s="8" t="n">
        <x:v>1</x:v>
      </x:c>
      <x:c r="E63" s="10" t="n">
        <x:f>IF(C63=0,"n.a.",D63/C63)</x:f>
        <x:v>0.03225806451612903</x:v>
      </x:c>
    </x:row>
    <x:row r="64" ht="22" customHeight="1">
      <x:c r="A64" s="8" t="str">
        <x:v>2020-10</x:v>
      </x:c>
      <x:c r="B64" s="8" t="n">
        <x:v>38</x:v>
      </x:c>
      <x:c r="C64" s="8" t="n">
        <x:v>38</x:v>
      </x:c>
      <x:c r="D64" s="8" t="n">
        <x:v>0</x:v>
      </x:c>
      <x:c r="E64" s="10" t="n">
        <x:f>IF(C64=0,"n.a.",D64/C64)</x:f>
        <x:v>0</x:v>
      </x:c>
    </x:row>
    <x:row r="65" ht="22" customHeight="1">
      <x:c r="A65" s="8" t="str">
        <x:v>2020-11</x:v>
      </x:c>
      <x:c r="B65" s="8" t="n">
        <x:v>33</x:v>
      </x:c>
      <x:c r="C65" s="8" t="n">
        <x:v>22</x:v>
      </x:c>
      <x:c r="D65" s="8" t="n">
        <x:v>1</x:v>
      </x:c>
      <x:c r="E65" s="10" t="n">
        <x:f>IF(C65=0,"n.a.",D65/C65)</x:f>
        <x:v>0.045454545454545456</x:v>
      </x:c>
    </x:row>
    <x:row r="66" ht="22" customHeight="1">
      <x:c r="A66" s="8" t="str">
        <x:v>2020-12</x:v>
      </x:c>
      <x:c r="B66" s="8" t="n">
        <x:v>64</x:v>
      </x:c>
      <x:c r="C66" s="8" t="n">
        <x:v>0</x:v>
      </x:c>
      <x:c r="D66" s="8" t="n">
        <x:v>0</x:v>
      </x:c>
      <x:c r="E66" s="10" t="str">
        <x:f>IF(C66=0,"n.a.",D66/C66)</x:f>
        <x:v>n.a.</x:v>
      </x:c>
    </x:row>
    <x:row r="67" ht="22" customHeight="1">
      <x:c r="A67" s="8" t="str">
        <x:v>2021-01</x:v>
      </x:c>
      <x:c r="B67" s="8" t="n">
        <x:v>34</x:v>
      </x:c>
      <x:c r="C67" s="8" t="n">
        <x:v>0</x:v>
      </x:c>
      <x:c r="D67" s="8" t="n">
        <x:v>0</x:v>
      </x:c>
      <x:c r="E67" s="10" t="str">
        <x:f>IF(C67=0,"n.a.",D67/C67)</x:f>
        <x:v>n.a.</x:v>
      </x:c>
    </x:row>
    <x:row r="68" ht="22" customHeight="1">
      <x:c r="A68" s="8" t="str">
        <x:v>2021-02</x:v>
      </x:c>
      <x:c r="B68" s="8" t="n">
        <x:v>33</x:v>
      </x:c>
      <x:c r="C68" s="8" t="n">
        <x:v>0</x:v>
      </x:c>
      <x:c r="D68" s="8" t="n">
        <x:v>0</x:v>
      </x:c>
      <x:c r="E68" s="10" t="str">
        <x:f>IF(C68=0,"n.a.",D68/C68)</x:f>
        <x:v>n.a.</x:v>
      </x:c>
    </x:row>
    <x:row r="69" ht="22" customHeight="1">
      <x:c r="A69" s="2"/>
      <x:c r="B69" s="2"/>
      <x:c r="C69" s="2"/>
      <x:c r="D69" s="2"/>
      <x:c r="E69" s="2"/>
    </x:row>
    <x:row r="70" ht="22" customHeight="1">
      <x:c r="A70" s="2"/>
      <x:c r="B70" s="2"/>
      <x:c r="C70" s="2"/>
      <x:c r="D70" s="2"/>
      <x:c r="E70" s="2"/>
    </x:row>
    <x:row r="71" ht="22" customHeight="1">
      <x:c r="A71" s="2"/>
      <x:c r="B71" s="2"/>
      <x:c r="C71" s="2"/>
      <x:c r="D71" s="2"/>
      <x:c r="E71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2D4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E7. Order-level delivery coverage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2" customHeight="1">
      <x:c r="A4" s="2" t="str">
        <x:v>Blank delivery dates stay unavailable. &gt;7 days is descriptive, not a contractual SLA.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7" t="str">
        <x:v>Year</x:v>
      </x:c>
      <x:c r="B6" s="7" t="str">
        <x:v>Channel</x:v>
      </x:c>
      <x:c r="C6" s="7" t="str">
        <x:v>Orders</x:v>
      </x:c>
      <x:c r="D6" s="7" t="str">
        <x:v>Valid</x:v>
      </x:c>
      <x:c r="E6" s="7" t="str">
        <x:v>Coverage</x:v>
      </x:c>
      <x:c r="F6" s="7" t="str">
        <x:v>MeanDays</x:v>
      </x:c>
      <x:c r="G6" s="7" t="str">
        <x:v>MedianDays</x:v>
      </x:c>
      <x:c r="H6" s="7" t="str">
        <x:v>P90Days</x:v>
      </x:c>
      <x:c r="I6" s="7" t="str">
        <x:v>Over7</x:v>
      </x:c>
      <x:c r="J6" s="7" t="str">
        <x:v>Share over 7 days</x:v>
      </x:c>
    </x:row>
    <x:row r="7" ht="22" customHeight="1">
      <x:c r="A7" s="12" t="n">
        <x:v>2016</x:v>
      </x:c>
      <x:c r="B7" s="8" t="str">
        <x:v>Online</x:v>
      </x:c>
      <x:c r="C7" s="8" t="n">
        <x:v>476</x:v>
      </x:c>
      <x:c r="D7" s="8" t="n">
        <x:v>476</x:v>
      </x:c>
      <x:c r="E7" s="10" t="n">
        <x:f>D7/C7</x:f>
        <x:v>1</x:v>
      </x:c>
      <x:c r="F7" s="13" t="n">
        <x:v>7.1722689076</x:v>
      </x:c>
      <x:c r="G7" s="13" t="n">
        <x:v>7</x:v>
      </x:c>
      <x:c r="H7" s="13" t="n">
        <x:v>11</x:v>
      </x:c>
      <x:c r="I7" s="8" t="n">
        <x:v>201</x:v>
      </x:c>
      <x:c r="J7" s="10" t="n">
        <x:f>IF(D7=0,"n.a.",I7/D7)</x:f>
        <x:v>0.4222689075630252</x:v>
      </x:c>
    </x:row>
    <x:row r="8" ht="22" customHeight="1">
      <x:c r="A8" s="12" t="n">
        <x:v>2016</x:v>
      </x:c>
      <x:c r="B8" s="8" t="str">
        <x:v>Store</x:v>
      </x:c>
      <x:c r="C8" s="8" t="n">
        <x:v>2389</x:v>
      </x:c>
      <x:c r="D8" s="8" t="n">
        <x:v>0</x:v>
      </x:c>
      <x:c r="E8" s="10" t="n">
        <x:f>D8/C8</x:f>
        <x:v>0</x:v>
      </x:c>
      <x:c r="F8" s="13"/>
      <x:c r="G8" s="13"/>
      <x:c r="H8" s="13"/>
      <x:c r="I8" s="8" t="n">
        <x:v>0</x:v>
      </x:c>
      <x:c r="J8" s="10" t="str">
        <x:f>IF(D8=0,"n.a.",I8/D8)</x:f>
        <x:v>n.a.</x:v>
      </x:c>
    </x:row>
    <x:row r="9" ht="22" customHeight="1">
      <x:c r="A9" s="12" t="n">
        <x:v>2017</x:v>
      </x:c>
      <x:c r="B9" s="8" t="str">
        <x:v>Online</x:v>
      </x:c>
      <x:c r="C9" s="8" t="n">
        <x:v>644</x:v>
      </x:c>
      <x:c r="D9" s="8" t="n">
        <x:v>644</x:v>
      </x:c>
      <x:c r="E9" s="10" t="n">
        <x:f>D9/C9</x:f>
        <x:v>1</x:v>
      </x:c>
      <x:c r="F9" s="13" t="n">
        <x:v>5.201863354</x:v>
      </x:c>
      <x:c r="G9" s="13" t="n">
        <x:v>5</x:v>
      </x:c>
      <x:c r="H9" s="13" t="n">
        <x:v>8</x:v>
      </x:c>
      <x:c r="I9" s="8" t="n">
        <x:v>82</x:v>
      </x:c>
      <x:c r="J9" s="10" t="n">
        <x:f>IF(D9=0,"n.a.",I9/D9)</x:f>
        <x:v>0.12732919254658384</x:v>
      </x:c>
    </x:row>
    <x:row r="10" ht="22" customHeight="1">
      <x:c r="A10" s="12" t="n">
        <x:v>2017</x:v>
      </x:c>
      <x:c r="B10" s="8" t="str">
        <x:v>Store</x:v>
      </x:c>
      <x:c r="C10" s="8" t="n">
        <x:v>2636</x:v>
      </x:c>
      <x:c r="D10" s="8" t="n">
        <x:v>0</x:v>
      </x:c>
      <x:c r="E10" s="10" t="n">
        <x:f>D10/C10</x:f>
        <x:v>0</x:v>
      </x:c>
      <x:c r="F10" s="13"/>
      <x:c r="G10" s="13"/>
      <x:c r="H10" s="13"/>
      <x:c r="I10" s="8" t="n">
        <x:v>0</x:v>
      </x:c>
      <x:c r="J10" s="10" t="str">
        <x:f>IF(D10=0,"n.a.",I10/D10)</x:f>
        <x:v>n.a.</x:v>
      </x:c>
    </x:row>
    <x:row r="11" ht="22" customHeight="1">
      <x:c r="A11" s="12" t="n">
        <x:v>2018</x:v>
      </x:c>
      <x:c r="B11" s="8" t="str">
        <x:v>Online</x:v>
      </x:c>
      <x:c r="C11" s="8" t="n">
        <x:v>1245</x:v>
      </x:c>
      <x:c r="D11" s="8" t="n">
        <x:v>1245</x:v>
      </x:c>
      <x:c r="E11" s="10" t="n">
        <x:f>D11/C11</x:f>
        <x:v>1</x:v>
      </x:c>
      <x:c r="F11" s="13" t="n">
        <x:v>4.3550200803</x:v>
      </x:c>
      <x:c r="G11" s="13" t="n">
        <x:v>4</x:v>
      </x:c>
      <x:c r="H11" s="13" t="n">
        <x:v>7</x:v>
      </x:c>
      <x:c r="I11" s="8" t="n">
        <x:v>69</x:v>
      </x:c>
      <x:c r="J11" s="10" t="n">
        <x:f>IF(D11=0,"n.a.",I11/D11)</x:f>
        <x:v>0.05542168674698795</x:v>
      </x:c>
    </x:row>
    <x:row r="12" ht="22" customHeight="1">
      <x:c r="A12" s="12" t="n">
        <x:v>2018</x:v>
      </x:c>
      <x:c r="B12" s="8" t="str">
        <x:v>Store</x:v>
      </x:c>
      <x:c r="C12" s="8" t="n">
        <x:v>4720</x:v>
      </x:c>
      <x:c r="D12" s="8" t="n">
        <x:v>0</x:v>
      </x:c>
      <x:c r="E12" s="10" t="n">
        <x:f>D12/C12</x:f>
        <x:v>0</x:v>
      </x:c>
      <x:c r="F12" s="13"/>
      <x:c r="G12" s="13"/>
      <x:c r="H12" s="13"/>
      <x:c r="I12" s="8" t="n">
        <x:v>0</x:v>
      </x:c>
      <x:c r="J12" s="10" t="str">
        <x:f>IF(D12=0,"n.a.",I12/D12)</x:f>
        <x:v>n.a.</x:v>
      </x:c>
    </x:row>
    <x:row r="13" ht="22" customHeight="1">
      <x:c r="A13" s="12" t="n">
        <x:v>2019</x:v>
      </x:c>
      <x:c r="B13" s="8" t="str">
        <x:v>Online</x:v>
      </x:c>
      <x:c r="C13" s="8" t="n">
        <x:v>2006</x:v>
      </x:c>
      <x:c r="D13" s="8" t="n">
        <x:v>2006</x:v>
      </x:c>
      <x:c r="E13" s="10" t="n">
        <x:f>D13/C13</x:f>
        <x:v>1</x:v>
      </x:c>
      <x:c r="F13" s="13" t="n">
        <x:v>4.0982053838</x:v>
      </x:c>
      <x:c r="G13" s="13" t="n">
        <x:v>4</x:v>
      </x:c>
      <x:c r="H13" s="13" t="n">
        <x:v>6</x:v>
      </x:c>
      <x:c r="I13" s="8" t="n">
        <x:v>78</x:v>
      </x:c>
      <x:c r="J13" s="10" t="n">
        <x:f>IF(D13=0,"n.a.",I13/D13)</x:f>
        <x:v>0.038883349950149554</x:v>
      </x:c>
    </x:row>
    <x:row r="14" ht="22" customHeight="1">
      <x:c r="A14" s="12" t="n">
        <x:v>2019</x:v>
      </x:c>
      <x:c r="B14" s="8" t="str">
        <x:v>Store</x:v>
      </x:c>
      <x:c r="C14" s="8" t="n">
        <x:v>7077</x:v>
      </x:c>
      <x:c r="D14" s="8" t="n">
        <x:v>0</x:v>
      </x:c>
      <x:c r="E14" s="10" t="n">
        <x:f>D14/C14</x:f>
        <x:v>0</x:v>
      </x:c>
      <x:c r="F14" s="13"/>
      <x:c r="G14" s="13"/>
      <x:c r="H14" s="13"/>
      <x:c r="I14" s="8" t="n">
        <x:v>0</x:v>
      </x:c>
      <x:c r="J14" s="10" t="str">
        <x:f>IF(D14=0,"n.a.",I14/D14)</x:f>
        <x:v>n.a.</x:v>
      </x:c>
    </x:row>
    <x:row r="15" ht="22" customHeight="1">
      <x:c r="A15" s="12" t="n">
        <x:v>2020</x:v>
      </x:c>
      <x:c r="B15" s="8" t="str">
        <x:v>Online</x:v>
      </x:c>
      <x:c r="C15" s="8" t="n">
        <x:v>1071</x:v>
      </x:c>
      <x:c r="D15" s="8" t="n">
        <x:v>1071</x:v>
      </x:c>
      <x:c r="E15" s="10" t="n">
        <x:f>D15/C15</x:f>
        <x:v>1</x:v>
      </x:c>
      <x:c r="F15" s="13" t="n">
        <x:v>4.0336134454</x:v>
      </x:c>
      <x:c r="G15" s="13" t="n">
        <x:v>4</x:v>
      </x:c>
      <x:c r="H15" s="13" t="n">
        <x:v>6</x:v>
      </x:c>
      <x:c r="I15" s="8" t="n">
        <x:v>40</x:v>
      </x:c>
      <x:c r="J15" s="10" t="n">
        <x:f>IF(D15=0,"n.a.",I15/D15)</x:f>
        <x:v>0.03734827264239029</x:v>
      </x:c>
    </x:row>
    <x:row r="16" ht="22" customHeight="1">
      <x:c r="A16" s="12" t="n">
        <x:v>2020</x:v>
      </x:c>
      <x:c r="B16" s="8" t="str">
        <x:v>Store</x:v>
      </x:c>
      <x:c r="C16" s="8" t="n">
        <x:v>3564</x:v>
      </x:c>
      <x:c r="D16" s="8" t="n">
        <x:v>0</x:v>
      </x:c>
      <x:c r="E16" s="10" t="n">
        <x:f>D16/C16</x:f>
        <x:v>0</x:v>
      </x:c>
      <x:c r="F16" s="13"/>
      <x:c r="G16" s="13"/>
      <x:c r="H16" s="13"/>
      <x:c r="I16" s="8" t="n">
        <x:v>0</x:v>
      </x:c>
      <x:c r="J16" s="10" t="str">
        <x:f>IF(D16=0,"n.a.",I16/D16)</x:f>
        <x:v>n.a.</x:v>
      </x:c>
    </x:row>
    <x:row r="17" ht="22" customHeight="1">
      <x:c r="A17" s="12" t="n">
        <x:v>2021</x:v>
      </x:c>
      <x:c r="B17" s="8" t="str">
        <x:v>Online</x:v>
      </x:c>
      <x:c r="C17" s="8" t="n">
        <x:v>138</x:v>
      </x:c>
      <x:c r="D17" s="8" t="n">
        <x:v>138</x:v>
      </x:c>
      <x:c r="E17" s="10" t="n">
        <x:f>D17/C17</x:f>
        <x:v>1</x:v>
      </x:c>
      <x:c r="F17" s="13" t="n">
        <x:v>3.7753623188</x:v>
      </x:c>
      <x:c r="G17" s="13" t="n">
        <x:v>4</x:v>
      </x:c>
      <x:c r="H17" s="13" t="n">
        <x:v>6</x:v>
      </x:c>
      <x:c r="I17" s="8" t="n">
        <x:v>2</x:v>
      </x:c>
      <x:c r="J17" s="10" t="n">
        <x:f>IF(D17=0,"n.a.",I17/D17)</x:f>
        <x:v>0.014492753623188406</x:v>
      </x:c>
    </x:row>
    <x:row r="18" ht="22" customHeight="1">
      <x:c r="A18" s="12" t="n">
        <x:v>2021</x:v>
      </x:c>
      <x:c r="B18" s="8" t="str">
        <x:v>Store</x:v>
      </x:c>
      <x:c r="C18" s="8" t="n">
        <x:v>360</x:v>
      </x:c>
      <x:c r="D18" s="8" t="n">
        <x:v>0</x:v>
      </x:c>
      <x:c r="E18" s="10" t="n">
        <x:f>D18/C18</x:f>
        <x:v>0</x:v>
      </x:c>
      <x:c r="F18" s="13"/>
      <x:c r="G18" s="13"/>
      <x:c r="H18" s="13"/>
      <x:c r="I18" s="8" t="n">
        <x:v>0</x:v>
      </x:c>
      <x:c r="J18" s="10" t="str">
        <x:f>IF(D18=0,"n.a.",I18/D18)</x:f>
        <x:v>n.a.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2D43"/>
  </x:sheetPr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E8. 2020 vs 2019 sales bridge (USD)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22" customHeight="1">
      <x:c r="A4" s="2" t="str">
        <x:v>At static product prices, order value changes reflect basket composition, not observed price changes.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8" customHeight="1">
      <x:c r="A6" s="6" t="str">
        <x:v>Metric</x:v>
      </x:c>
      <x:c r="B6" s="6" t="str">
        <x:v>2019</x:v>
      </x:c>
      <x:c r="C6" s="6" t="str">
        <x:v>2020</x:v>
      </x:c>
      <x:c r="D6" s="2"/>
      <x:c r="E6" s="2"/>
      <x:c r="F6" s="2"/>
      <x:c r="G6" s="2"/>
      <x:c r="H6" s="2"/>
    </x:row>
    <x:row r="7" ht="22" customHeight="1">
      <x:c r="A7" s="2" t="str">
        <x:v>Est. sales</x:v>
      </x:c>
      <x:c r="B7" s="8" t="n">
        <x:v>18264382.48</x:v>
      </x:c>
      <x:c r="C7" s="8" t="n">
        <x:v>9294632.14</x:v>
      </x:c>
      <x:c r="D7" s="2"/>
      <x:c r="E7" s="2"/>
      <x:c r="F7" s="2"/>
      <x:c r="G7" s="2"/>
      <x:c r="H7" s="2"/>
    </x:row>
    <x:row r="8" ht="22" customHeight="1">
      <x:c r="A8" s="2" t="str">
        <x:v>Distinct orders</x:v>
      </x:c>
      <x:c r="B8" s="8" t="n">
        <x:v>9083</x:v>
      </x:c>
      <x:c r="C8" s="8" t="n">
        <x:v>4635</x:v>
      </x:c>
      <x:c r="D8" s="2"/>
      <x:c r="E8" s="2"/>
      <x:c r="F8" s="2"/>
      <x:c r="G8" s="2"/>
      <x:c r="H8" s="2"/>
    </x:row>
    <x:row r="9" ht="22" customHeight="1">
      <x:c r="A9" s="2" t="str">
        <x:v>Est. order value</x:v>
      </x:c>
      <x:c r="B9" s="9" t="n">
        <x:f>B7/B8</x:f>
        <x:v>2010.8314962016955</x:v>
      </x:c>
      <x:c r="C9" s="9" t="n">
        <x:f>C7/C8</x:f>
        <x:v>2005.314377562028</x:v>
      </x:c>
      <x:c r="D9" s="2"/>
      <x:c r="E9" s="2"/>
      <x:c r="F9" s="2"/>
      <x:c r="G9" s="2"/>
      <x:c r="H9" s="2"/>
    </x:row>
    <x:row r="10" ht="22" customHeight="1">
      <x:c r="A10" s="2"/>
      <x:c r="B10" s="8"/>
      <x:c r="C10" s="8"/>
      <x:c r="D10" s="2"/>
      <x:c r="E10" s="2"/>
      <x:c r="F10" s="2"/>
      <x:c r="G10" s="2"/>
      <x:c r="H10" s="2"/>
    </x:row>
    <x:row r="11" ht="22" customHeight="1">
      <x:c r="A11" s="2"/>
      <x:c r="B11" s="8"/>
      <x:c r="C11" s="8"/>
      <x:c r="D11" s="2"/>
      <x:c r="E11" s="2"/>
      <x:c r="F11" s="2"/>
      <x:c r="G11" s="2"/>
      <x:c r="H11" s="2"/>
    </x:row>
    <x:row r="12" ht="22" customHeight="1">
      <x:c r="A12" s="2" t="str">
        <x:v>Order count effect</x:v>
      </x:c>
      <x:c r="B12" s="8" t="n">
        <x:f>(C8-B8)*B9</x:f>
        <x:v>-8944178.495105142</x:v>
      </x:c>
      <x:c r="C12" s="8"/>
      <x:c r="D12" s="2"/>
      <x:c r="E12" s="2"/>
      <x:c r="F12" s="2"/>
      <x:c r="G12" s="2"/>
      <x:c r="H12" s="2"/>
    </x:row>
    <x:row r="13" ht="22" customHeight="1">
      <x:c r="A13" s="2" t="str">
        <x:v>Order value / mix effect</x:v>
      </x:c>
      <x:c r="B13" s="8" t="n">
        <x:f>C8*(C9-B9)</x:f>
        <x:v>-25571.84489485834</x:v>
      </x:c>
      <x:c r="C13" s="8"/>
      <x:c r="D13" s="2"/>
      <x:c r="E13" s="2"/>
      <x:c r="F13" s="2"/>
      <x:c r="G13" s="2"/>
      <x:c r="H13" s="2"/>
    </x:row>
    <x:row r="14" ht="22" customHeight="1">
      <x:c r="A14" s="2" t="str">
        <x:v>Explained change</x:v>
      </x:c>
      <x:c r="B14" s="8" t="n">
        <x:f>SUM(B12:B13)</x:f>
        <x:v>-8969750.34</x:v>
      </x:c>
      <x:c r="C14" s="8"/>
      <x:c r="D14" s="2"/>
      <x:c r="E14" s="2"/>
      <x:c r="F14" s="2"/>
      <x:c r="G14" s="2"/>
      <x:c r="H14" s="2"/>
    </x:row>
    <x:row r="15" ht="22" customHeight="1">
      <x:c r="A15" s="2" t="str">
        <x:v>Actual estimated change</x:v>
      </x:c>
      <x:c r="B15" s="8" t="n">
        <x:f>C7-B7</x:f>
        <x:v>-8969750.34</x:v>
      </x:c>
      <x:c r="C15" s="8"/>
      <x:c r="D15" s="2"/>
      <x:c r="E15" s="2"/>
      <x:c r="F15" s="2"/>
      <x:c r="G15" s="2"/>
      <x:c r="H15" s="2"/>
    </x:row>
    <x:row r="16" ht="22" customHeight="1">
      <x:c r="A16" s="2" t="str">
        <x:v>Difference</x:v>
      </x:c>
      <x:c r="B16" s="9" t="n">
        <x:f>B14-B15</x:f>
        <x:v>0</x:v>
      </x:c>
      <x:c r="C16" s="8"/>
      <x:c r="D16" s="2"/>
      <x:c r="E16" s="2"/>
      <x:c r="F16" s="2"/>
      <x:c r="G16" s="2"/>
      <x:c r="H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72D4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2" customHeight="1">
      <x:c r="A1" s="2"/>
      <x:c r="B1" s="2"/>
      <x:c r="C1" s="2"/>
      <x:c r="D1" s="2"/>
    </x:row>
    <x:row r="2" ht="22" customHeight="1">
      <x:c r="A2" s="3" t="str">
        <x:v>E1 / E10. Preparation and update checks</x:v>
      </x:c>
      <x:c r="B2" s="2"/>
      <x:c r="C2" s="2"/>
      <x:c r="D2" s="2"/>
    </x:row>
    <x:row r="3" ht="22" customHeight="1">
      <x:c r="A3" s="4"/>
      <x:c r="B3" s="4"/>
      <x:c r="C3" s="4"/>
      <x:c r="D3" s="4"/>
    </x:row>
    <x:row r="4" ht="22" customHeight="1">
      <x:c r="A4" s="2" t="str">
        <x:v>Preparation checks, not a financial audit. December 2020 was held back and appended.</x:v>
      </x:c>
      <x:c r="B4" s="2"/>
      <x:c r="C4" s="2"/>
      <x:c r="D4" s="2"/>
    </x:row>
    <x:row r="5" ht="22" customHeight="1">
      <x:c r="A5" s="2"/>
      <x:c r="B5" s="2"/>
      <x:c r="C5" s="2"/>
      <x:c r="D5" s="2"/>
    </x:row>
    <x:row r="6" ht="38" customHeight="1">
      <x:c r="A6" s="7" t="str">
        <x:v>Check</x:v>
      </x:c>
      <x:c r="B6" s="7" t="str">
        <x:v>Observed</x:v>
      </x:c>
      <x:c r="C6" s="7" t="str">
        <x:v>Expected</x:v>
      </x:c>
      <x:c r="D6" s="7" t="str">
        <x:v>Difference</x:v>
      </x:c>
    </x:row>
    <x:row r="7" ht="22" customHeight="1">
      <x:c r="A7" s="8" t="str">
        <x:v>Duplicate sales order-line keys</x:v>
      </x:c>
      <x:c r="B7" s="9" t="n">
        <x:v>0</x:v>
      </x:c>
      <x:c r="C7" s="9" t="n">
        <x:v>0</x:v>
      </x:c>
      <x:c r="D7" s="9" t="n">
        <x:f>B7-C7</x:f>
        <x:v>0</x:v>
      </x:c>
    </x:row>
    <x:row r="8" ht="22" customHeight="1">
      <x:c r="A8" s="8" t="str">
        <x:v>Duplicate ProductKey</x:v>
      </x:c>
      <x:c r="B8" s="9" t="n">
        <x:v>0</x:v>
      </x:c>
      <x:c r="C8" s="9" t="n">
        <x:v>0</x:v>
      </x:c>
      <x:c r="D8" s="9" t="n">
        <x:f>B8-C8</x:f>
        <x:v>0</x:v>
      </x:c>
    </x:row>
    <x:row r="9" ht="22" customHeight="1">
      <x:c r="A9" s="8" t="str">
        <x:v>Unmatched ProductKey</x:v>
      </x:c>
      <x:c r="B9" s="9" t="n">
        <x:v>0</x:v>
      </x:c>
      <x:c r="C9" s="9" t="n">
        <x:v>0</x:v>
      </x:c>
      <x:c r="D9" s="9" t="n">
        <x:f>B9-C9</x:f>
        <x:v>0</x:v>
      </x:c>
    </x:row>
    <x:row r="10" ht="22" customHeight="1">
      <x:c r="A10" s="8" t="str">
        <x:v>Duplicate CustomerKey</x:v>
      </x:c>
      <x:c r="B10" s="9" t="n">
        <x:v>0</x:v>
      </x:c>
      <x:c r="C10" s="9" t="n">
        <x:v>0</x:v>
      </x:c>
      <x:c r="D10" s="9" t="n">
        <x:f>B10-C10</x:f>
        <x:v>0</x:v>
      </x:c>
    </x:row>
    <x:row r="11" ht="22" customHeight="1">
      <x:c r="A11" s="8" t="str">
        <x:v>Unmatched CustomerKey</x:v>
      </x:c>
      <x:c r="B11" s="9" t="n">
        <x:v>0</x:v>
      </x:c>
      <x:c r="C11" s="9" t="n">
        <x:v>0</x:v>
      </x:c>
      <x:c r="D11" s="9" t="n">
        <x:f>B11-C11</x:f>
        <x:v>0</x:v>
      </x:c>
    </x:row>
    <x:row r="12" ht="22" customHeight="1">
      <x:c r="A12" s="8" t="str">
        <x:v>Duplicate StoreKey</x:v>
      </x:c>
      <x:c r="B12" s="9" t="n">
        <x:v>0</x:v>
      </x:c>
      <x:c r="C12" s="9" t="n">
        <x:v>0</x:v>
      </x:c>
      <x:c r="D12" s="9" t="n">
        <x:f>B12-C12</x:f>
        <x:v>0</x:v>
      </x:c>
    </x:row>
    <x:row r="13" ht="22" customHeight="1">
      <x:c r="A13" s="8" t="str">
        <x:v>Unmatched StoreKey</x:v>
      </x:c>
      <x:c r="B13" s="9" t="n">
        <x:v>0</x:v>
      </x:c>
      <x:c r="C13" s="9" t="n">
        <x:v>0</x:v>
      </x:c>
      <x:c r="D13" s="9" t="n">
        <x:f>B13-C13</x:f>
        <x:v>0</x:v>
      </x:c>
    </x:row>
    <x:row r="14" ht="22" customHeight="1">
      <x:c r="A14" s="8" t="str">
        <x:v>Duplicate FX date-currency keys</x:v>
      </x:c>
      <x:c r="B14" s="9" t="n">
        <x:v>0</x:v>
      </x:c>
      <x:c r="C14" s="9" t="n">
        <x:v>0</x:v>
      </x:c>
      <x:c r="D14" s="9" t="n">
        <x:f>B14-C14</x:f>
        <x:v>0</x:v>
      </x:c>
    </x:row>
    <x:row r="15" ht="22" customHeight="1">
      <x:c r="A15" s="8" t="str">
        <x:v>Joined row count</x:v>
      </x:c>
      <x:c r="B15" s="9" t="n">
        <x:v>62884</x:v>
      </x:c>
      <x:c r="C15" s="9" t="n">
        <x:v>62884</x:v>
      </x:c>
      <x:c r="D15" s="9" t="n">
        <x:f>B15-C15</x:f>
        <x:v>0</x:v>
      </x:c>
    </x:row>
    <x:row r="16" ht="22" customHeight="1">
      <x:c r="A16" s="8" t="str">
        <x:v>Joined quantity</x:v>
      </x:c>
      <x:c r="B16" s="9" t="n">
        <x:v>197757</x:v>
      </x:c>
      <x:c r="C16" s="9" t="n">
        <x:v>197757</x:v>
      </x:c>
      <x:c r="D16" s="9" t="n">
        <x:f>B16-C16</x:f>
        <x:v>0</x:v>
      </x:c>
    </x:row>
    <x:row r="17" ht="22" customHeight="1">
      <x:c r="A17" s="8" t="str">
        <x:v>Nonpositive quantity</x:v>
      </x:c>
      <x:c r="B17" s="9" t="n">
        <x:v>0</x:v>
      </x:c>
      <x:c r="C17" s="9" t="n">
        <x:v>0</x:v>
      </x:c>
      <x:c r="D17" s="9" t="n">
        <x:f>B17-C17</x:f>
        <x:v>0</x:v>
      </x:c>
    </x:row>
    <x:row r="18" ht="22" customHeight="1">
      <x:c r="A18" s="8" t="str">
        <x:v>Orders with multiple customers</x:v>
      </x:c>
      <x:c r="B18" s="9" t="n">
        <x:v>0</x:v>
      </x:c>
      <x:c r="C18" s="9" t="n">
        <x:v>0</x:v>
      </x:c>
      <x:c r="D18" s="9" t="n">
        <x:f>B18-C18</x:f>
        <x:v>0</x:v>
      </x:c>
    </x:row>
    <x:row r="19" ht="22" customHeight="1">
      <x:c r="A19" s="8" t="str">
        <x:v>Orders with conflicting StoreKey</x:v>
      </x:c>
      <x:c r="B19" s="9" t="n">
        <x:v>0</x:v>
      </x:c>
      <x:c r="C19" s="9" t="n">
        <x:v>0</x:v>
      </x:c>
      <x:c r="D19" s="9" t="n">
        <x:f>B19-C19</x:f>
        <x:v>0</x:v>
      </x:c>
    </x:row>
    <x:row r="20" ht="22" customHeight="1">
      <x:c r="A20" s="8" t="str">
        <x:v>Orders with conflicting Order Date</x:v>
      </x:c>
      <x:c r="B20" s="9" t="n">
        <x:v>0</x:v>
      </x:c>
      <x:c r="C20" s="9" t="n">
        <x:v>0</x:v>
      </x:c>
      <x:c r="D20" s="9" t="n">
        <x:f>B20-C20</x:f>
        <x:v>0</x:v>
      </x:c>
    </x:row>
    <x:row r="21" ht="22" customHeight="1">
      <x:c r="A21" s="8" t="str">
        <x:v>Orders with conflicting Currency Code</x:v>
      </x:c>
      <x:c r="B21" s="9" t="n">
        <x:v>0</x:v>
      </x:c>
      <x:c r="C21" s="9" t="n">
        <x:v>0</x:v>
      </x:c>
      <x:c r="D21" s="9" t="n">
        <x:f>B21-C21</x:f>
        <x:v>0</x:v>
      </x:c>
    </x:row>
    <x:row r="22" ht="22" customHeight="1">
      <x:c r="A22" s="8" t="str">
        <x:v>Orders with conflicting Delivery Date</x:v>
      </x:c>
      <x:c r="B22" s="9" t="n">
        <x:v>0</x:v>
      </x:c>
      <x:c r="C22" s="9" t="n">
        <x:v>0</x:v>
      </x:c>
      <x:c r="D22" s="9" t="n">
        <x:f>B22-C22</x:f>
        <x:v>0</x:v>
      </x:c>
    </x:row>
    <x:row r="23" ht="22" customHeight="1">
      <x:c r="A23" s="8" t="str">
        <x:v>Delivery before order</x:v>
      </x:c>
      <x:c r="B23" s="9" t="n">
        <x:v>0</x:v>
      </x:c>
      <x:c r="C23" s="9" t="n">
        <x:v>0</x:v>
      </x:c>
      <x:c r="D23" s="9" t="n">
        <x:f>B23-C23</x:f>
        <x:v>0</x:v>
      </x:c>
    </x:row>
    <x:row r="24" ht="22" customHeight="1">
      <x:c r="A24" s="8" t="str">
        <x:v>Physical sales before opening</x:v>
      </x:c>
      <x:c r="B24" s="9" t="n">
        <x:v>0</x:v>
      </x:c>
      <x:c r="C24" s="9" t="n">
        <x:v>0</x:v>
      </x:c>
      <x:c r="D24" s="9" t="n">
        <x:f>B24-C24</x:f>
        <x:v>0</x:v>
      </x:c>
    </x:row>
    <x:row r="25" ht="22" customHeight="1">
      <x:c r="A25" s="8" t="str">
        <x:v>Missing matched FX rate</x:v>
      </x:c>
      <x:c r="B25" s="9" t="n">
        <x:v>0</x:v>
      </x:c>
      <x:c r="C25" s="9" t="n">
        <x:v>0</x:v>
      </x:c>
      <x:c r="D25" s="9" t="n">
        <x:f>B25-C25</x:f>
        <x:v>0</x:v>
      </x:c>
    </x:row>
    <x:row r="26" ht="22" customHeight="1">
      <x:c r="A26" s="8" t="str">
        <x:v>USD rates not one</x:v>
      </x:c>
      <x:c r="B26" s="9" t="n">
        <x:v>0</x:v>
      </x:c>
      <x:c r="C26" s="9" t="n">
        <x:v>0</x:v>
      </x:c>
      <x:c r="D26" s="9" t="n">
        <x:f>B26-C26</x:f>
        <x:v>0</x:v>
      </x:c>
    </x:row>
    <x:row r="27" ht="22" customHeight="1">
      <x:c r="A27" s="8" t="str">
        <x:v>Order/AOV bridge</x:v>
      </x:c>
      <x:c r="B27" s="9" t="n">
        <x:v>-8969750.34</x:v>
      </x:c>
      <x:c r="C27" s="9" t="n">
        <x:v>-8969750.34</x:v>
      </x:c>
      <x:c r="D27" s="9" t="n">
        <x:f>B27-C27</x:f>
        <x:v>0</x:v>
      </x:c>
    </x:row>
    <x:row r="28" ht="22" customHeight="1">
      <x:c r="A28" s="8" t="str">
        <x:v>Store bridge</x:v>
      </x:c>
      <x:c r="B28" s="9" t="n">
        <x:v>-8969750.34</x:v>
      </x:c>
      <x:c r="C28" s="9" t="n">
        <x:v>-8969750.34</x:v>
      </x:c>
      <x:c r="D28" s="9" t="n">
        <x:f>B28-C28</x:f>
        <x:v>0</x:v>
      </x:c>
    </x:row>
    <x:row r="29" ht="22" customHeight="1">
      <x:c r="A29" s="8" t="str">
        <x:v>SKU quantity bridge</x:v>
      </x:c>
      <x:c r="B29" s="9" t="n">
        <x:v>-8969750.34</x:v>
      </x:c>
      <x:c r="C29" s="9" t="n">
        <x:v>-8969750.34</x:v>
      </x:c>
      <x:c r="D29" s="9" t="n">
        <x:f>B29-C29</x:f>
        <x:v>0</x:v>
      </x:c>
    </x:row>
    <x:row r="30" ht="22" customHeight="1">
      <x:c r="A30" s="8" t="str">
        <x:v>December append row count</x:v>
      </x:c>
      <x:c r="B30" s="9" t="n">
        <x:v>61672</x:v>
      </x:c>
      <x:c r="C30" s="9" t="n">
        <x:v>61672</x:v>
      </x:c>
      <x:c r="D30" s="9" t="n">
        <x:f>B30-C30</x:f>
        <x:v>0</x:v>
      </x:c>
    </x:row>
    <x:row r="31" ht="22" customHeight="1">
      <x:c r="A31" s="8" t="str">
        <x:v>December append revenue</x:v>
      </x:c>
      <x:c r="B31" s="9" t="n">
        <x:v>54716191.11</x:v>
      </x:c>
      <x:c r="C31" s="9" t="n">
        <x:v>54716191.11</x:v>
      </x:c>
      <x:c r="D31" s="9" t="n">
        <x:f>B31-C31</x:f>
        <x:v>0</x:v>
      </x:c>
    </x:row>
    <x:row r="32" ht="22" customHeight="1">
      <x:c r="A32" s="8" t="str">
        <x:v>December append quantity</x:v>
      </x:c>
      <x:c r="B32" s="9" t="n">
        <x:v>193960</x:v>
      </x:c>
      <x:c r="C32" s="9" t="n">
        <x:v>193960</x:v>
      </x:c>
      <x:c r="D32" s="9" t="n">
        <x:f>B32-C32</x:f>
        <x:v>0</x:v>
      </x:c>
    </x:row>
    <x:row r="33" ht="22" customHeight="1">
      <x:c r="A33" s="2"/>
      <x:c r="B33" s="2"/>
      <x:c r="C33" s="2"/>
      <x:c r="D33" s="2"/>
    </x:row>
    <x:row r="34" ht="22" customHeight="1">
      <x:c r="A34" s="2"/>
      <x:c r="B34" s="2"/>
      <x:c r="C34" s="2"/>
      <x:c r="D34" s="2"/>
    </x:row>
    <x:row r="35" ht="22" customHeight="1">
      <x:c r="A35" s="2"/>
      <x:c r="B35" s="2"/>
      <x:c r="C35" s="2"/>
      <x:c r="D35" s="2"/>
    </x:row>
  </x:sheetData>
  <x:conditionalFormatting sqref="D7:D32">
    <x:cfRule type="cellIs" dxfId="1" priority="1" operator="notBetween">
      <x:formula>-0.01</x:formula>
      <x:formula>0.01</x:formula>
    </x:cfRule>
  </x:conditionalFormatting>
  <x:pageMargins left="0.7" right="0.7" top="0.75" bottom="0.75" header="0.3" footer="0.3"/>
</x:worksheet>
</file>