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2278431c8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9" sheetId="1" r:id="Rc89b672564c94b55"/>
    <x:sheet xmlns:r="http://schemas.openxmlformats.org/officeDocument/2006/relationships" name="Forecast" sheetId="2" r:id="Rc45f0790b1a747bb"/>
    <x:sheet xmlns:r="http://schemas.openxmlformats.org/officeDocument/2006/relationships" name="Actual" sheetId="3" r:id="Rea08664fce754a70"/>
    <x:sheet xmlns:r="http://schemas.openxmlformats.org/officeDocument/2006/relationships" name="Budget" sheetId="4" r:id="R67ef8c44ef54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(#,##0.00);&quot;—&quot;"/>
  </x:numFmts>
  <x:fonts count="9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1" fontId="8" fillId="3" borderId="0" xfId="0" applyNumberFormat="1" applyFont="1" applyFill="1" applyBorder="1"/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0c514199b48ac" /><Relationship Type="http://schemas.openxmlformats.org/officeDocument/2006/relationships/theme" Target="/xl/theme/theme1.xml" Id="Rb577f29cd0e1484b" /><Relationship Type="http://schemas.openxmlformats.org/officeDocument/2006/relationships/sharedStrings" Target="/xl/sharedStrings.xml" Id="Rf8f68e1d28ec45bf" /><Relationship Type="http://schemas.openxmlformats.org/officeDocument/2006/relationships/worksheet" Target="/xl/worksheets/sheet1.xml" Id="Rc89b672564c94b55" /><Relationship Type="http://schemas.openxmlformats.org/officeDocument/2006/relationships/worksheet" Target="/xl/worksheets/sheet2.xml" Id="Rc45f0790b1a747bb" /><Relationship Type="http://schemas.openxmlformats.org/officeDocument/2006/relationships/worksheet" Target="/xl/worksheets/sheet3.xml" Id="Rea08664fce754a70" /><Relationship Type="http://schemas.openxmlformats.org/officeDocument/2006/relationships/worksheet" Target="/xl/worksheets/sheet4.xml" Id="R67ef8c44ef54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B9 | Business review | May 2022</x:v>
      </x:c>
      <x:c r="B2" s="1"/>
      <x:c r="C2" s="1"/>
      <x:c r="D2" s="1"/>
      <x:c r="E2" s="1"/>
      <x:c r="F2" s="1"/>
      <x:c r="G2" s="1"/>
    </x:row>
    <x:row r="3" ht="23" customHeight="1">
      <x:c r="A3" s="3" t="str">
        <x:v>Prepared meeting pack; no stakeholder responses or approvals obtained.</x:v>
      </x:c>
      <x:c r="B3" s="1"/>
      <x:c r="C3" s="1"/>
      <x:c r="D3" s="1"/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30" customHeight="1">
      <x:c r="A5" s="5" t="str">
        <x:v>Metric</x:v>
      </x:c>
      <x:c r="B5" s="5" t="str">
        <x:v>May USD</x:v>
      </x:c>
      <x:c r="C5" s="5" t="str">
        <x:v>YTD USD</x:v>
      </x:c>
      <x:c r="D5" s="5" t="str">
        <x:v>Meaning</x:v>
      </x:c>
      <x:c r="E5" s="1"/>
      <x:c r="F5" s="1"/>
      <x:c r="G5" s="1"/>
    </x:row>
    <x:row r="6" ht="23" customHeight="1">
      <x:c r="A6" s="1" t="str">
        <x:v>Income</x:v>
      </x:c>
      <x:c r="B6" s="10" t="n">
        <x:f>'Forecast'!G16</x:f>
        <x:v>15800</x:v>
      </x:c>
      <x:c r="C6" s="10" t="n">
        <x:f>'Forecast'!Q16</x:f>
        <x:v>77400</x:v>
      </x:c>
      <x:c r="D6" s="1"/>
      <x:c r="E6" s="1"/>
      <x:c r="F6" s="1"/>
      <x:c r="G6" s="1"/>
    </x:row>
    <x:row r="7" ht="23" customHeight="1">
      <x:c r="A7" s="1" t="str">
        <x:v>Expenses</x:v>
      </x:c>
      <x:c r="B7" s="10" t="n">
        <x:f>'Forecast'!G17</x:f>
        <x:v>18689</x:v>
      </x:c>
      <x:c r="C7" s="10" t="n">
        <x:f>'Forecast'!Q17</x:f>
        <x:v>93334</x:v>
      </x:c>
      <x:c r="D7" s="1"/>
      <x:c r="E7" s="1"/>
      <x:c r="F7" s="1"/>
      <x:c r="G7" s="1"/>
    </x:row>
    <x:row r="8" ht="23" customHeight="1">
      <x:c r="A8" s="1" t="str">
        <x:v>Net</x:v>
      </x:c>
      <x:c r="B8" s="10" t="n">
        <x:f>'Forecast'!G18</x:f>
        <x:v>-2889</x:v>
      </x:c>
      <x:c r="C8" s="10" t="n">
        <x:f>'Forecast'!Q18</x:f>
        <x:v>-15934</x:v>
      </x:c>
      <x:c r="D8" s="1"/>
      <x:c r="E8" s="1"/>
      <x:c r="F8" s="1"/>
      <x:c r="G8" s="1"/>
    </x:row>
    <x:row r="9" ht="23" customHeight="1">
      <x:c r="A9" s="1"/>
      <x:c r="B9" s="7"/>
      <x:c r="C9" s="7"/>
      <x:c r="D9" s="1"/>
      <x:c r="E9" s="1"/>
      <x:c r="F9" s="1"/>
      <x:c r="G9" s="1"/>
    </x:row>
    <x:row r="10" ht="23" customHeight="1">
      <x:c r="A10" s="1" t="str">
        <x:v>Full-year forecast net</x:v>
      </x:c>
      <x:c r="B10" s="10" t="n">
        <x:f>'Forecast'!P18</x:f>
        <x:v>-11468.333333333343</x:v>
      </x:c>
      <x:c r="C10" s="7"/>
      <x:c r="D10" s="1"/>
      <x:c r="E10" s="1"/>
      <x:c r="F10" s="1"/>
      <x:c r="G10" s="1"/>
    </x:row>
    <x:row r="11" ht="23" customHeight="1">
      <x:c r="A11" s="1" t="str">
        <x:v>Original budget net</x:v>
      </x:c>
      <x:c r="B11" s="10" t="n">
        <x:f>'Forecast'!S18</x:f>
        <x:v>-14200</x:v>
      </x:c>
      <x:c r="C11" s="7"/>
      <x:c r="D11" s="1"/>
      <x:c r="E11" s="1"/>
      <x:c r="F11" s="1"/>
      <x:c r="G11" s="1"/>
    </x:row>
    <x:row r="12" ht="23" customHeight="1">
      <x:c r="A12" s="1" t="str">
        <x:v>Forecast vs budget</x:v>
      </x:c>
      <x:c r="B12" s="11" t="n">
        <x:f>B10-B11</x:f>
        <x:v>2731.666666666657</x:v>
      </x:c>
      <x:c r="C12" s="7"/>
      <x:c r="D12" s="1"/>
      <x:c r="E12" s="1"/>
      <x:c r="F12" s="1"/>
      <x:c r="G12" s="1"/>
    </x:row>
    <x:row r="13" ht="23" customHeight="1">
      <x:c r="A13" s="1"/>
      <x:c r="B13" s="1"/>
      <x:c r="C13" s="1"/>
      <x:c r="D13" s="1"/>
      <x:c r="E13" s="1"/>
      <x:c r="F13" s="1"/>
      <x:c r="G13" s="1"/>
    </x:row>
    <x:row r="14" ht="23" customHeight="1">
      <x:c r="A14" s="1"/>
      <x:c r="B14" s="1"/>
      <x:c r="C14" s="1"/>
      <x:c r="D14" s="1"/>
      <x:c r="E14" s="1"/>
      <x:c r="F14" s="1"/>
      <x:c r="G14" s="1"/>
    </x:row>
    <x:row r="15" ht="23" customHeight="1">
      <x:c r="A15" s="1"/>
      <x:c r="B15" s="1"/>
      <x:c r="C15" s="1"/>
      <x:c r="D15" s="1"/>
      <x:c r="E15" s="1"/>
      <x:c r="F15" s="1"/>
      <x:c r="G15" s="1"/>
    </x:row>
    <x:row r="16" ht="30" customHeight="1">
      <x:c r="A16" s="5" t="str">
        <x:v>Action</x:v>
      </x:c>
      <x:c r="B16" s="5" t="str">
        <x:v>Suggested owner</x:v>
      </x:c>
      <x:c r="C16" s="5" t="str">
        <x:v>Target</x:v>
      </x:c>
      <x:c r="D16" s="5" t="str">
        <x:v>Expected impact</x:v>
      </x:c>
      <x:c r="E16" s="5" t="str">
        <x:v>Evidence needed</x:v>
      </x:c>
      <x:c r="F16" s="5" t="str">
        <x:v>Status</x:v>
      </x:c>
      <x:c r="G16" s="1"/>
    </x:row>
    <x:row r="17" ht="55" customHeight="1">
      <x:c r="A17" s="12" t="str">
        <x:v>Investigate Sales gap</x:v>
      </x:c>
      <x:c r="B17" s="12" t="str">
        <x:v>Sales lead</x:v>
      </x:c>
      <x:c r="C17" s="12" t="str">
        <x:v>2 working days</x:v>
      </x:c>
      <x:c r="D17" s="12" t="str">
        <x:v>May gap: USD 3,000</x:v>
      </x:c>
      <x:c r="E17" s="12" t="str">
        <x:v>Units, prices, returns</x:v>
      </x:c>
      <x:c r="F17" s="12" t="str">
        <x:v>Proposed</x:v>
      </x:c>
      <x:c r="G17" s="1"/>
    </x:row>
    <x:row r="18" ht="55" customHeight="1">
      <x:c r="A18" s="12" t="str">
        <x:v>Review Transport excess</x:v>
      </x:c>
      <x:c r="B18" s="12" t="str">
        <x:v>Operations</x:v>
      </x:c>
      <x:c r="C18" s="12" t="str">
        <x:v>5 working days</x:v>
      </x:c>
      <x:c r="D18" s="12" t="str">
        <x:v>May excess: USD 900</x:v>
      </x:c>
      <x:c r="E18" s="12" t="str">
        <x:v>Receipts, travel purpose</x:v>
      </x:c>
      <x:c r="F18" s="12" t="str">
        <x:v>Proposed</x:v>
      </x:c>
      <x:c r="G18" s="1"/>
    </x:row>
    <x:row r="19" ht="55" customHeight="1">
      <x:c r="A19" s="12" t="str">
        <x:v>Validate Other Expenses</x:v>
      </x:c>
      <x:c r="B19" s="12" t="str">
        <x:v>Accountant</x:v>
      </x:c>
      <x:c r="C19" s="12" t="str">
        <x:v>Before close sign-off</x:v>
      </x:c>
      <x:c r="D19" s="12" t="str">
        <x:v>May underspend: USD 1,680</x:v>
      </x:c>
      <x:c r="E19" s="12" t="str">
        <x:v>Unposted invoices/accruals</x:v>
      </x:c>
      <x:c r="F19" s="12" t="str">
        <x:v>Proposed</x:v>
      </x:c>
      <x:c r="G19" s="1"/>
    </x:row>
    <x:row r="20" ht="23" customHeight="1">
      <x:c r="A20" s="1"/>
      <x:c r="B20" s="1"/>
      <x:c r="C20" s="1"/>
      <x:c r="D20" s="1"/>
      <x:c r="E20" s="1"/>
      <x:c r="F20" s="1"/>
      <x:c r="G20" s="1"/>
    </x:row>
    <x:row r="21" ht="23" customHeight="1">
      <x:c r="A21" s="1"/>
      <x:c r="B21" s="1"/>
      <x:c r="C21" s="1"/>
      <x:c r="D21" s="1"/>
      <x:c r="E21" s="1"/>
      <x:c r="F21" s="1"/>
      <x:c r="G21" s="1"/>
    </x:row>
    <x:row r="22" ht="23" customHeight="1">
      <x:c r="A22" s="1"/>
      <x:c r="B22" s="1"/>
      <x:c r="C22" s="1"/>
      <x:c r="D22" s="1"/>
      <x:c r="E22" s="1"/>
      <x:c r="F22" s="1"/>
      <x:c r="G22" s="1"/>
    </x:row>
    <x:row r="23" ht="23" customHeight="1">
      <x:c r="A23" s="1"/>
      <x:c r="B23" s="1"/>
      <x:c r="C23" s="1"/>
      <x:c r="D23" s="1"/>
      <x:c r="E23" s="1"/>
      <x:c r="F23" s="1"/>
      <x:c r="G23" s="1"/>
    </x:row>
    <x:row r="24" ht="23" customHeight="1">
      <x:c r="A24" s="1"/>
      <x:c r="B24" s="1"/>
      <x:c r="C24" s="1"/>
      <x:c r="D24" s="1"/>
      <x:c r="E24" s="1"/>
      <x:c r="F24" s="1"/>
      <x:c r="G24" s="1"/>
    </x:row>
    <x:row r="25" ht="23" customHeight="1">
      <x:c r="A25" s="1"/>
      <x:c r="B25" s="1"/>
      <x:c r="C25" s="1"/>
      <x:c r="D25" s="1"/>
      <x:c r="E25" s="1"/>
      <x:c r="F25" s="1"/>
      <x:c r="G25" s="1"/>
    </x:row>
    <x:row r="26" ht="23" customHeight="1">
      <x:c r="A26" s="1"/>
      <x:c r="B26" s="1"/>
      <x:c r="C26" s="1"/>
      <x:c r="D26" s="1"/>
      <x:c r="E26" s="1"/>
      <x:c r="F26" s="1"/>
      <x:c r="G26" s="1"/>
    </x:row>
    <x:row r="27" ht="23" customHeight="1">
      <x:c r="A27" s="1"/>
      <x:c r="B27" s="1"/>
      <x:c r="C27" s="1"/>
      <x:c r="D27" s="1"/>
      <x:c r="E27" s="1"/>
      <x:c r="F27" s="1"/>
      <x:c r="G27" s="1"/>
    </x:row>
    <x:row r="28" ht="23" customHeight="1">
      <x:c r="A28" s="1"/>
      <x:c r="B28" s="1"/>
      <x:c r="C28" s="1"/>
      <x:c r="D28" s="1"/>
      <x:c r="E28" s="1"/>
      <x:c r="F28" s="1"/>
      <x:c r="G28" s="1"/>
    </x:row>
    <x:row r="29" ht="23" customHeight="1">
      <x:c r="A29" s="1"/>
      <x:c r="B29" s="1"/>
      <x:c r="C29" s="1"/>
      <x:c r="D29" s="1"/>
      <x:c r="E29" s="1"/>
      <x:c r="F29" s="1"/>
      <x:c r="G29" s="1"/>
    </x:row>
    <x:row r="30" ht="23" customHeight="1">
      <x:c r="A30" s="1"/>
      <x:c r="B30" s="1"/>
      <x:c r="C30" s="1"/>
      <x:c r="D30" s="1"/>
      <x:c r="E30" s="1"/>
      <x:c r="F30" s="1"/>
      <x:c r="G30" s="1"/>
    </x:row>
    <x:row r="31" ht="23" customHeight="1">
      <x:c r="A31" s="1"/>
      <x:c r="B31" s="1"/>
      <x:c r="C31" s="1"/>
      <x:c r="D31" s="1"/>
      <x:c r="E31" s="1"/>
      <x:c r="F31" s="1"/>
      <x:c r="G31" s="1"/>
    </x:row>
    <x:row r="32" ht="23" customHeight="1">
      <x:c r="A32" s="1"/>
      <x:c r="B32" s="1"/>
      <x:c r="C32" s="1"/>
      <x:c r="D32" s="1"/>
      <x:c r="E32" s="1"/>
      <x:c r="F32" s="1"/>
      <x:c r="G32" s="1"/>
    </x:row>
    <x:row r="33" ht="23" customHeight="1">
      <x:c r="A33" s="1"/>
      <x:c r="B33" s="1"/>
      <x:c r="C33" s="1"/>
      <x:c r="D33" s="1"/>
      <x:c r="E33" s="1"/>
      <x:c r="F33" s="1"/>
      <x:c r="G33" s="1"/>
    </x:row>
    <x:row r="34" ht="23" customHeight="1">
      <x:c r="A34" s="1"/>
      <x:c r="B34" s="1"/>
      <x:c r="C34" s="1"/>
      <x:c r="D34" s="1"/>
      <x:c r="E34" s="1"/>
      <x:c r="F34" s="1"/>
      <x:c r="G34" s="1"/>
    </x:row>
    <x:row r="35" ht="23" customHeight="1">
      <x:c r="A35" s="1"/>
      <x:c r="B35" s="1"/>
      <x:c r="C35" s="1"/>
      <x:c r="D35" s="1"/>
      <x:c r="E35" s="1"/>
      <x:c r="F35" s="1"/>
      <x:c r="G35" s="1"/>
    </x:row>
    <x:row r="36" ht="23" customHeight="1">
      <x:c r="A36" s="1"/>
      <x:c r="B36" s="1"/>
      <x:c r="C36" s="1"/>
      <x:c r="D36" s="1"/>
      <x:c r="E36" s="1"/>
      <x:c r="F36" s="1"/>
      <x:c r="G36" s="1"/>
    </x:row>
    <x:row r="37" ht="23" customHeight="1">
      <x:c r="A37" s="1"/>
      <x:c r="B37" s="1"/>
      <x:c r="C37" s="1"/>
      <x:c r="D37" s="1"/>
      <x:c r="E37" s="1"/>
      <x:c r="F37" s="1"/>
      <x:c r="G37" s="1"/>
    </x:row>
    <x:row r="38" ht="23" customHeight="1">
      <x:c r="A38" s="1"/>
      <x:c r="B38" s="1"/>
      <x:c r="C38" s="1"/>
      <x:c r="D38" s="1"/>
      <x:c r="E38" s="1"/>
      <x:c r="F38" s="1"/>
      <x:c r="G38" s="1"/>
    </x:row>
    <x:row r="39" ht="23" customHeight="1">
      <x:c r="A39" s="1"/>
      <x:c r="B39" s="1"/>
      <x:c r="C39" s="1"/>
      <x:c r="D39" s="1"/>
      <x:c r="E39" s="1"/>
      <x:c r="F39" s="1"/>
      <x:c r="G39" s="1"/>
    </x:row>
    <x:row r="40" ht="23" customHeight="1">
      <x:c r="A40" s="1"/>
      <x:c r="B40" s="1"/>
      <x:c r="C40" s="1"/>
      <x:c r="D40" s="1"/>
      <x:c r="E40" s="1"/>
      <x:c r="F40" s="1"/>
      <x:c r="G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2" t="str">
        <x:v>Updated full-year forecast | 2022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3" t="str">
        <x:v>Jan–May treated as actual; Jun–Dec teaching forecast.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42" customHeight="1">
      <x:c r="A5" s="5" t="str">
        <x:v>Category</x:v>
      </x:c>
      <x:c r="B5" s="5" t="str">
        <x:v>Type</x:v>
      </x:c>
      <x:c r="C5" s="5" t="n">
        <x:v>1</x:v>
      </x:c>
      <x:c r="D5" s="5" t="n">
        <x:v>2</x:v>
      </x:c>
      <x:c r="E5" s="5" t="n">
        <x:v>3</x:v>
      </x:c>
      <x:c r="F5" s="5" t="n">
        <x:v>4</x:v>
      </x:c>
      <x:c r="G5" s="5" t="n">
        <x:v>5</x:v>
      </x:c>
      <x:c r="H5" s="5" t="n">
        <x:v>6</x:v>
      </x:c>
      <x:c r="I5" s="5" t="n">
        <x:v>7</x:v>
      </x:c>
      <x:c r="J5" s="5" t="n">
        <x:v>8</x:v>
      </x:c>
      <x:c r="K5" s="5" t="n">
        <x:v>9</x:v>
      </x:c>
      <x:c r="L5" s="5" t="n">
        <x:v>10</x:v>
      </x:c>
      <x:c r="M5" s="5" t="n">
        <x:v>11</x:v>
      </x:c>
      <x:c r="N5" s="5" t="n">
        <x:v>12</x:v>
      </x:c>
      <x:c r="O5" s="1"/>
      <x:c r="P5" s="13" t="str">
        <x:v>Full year</x:v>
      </x:c>
      <x:c r="Q5" s="13" t="str">
        <x:v>YTD actual</x:v>
      </x:c>
      <x:c r="R5" s="13" t="str">
        <x:v>Jun–Dec forecast</x:v>
      </x:c>
      <x:c r="S5" s="13" t="str">
        <x:v>Original budget</x:v>
      </x:c>
      <x:c r="T5" s="13" t="str">
        <x:v>Net contribution</x:v>
      </x:c>
    </x:row>
    <x:row r="6" ht="23" customHeight="1">
      <x:c r="A6" s="1" t="str">
        <x:v>Sales</x:v>
      </x:c>
      <x:c r="B6" s="1" t="str">
        <x:v>Income</x:v>
      </x:c>
      <x:c r="C6" s="10" t="n">
        <x:f>SUMIFS('Actual'!$G$6:$G$60,'Actual'!$D$6:$D$60,$A6,'Actual'!$C$6:$C$60,1)</x:f>
        <x:v>5000</x:v>
      </x:c>
      <x:c r="D6" s="10" t="n">
        <x:f>SUMIFS('Actual'!$G$6:$G$60,'Actual'!$D$6:$D$60,$A6,'Actual'!$C$6:$C$60,2)</x:f>
        <x:v>3000</x:v>
      </x:c>
      <x:c r="E6" s="10" t="n">
        <x:f>SUMIFS('Actual'!$G$6:$G$60,'Actual'!$D$6:$D$60,$A6,'Actual'!$C$6:$C$60,3)</x:f>
        <x:v>8000</x:v>
      </x:c>
      <x:c r="F6" s="10" t="n">
        <x:f>SUMIFS('Actual'!$G$6:$G$60,'Actual'!$D$6:$D$60,$A6,'Actual'!$C$6:$C$60,4)</x:f>
        <x:v>6600</x:v>
      </x:c>
      <x:c r="G6" s="10" t="n">
        <x:f>SUMIFS('Actual'!$G$6:$G$60,'Actual'!$D$6:$D$60,$A6,'Actual'!$C$6:$C$60,5)</x:f>
        <x:v>3000</x:v>
      </x:c>
      <x:c r="H6" s="10" t="n">
        <x:f>SUMIFS('Budget'!$D$6:$D$113,'Budget'!$B$6:$B$113,$A6,'Budget'!$A$6:$A$113,6)</x:f>
        <x:v>6000</x:v>
      </x:c>
      <x:c r="I6" s="10" t="n">
        <x:f>SUMIFS('Budget'!$D$6:$D$113,'Budget'!$B$6:$B$113,$A6,'Budget'!$A$6:$A$113,7)</x:f>
        <x:v>6000</x:v>
      </x:c>
      <x:c r="J6" s="10" t="n">
        <x:f>SUMIFS('Budget'!$D$6:$D$113,'Budget'!$B$6:$B$113,$A6,'Budget'!$A$6:$A$113,8)</x:f>
        <x:v>6000</x:v>
      </x:c>
      <x:c r="K6" s="10" t="n">
        <x:f>SUMIFS('Budget'!$D$6:$D$113,'Budget'!$B$6:$B$113,$A6,'Budget'!$A$6:$A$113,9)</x:f>
        <x:v>6000</x:v>
      </x:c>
      <x:c r="L6" s="10" t="n">
        <x:f>SUMIFS('Budget'!$D$6:$D$113,'Budget'!$B$6:$B$113,$A6,'Budget'!$A$6:$A$113,10)</x:f>
        <x:v>6000</x:v>
      </x:c>
      <x:c r="M6" s="10" t="n">
        <x:f>SUMIFS('Budget'!$D$6:$D$113,'Budget'!$B$6:$B$113,$A6,'Budget'!$A$6:$A$113,11)</x:f>
        <x:v>7000</x:v>
      </x:c>
      <x:c r="N6" s="10" t="n">
        <x:f>SUMIFS('Budget'!$D$6:$D$113,'Budget'!$B$6:$B$113,$A6,'Budget'!$A$6:$A$113,12)</x:f>
        <x:v>7000</x:v>
      </x:c>
      <x:c r="O6" s="1"/>
      <x:c r="P6" s="11" t="n">
        <x:f>SUM(C6:N6)</x:f>
        <x:v>69600</x:v>
      </x:c>
      <x:c r="Q6" s="11" t="n">
        <x:f>SUM(C6:G6)</x:f>
        <x:v>25600</x:v>
      </x:c>
      <x:c r="R6" s="11" t="n">
        <x:f>SUM(H6:N6)</x:f>
        <x:v>44000</x:v>
      </x:c>
      <x:c r="S6" s="10" t="n">
        <x:f>SUMIFS('Budget'!$D$6:$D$113,'Budget'!$B$6:$B$113,A6)</x:f>
        <x:v>74000</x:v>
      </x:c>
      <x:c r="T6" s="11" t="n">
        <x:f>IF(B6="Income",P6-S6,S6-P6)</x:f>
        <x:v>-4400</x:v>
      </x:c>
    </x:row>
    <x:row r="7" ht="23" customHeight="1">
      <x:c r="A7" s="1" t="str">
        <x:v>Services</x:v>
      </x:c>
      <x:c r="B7" s="1" t="str">
        <x:v>Income</x:v>
      </x:c>
      <x:c r="C7" s="10" t="n">
        <x:f>SUMIFS('Actual'!$G$6:$G$60,'Actual'!$D$6:$D$60,$A7,'Actual'!$C$6:$C$60,1)</x:f>
        <x:v>2500</x:v>
      </x:c>
      <x:c r="D7" s="10" t="n">
        <x:f>SUMIFS('Actual'!$G$6:$G$60,'Actual'!$D$6:$D$60,$A7,'Actual'!$C$6:$C$60,2)</x:f>
        <x:v>2500</x:v>
      </x:c>
      <x:c r="E7" s="10" t="n">
        <x:f>SUMIFS('Actual'!$G$6:$G$60,'Actual'!$D$6:$D$60,$A7,'Actual'!$C$6:$C$60,3)</x:f>
        <x:v>5000</x:v>
      </x:c>
      <x:c r="F7" s="10" t="n">
        <x:f>SUMIFS('Actual'!$G$6:$G$60,'Actual'!$D$6:$D$60,$A7,'Actual'!$C$6:$C$60,4)</x:f>
        <x:v>2500</x:v>
      </x:c>
      <x:c r="G7" s="10" t="n">
        <x:f>SUMIFS('Actual'!$G$6:$G$60,'Actual'!$D$6:$D$60,$A7,'Actual'!$C$6:$C$60,5)</x:f>
        <x:v>4000</x:v>
      </x:c>
      <x:c r="H7" s="10" t="n">
        <x:f>SUMIFS('Budget'!$D$6:$D$113,'Budget'!$B$6:$B$113,$A7,'Budget'!$A$6:$A$113,6)</x:f>
        <x:v>3000</x:v>
      </x:c>
      <x:c r="I7" s="10" t="n">
        <x:f>SUMIFS('Budget'!$D$6:$D$113,'Budget'!$B$6:$B$113,$A7,'Budget'!$A$6:$A$113,7)</x:f>
        <x:v>3500</x:v>
      </x:c>
      <x:c r="J7" s="10" t="n">
        <x:f>SUMIFS('Budget'!$D$6:$D$113,'Budget'!$B$6:$B$113,$A7,'Budget'!$A$6:$A$113,8)</x:f>
        <x:v>3000</x:v>
      </x:c>
      <x:c r="K7" s="10" t="n">
        <x:f>SUMIFS('Budget'!$D$6:$D$113,'Budget'!$B$6:$B$113,$A7,'Budget'!$A$6:$A$113,9)</x:f>
        <x:v>3000</x:v>
      </x:c>
      <x:c r="L7" s="10" t="n">
        <x:f>SUMIFS('Budget'!$D$6:$D$113,'Budget'!$B$6:$B$113,$A7,'Budget'!$A$6:$A$113,10)</x:f>
        <x:v>3000</x:v>
      </x:c>
      <x:c r="M7" s="10" t="n">
        <x:f>SUMIFS('Budget'!$D$6:$D$113,'Budget'!$B$6:$B$113,$A7,'Budget'!$A$6:$A$113,11)</x:f>
        <x:v>3500</x:v>
      </x:c>
      <x:c r="N7" s="10" t="n">
        <x:f>SUMIFS('Budget'!$D$6:$D$113,'Budget'!$B$6:$B$113,$A7,'Budget'!$A$6:$A$113,12)</x:f>
        <x:v>3500</x:v>
      </x:c>
      <x:c r="O7" s="1"/>
      <x:c r="P7" s="11" t="n">
        <x:f>SUM(C7:N7)</x:f>
        <x:v>39000</x:v>
      </x:c>
      <x:c r="Q7" s="11" t="n">
        <x:f>SUM(C7:G7)</x:f>
        <x:v>16500</x:v>
      </x:c>
      <x:c r="R7" s="11" t="n">
        <x:f>SUM(H7:N7)</x:f>
        <x:v>22500</x:v>
      </x:c>
      <x:c r="S7" s="10" t="n">
        <x:f>SUMIFS('Budget'!$D$6:$D$113,'Budget'!$B$6:$B$113,A7)</x:f>
        <x:v>37800</x:v>
      </x:c>
      <x:c r="T7" s="11" t="n">
        <x:f>IF(B7="Income",P7-S7,S7-P7)</x:f>
        <x:v>1200</x:v>
      </x:c>
    </x:row>
    <x:row r="8" ht="23" customHeight="1">
      <x:c r="A8" s="1" t="str">
        <x:v>Other Income</x:v>
      </x:c>
      <x:c r="B8" s="1" t="str">
        <x:v>Income</x:v>
      </x:c>
      <x:c r="C8" s="10" t="n">
        <x:f>SUMIFS('Actual'!$G$6:$G$60,'Actual'!$D$6:$D$60,$A8,'Actual'!$C$6:$C$60,1)</x:f>
        <x:v>7500</x:v>
      </x:c>
      <x:c r="D8" s="10" t="n">
        <x:f>SUMIFS('Actual'!$G$6:$G$60,'Actual'!$D$6:$D$60,$A8,'Actual'!$C$6:$C$60,2)</x:f>
        <x:v>5000</x:v>
      </x:c>
      <x:c r="E8" s="10" t="n">
        <x:f>SUMIFS('Actual'!$G$6:$G$60,'Actual'!$D$6:$D$60,$A8,'Actual'!$C$6:$C$60,3)</x:f>
        <x:v>7000</x:v>
      </x:c>
      <x:c r="F8" s="10" t="n">
        <x:f>SUMIFS('Actual'!$G$6:$G$60,'Actual'!$D$6:$D$60,$A8,'Actual'!$C$6:$C$60,4)</x:f>
        <x:v>7000</x:v>
      </x:c>
      <x:c r="G8" s="10" t="n">
        <x:f>SUMIFS('Actual'!$G$6:$G$60,'Actual'!$D$6:$D$60,$A8,'Actual'!$C$6:$C$60,5)</x:f>
        <x:v>8800</x:v>
      </x:c>
      <x:c r="H8" s="10" t="n">
        <x:f>SUMIFS('Budget'!$D$6:$D$113,'Budget'!$B$6:$B$113,$A8,'Budget'!$A$6:$A$113,6)</x:f>
        <x:v>8000</x:v>
      </x:c>
      <x:c r="I8" s="10" t="n">
        <x:f>SUMIFS('Budget'!$D$6:$D$113,'Budget'!$B$6:$B$113,$A8,'Budget'!$A$6:$A$113,7)</x:f>
        <x:v>12000</x:v>
      </x:c>
      <x:c r="J8" s="10" t="n">
        <x:f>SUMIFS('Budget'!$D$6:$D$113,'Budget'!$B$6:$B$113,$A8,'Budget'!$A$6:$A$113,8)</x:f>
        <x:v>8000</x:v>
      </x:c>
      <x:c r="K8" s="10" t="n">
        <x:f>SUMIFS('Budget'!$D$6:$D$113,'Budget'!$B$6:$B$113,$A8,'Budget'!$A$6:$A$113,9)</x:f>
        <x:v>8000</x:v>
      </x:c>
      <x:c r="L8" s="10" t="n">
        <x:f>SUMIFS('Budget'!$D$6:$D$113,'Budget'!$B$6:$B$113,$A8,'Budget'!$A$6:$A$113,10)</x:f>
        <x:v>8000</x:v>
      </x:c>
      <x:c r="M8" s="10" t="n">
        <x:f>SUMIFS('Budget'!$D$6:$D$113,'Budget'!$B$6:$B$113,$A8,'Budget'!$A$6:$A$113,11)</x:f>
        <x:v>12000</x:v>
      </x:c>
      <x:c r="N8" s="10" t="n">
        <x:f>SUMIFS('Budget'!$D$6:$D$113,'Budget'!$B$6:$B$113,$A8,'Budget'!$A$6:$A$113,12)</x:f>
        <x:v>12000</x:v>
      </x:c>
      <x:c r="O8" s="1"/>
      <x:c r="P8" s="11" t="n">
        <x:f>SUM(C8:N8)</x:f>
        <x:v>103300</x:v>
      </x:c>
      <x:c r="Q8" s="11" t="n">
        <x:f>SUM(C8:G8)</x:f>
        <x:v>35300</x:v>
      </x:c>
      <x:c r="R8" s="11" t="n">
        <x:f>SUM(H8:N8)</x:f>
        <x:v>68000</x:v>
      </x:c>
      <x:c r="S8" s="10" t="n">
        <x:f>SUMIFS('Budget'!$D$6:$D$113,'Budget'!$B$6:$B$113,A8)</x:f>
        <x:v>108000</x:v>
      </x:c>
      <x:c r="T8" s="11" t="n">
        <x:f>IF(B8="Income",P8-S8,S8-P8)</x:f>
        <x:v>-4700</x:v>
      </x:c>
    </x:row>
    <x:row r="9" ht="23" customHeight="1">
      <x:c r="A9" s="1" t="str">
        <x:v>Rent</x:v>
      </x:c>
      <x:c r="B9" s="1" t="str">
        <x:v>Expense</x:v>
      </x:c>
      <x:c r="C9" s="10" t="n">
        <x:f>SUMIFS('Actual'!$G$6:$G$60,'Actual'!$D$6:$D$60,$A9,'Actual'!$C$6:$C$60,1)</x:f>
        <x:v>7000</x:v>
      </x:c>
      <x:c r="D9" s="10" t="n">
        <x:f>SUMIFS('Actual'!$G$6:$G$60,'Actual'!$D$6:$D$60,$A9,'Actual'!$C$6:$C$60,2)</x:f>
        <x:v>7000</x:v>
      </x:c>
      <x:c r="E9" s="10" t="n">
        <x:f>SUMIFS('Actual'!$G$6:$G$60,'Actual'!$D$6:$D$60,$A9,'Actual'!$C$6:$C$60,3)</x:f>
        <x:v>7000</x:v>
      </x:c>
      <x:c r="F9" s="10" t="n">
        <x:f>SUMIFS('Actual'!$G$6:$G$60,'Actual'!$D$6:$D$60,$A9,'Actual'!$C$6:$C$60,4)</x:f>
        <x:v>7000</x:v>
      </x:c>
      <x:c r="G9" s="10" t="n">
        <x:f>SUMIFS('Actual'!$G$6:$G$60,'Actual'!$D$6:$D$60,$A9,'Actual'!$C$6:$C$60,5)</x:f>
        <x:v>7000</x:v>
      </x:c>
      <x:c r="H9" s="10" t="n">
        <x:f>SUMIFS('Budget'!$D$6:$D$113,'Budget'!$B$6:$B$113,$A9,'Budget'!$A$6:$A$113,6)</x:f>
        <x:v>7000</x:v>
      </x:c>
      <x:c r="I9" s="10" t="n">
        <x:f>SUMIFS('Budget'!$D$6:$D$113,'Budget'!$B$6:$B$113,$A9,'Budget'!$A$6:$A$113,7)</x:f>
        <x:v>7000</x:v>
      </x:c>
      <x:c r="J9" s="10" t="n">
        <x:f>SUMIFS('Budget'!$D$6:$D$113,'Budget'!$B$6:$B$113,$A9,'Budget'!$A$6:$A$113,8)</x:f>
        <x:v>7000</x:v>
      </x:c>
      <x:c r="K9" s="10" t="n">
        <x:f>SUMIFS('Budget'!$D$6:$D$113,'Budget'!$B$6:$B$113,$A9,'Budget'!$A$6:$A$113,9)</x:f>
        <x:v>7000</x:v>
      </x:c>
      <x:c r="L9" s="10" t="n">
        <x:f>SUMIFS('Budget'!$D$6:$D$113,'Budget'!$B$6:$B$113,$A9,'Budget'!$A$6:$A$113,10)</x:f>
        <x:v>7000</x:v>
      </x:c>
      <x:c r="M9" s="10" t="n">
        <x:f>SUMIFS('Budget'!$D$6:$D$113,'Budget'!$B$6:$B$113,$A9,'Budget'!$A$6:$A$113,11)</x:f>
        <x:v>7000</x:v>
      </x:c>
      <x:c r="N9" s="10" t="n">
        <x:f>SUMIFS('Budget'!$D$6:$D$113,'Budget'!$B$6:$B$113,$A9,'Budget'!$A$6:$A$113,12)</x:f>
        <x:v>7000</x:v>
      </x:c>
      <x:c r="O9" s="1"/>
      <x:c r="P9" s="11" t="n">
        <x:f>SUM(C9:N9)</x:f>
        <x:v>84000</x:v>
      </x:c>
      <x:c r="Q9" s="11" t="n">
        <x:f>SUM(C9:G9)</x:f>
        <x:v>35000</x:v>
      </x:c>
      <x:c r="R9" s="11" t="n">
        <x:f>SUM(H9:N9)</x:f>
        <x:v>49000</x:v>
      </x:c>
      <x:c r="S9" s="10" t="n">
        <x:f>SUMIFS('Budget'!$D$6:$D$113,'Budget'!$B$6:$B$113,A9)</x:f>
        <x:v>84000</x:v>
      </x:c>
      <x:c r="T9" s="11" t="n">
        <x:f>IF(B9="Income",P9-S9,S9-P9)</x:f>
        <x:v>0</x:v>
      </x:c>
    </x:row>
    <x:row r="10" ht="23" customHeight="1">
      <x:c r="A10" s="1" t="str">
        <x:v>Utilities</x:v>
      </x:c>
      <x:c r="B10" s="1" t="str">
        <x:v>Expense</x:v>
      </x:c>
      <x:c r="C10" s="10" t="n">
        <x:f>SUMIFS('Actual'!$G$6:$G$60,'Actual'!$D$6:$D$60,$A10,'Actual'!$C$6:$C$60,1)</x:f>
        <x:v>4800</x:v>
      </x:c>
      <x:c r="D10" s="10" t="n">
        <x:f>SUMIFS('Actual'!$G$6:$G$60,'Actual'!$D$6:$D$60,$A10,'Actual'!$C$6:$C$60,2)</x:f>
        <x:v>4500</x:v>
      </x:c>
      <x:c r="E10" s="10" t="n">
        <x:f>SUMIFS('Actual'!$G$6:$G$60,'Actual'!$D$6:$D$60,$A10,'Actual'!$C$6:$C$60,3)</x:f>
        <x:v>4300</x:v>
      </x:c>
      <x:c r="F10" s="10" t="n">
        <x:f>SUMIFS('Actual'!$G$6:$G$60,'Actual'!$D$6:$D$60,$A10,'Actual'!$C$6:$C$60,4)</x:f>
        <x:v>4450</x:v>
      </x:c>
      <x:c r="G10" s="10" t="n">
        <x:f>SUMIFS('Actual'!$G$6:$G$60,'Actual'!$D$6:$D$60,$A10,'Actual'!$C$6:$C$60,5)</x:f>
        <x:v>3969</x:v>
      </x:c>
      <x:c r="H10" s="11" t="n">
        <x:f>$C$24</x:f>
        <x:v>4239.666666666667</x:v>
      </x:c>
      <x:c r="I10" s="11" t="n">
        <x:f>$C$24</x:f>
        <x:v>4239.666666666667</x:v>
      </x:c>
      <x:c r="J10" s="11" t="n">
        <x:f>$C$24</x:f>
        <x:v>4239.666666666667</x:v>
      </x:c>
      <x:c r="K10" s="11" t="n">
        <x:f>$C$24</x:f>
        <x:v>4239.666666666667</x:v>
      </x:c>
      <x:c r="L10" s="11" t="n">
        <x:f>$C$24</x:f>
        <x:v>4239.666666666667</x:v>
      </x:c>
      <x:c r="M10" s="11" t="n">
        <x:f>$C$24</x:f>
        <x:v>4239.666666666667</x:v>
      </x:c>
      <x:c r="N10" s="11" t="n">
        <x:f>$C$24</x:f>
        <x:v>4239.666666666667</x:v>
      </x:c>
      <x:c r="O10" s="1"/>
      <x:c r="P10" s="11" t="n">
        <x:f>SUM(C10:N10)</x:f>
        <x:v>51696.66666666666</x:v>
      </x:c>
      <x:c r="Q10" s="11" t="n">
        <x:f>SUM(C10:G10)</x:f>
        <x:v>22019</x:v>
      </x:c>
      <x:c r="R10" s="11" t="n">
        <x:f>SUM(H10:N10)</x:f>
        <x:v>29677.66666666667</x:v>
      </x:c>
      <x:c r="S10" s="10" t="n">
        <x:f>SUMIFS('Budget'!$D$6:$D$113,'Budget'!$B$6:$B$113,A10)</x:f>
        <x:v>48000</x:v>
      </x:c>
      <x:c r="T10" s="11" t="n">
        <x:f>IF(B10="Income",P10-S10,S10-P10)</x:f>
        <x:v>-3696.666666666657</x:v>
      </x:c>
    </x:row>
    <x:row r="11" ht="23" customHeight="1">
      <x:c r="A11" s="1" t="str">
        <x:v>Transport</x:v>
      </x:c>
      <x:c r="B11" s="1" t="str">
        <x:v>Expense</x:v>
      </x:c>
      <x:c r="C11" s="10" t="n">
        <x:f>SUMIFS('Actual'!$G$6:$G$60,'Actual'!$D$6:$D$60,$A11,'Actual'!$C$6:$C$60,1)</x:f>
        <x:v>2000</x:v>
      </x:c>
      <x:c r="D11" s="10" t="n">
        <x:f>SUMIFS('Actual'!$G$6:$G$60,'Actual'!$D$6:$D$60,$A11,'Actual'!$C$6:$C$60,2)</x:f>
        <x:v>2200</x:v>
      </x:c>
      <x:c r="E11" s="10" t="n">
        <x:f>SUMIFS('Actual'!$G$6:$G$60,'Actual'!$D$6:$D$60,$A11,'Actual'!$C$6:$C$60,3)</x:f>
        <x:v>2350</x:v>
      </x:c>
      <x:c r="F11" s="10" t="n">
        <x:f>SUMIFS('Actual'!$G$6:$G$60,'Actual'!$D$6:$D$60,$A11,'Actual'!$C$6:$C$60,4)</x:f>
        <x:v>2290</x:v>
      </x:c>
      <x:c r="G11" s="10" t="n">
        <x:f>SUMIFS('Actual'!$G$6:$G$60,'Actual'!$D$6:$D$60,$A11,'Actual'!$C$6:$C$60,5)</x:f>
        <x:v>2900</x:v>
      </x:c>
      <x:c r="H11" s="11" t="n">
        <x:f>$C$25</x:f>
        <x:v>2513.3333333333335</x:v>
      </x:c>
      <x:c r="I11" s="11" t="n">
        <x:f>$C$25</x:f>
        <x:v>2513.3333333333335</x:v>
      </x:c>
      <x:c r="J11" s="11" t="n">
        <x:f>$C$25</x:f>
        <x:v>2513.3333333333335</x:v>
      </x:c>
      <x:c r="K11" s="11" t="n">
        <x:f>$C$25</x:f>
        <x:v>2513.3333333333335</x:v>
      </x:c>
      <x:c r="L11" s="11" t="n">
        <x:f>$C$25</x:f>
        <x:v>2513.3333333333335</x:v>
      </x:c>
      <x:c r="M11" s="11" t="n">
        <x:f>$C$25</x:f>
        <x:v>2513.3333333333335</x:v>
      </x:c>
      <x:c r="N11" s="11" t="n">
        <x:f>$C$25</x:f>
        <x:v>2513.3333333333335</x:v>
      </x:c>
      <x:c r="O11" s="1"/>
      <x:c r="P11" s="11" t="n">
        <x:f>SUM(C11:N11)</x:f>
        <x:v>29333.33333333333</x:v>
      </x:c>
      <x:c r="Q11" s="11" t="n">
        <x:f>SUM(C11:G11)</x:f>
        <x:v>11740</x:v>
      </x:c>
      <x:c r="R11" s="11" t="n">
        <x:f>SUM(H11:N11)</x:f>
        <x:v>17593.333333333336</x:v>
      </x:c>
      <x:c r="S11" s="10" t="n">
        <x:f>SUMIFS('Budget'!$D$6:$D$113,'Budget'!$B$6:$B$113,A11)</x:f>
        <x:v>24000</x:v>
      </x:c>
      <x:c r="T11" s="11" t="n">
        <x:f>IF(B11="Income",P11-S11,S11-P11)</x:f>
        <x:v>-5333.3333333333285</x:v>
      </x:c>
    </x:row>
    <x:row r="12" ht="23" customHeight="1">
      <x:c r="A12" s="1" t="str">
        <x:v>Marketing</x:v>
      </x:c>
      <x:c r="B12" s="1" t="str">
        <x:v>Expense</x:v>
      </x:c>
      <x:c r="C12" s="10" t="n">
        <x:f>SUMIFS('Actual'!$G$6:$G$60,'Actual'!$D$6:$D$60,$A12,'Actual'!$C$6:$C$60,1)</x:f>
        <x:v>2200</x:v>
      </x:c>
      <x:c r="D12" s="10" t="n">
        <x:f>SUMIFS('Actual'!$G$6:$G$60,'Actual'!$D$6:$D$60,$A12,'Actual'!$C$6:$C$60,2)</x:f>
        <x:v>2300</x:v>
      </x:c>
      <x:c r="E12" s="10" t="n">
        <x:f>SUMIFS('Actual'!$G$6:$G$60,'Actual'!$D$6:$D$60,$A12,'Actual'!$C$6:$C$60,3)</x:f>
        <x:v>2400</x:v>
      </x:c>
      <x:c r="F12" s="10" t="n">
        <x:f>SUMIFS('Actual'!$G$6:$G$60,'Actual'!$D$6:$D$60,$A12,'Actual'!$C$6:$C$60,4)</x:f>
        <x:v>2500</x:v>
      </x:c>
      <x:c r="G12" s="10" t="n">
        <x:f>SUMIFS('Actual'!$G$6:$G$60,'Actual'!$D$6:$D$60,$A12,'Actual'!$C$6:$C$60,5)</x:f>
        <x:v>2500</x:v>
      </x:c>
      <x:c r="H12" s="10" t="n">
        <x:f>SUMIFS('Budget'!$D$6:$D$113,'Budget'!$B$6:$B$113,$A12,'Budget'!$A$6:$A$113,6)</x:f>
        <x:v>2500</x:v>
      </x:c>
      <x:c r="I12" s="10" t="n">
        <x:f>SUMIFS('Budget'!$D$6:$D$113,'Budget'!$B$6:$B$113,$A12,'Budget'!$A$6:$A$113,7)</x:f>
        <x:v>2500</x:v>
      </x:c>
      <x:c r="J12" s="10" t="n">
        <x:f>SUMIFS('Budget'!$D$6:$D$113,'Budget'!$B$6:$B$113,$A12,'Budget'!$A$6:$A$113,8)</x:f>
        <x:v>2500</x:v>
      </x:c>
      <x:c r="K12" s="10" t="n">
        <x:f>SUMIFS('Budget'!$D$6:$D$113,'Budget'!$B$6:$B$113,$A12,'Budget'!$A$6:$A$113,9)</x:f>
        <x:v>2500</x:v>
      </x:c>
      <x:c r="L12" s="10" t="n">
        <x:f>SUMIFS('Budget'!$D$6:$D$113,'Budget'!$B$6:$B$113,$A12,'Budget'!$A$6:$A$113,10)</x:f>
        <x:v>2500</x:v>
      </x:c>
      <x:c r="M12" s="10" t="n">
        <x:f>SUMIFS('Budget'!$D$6:$D$113,'Budget'!$B$6:$B$113,$A12,'Budget'!$A$6:$A$113,11)</x:f>
        <x:v>2500</x:v>
      </x:c>
      <x:c r="N12" s="10" t="n">
        <x:f>SUMIFS('Budget'!$D$6:$D$113,'Budget'!$B$6:$B$113,$A12,'Budget'!$A$6:$A$113,12)</x:f>
        <x:v>2500</x:v>
      </x:c>
      <x:c r="O12" s="1"/>
      <x:c r="P12" s="11" t="n">
        <x:f>SUM(C12:N12)</x:f>
        <x:v>29400</x:v>
      </x:c>
      <x:c r="Q12" s="11" t="n">
        <x:f>SUM(C12:G12)</x:f>
        <x:v>11900</x:v>
      </x:c>
      <x:c r="R12" s="11" t="n">
        <x:f>SUM(H12:N12)</x:f>
        <x:v>17500</x:v>
      </x:c>
      <x:c r="S12" s="10" t="n">
        <x:f>SUMIFS('Budget'!$D$6:$D$113,'Budget'!$B$6:$B$113,A12)</x:f>
        <x:v>30000</x:v>
      </x:c>
      <x:c r="T12" s="11" t="n">
        <x:f>IF(B12="Income",P12-S12,S12-P12)</x:f>
        <x:v>600</x:v>
      </x:c>
    </x:row>
    <x:row r="13" ht="23" customHeight="1">
      <x:c r="A13" s="1" t="str">
        <x:v>Business Insurance</x:v>
      </x:c>
      <x:c r="B13" s="1" t="str">
        <x:v>Expense</x:v>
      </x:c>
      <x:c r="C13" s="10" t="n">
        <x:f>SUMIFS('Actual'!$G$6:$G$60,'Actual'!$D$6:$D$60,$A13,'Actual'!$C$6:$C$60,1)</x:f>
        <x:v>1000</x:v>
      </x:c>
      <x:c r="D13" s="10" t="n">
        <x:f>SUMIFS('Actual'!$G$6:$G$60,'Actual'!$D$6:$D$60,$A13,'Actual'!$C$6:$C$60,2)</x:f>
        <x:v>1095</x:v>
      </x:c>
      <x:c r="E13" s="10" t="n">
        <x:f>SUMIFS('Actual'!$G$6:$G$60,'Actual'!$D$6:$D$60,$A13,'Actual'!$C$6:$C$60,3)</x:f>
        <x:v>1050</x:v>
      </x:c>
      <x:c r="F13" s="10" t="n">
        <x:f>SUMIFS('Actual'!$G$6:$G$60,'Actual'!$D$6:$D$60,$A13,'Actual'!$C$6:$C$60,4)</x:f>
        <x:v>1000</x:v>
      </x:c>
      <x:c r="G13" s="10" t="n">
        <x:f>SUMIFS('Actual'!$G$6:$G$60,'Actual'!$D$6:$D$60,$A13,'Actual'!$C$6:$C$60,5)</x:f>
        <x:v>1000</x:v>
      </x:c>
      <x:c r="H13" s="10" t="n">
        <x:f>SUMIFS('Budget'!$D$6:$D$113,'Budget'!$B$6:$B$113,$A13,'Budget'!$A$6:$A$113,6)</x:f>
        <x:v>1000</x:v>
      </x:c>
      <x:c r="I13" s="10" t="n">
        <x:f>SUMIFS('Budget'!$D$6:$D$113,'Budget'!$B$6:$B$113,$A13,'Budget'!$A$6:$A$113,7)</x:f>
        <x:v>1000</x:v>
      </x:c>
      <x:c r="J13" s="10" t="n">
        <x:f>SUMIFS('Budget'!$D$6:$D$113,'Budget'!$B$6:$B$113,$A13,'Budget'!$A$6:$A$113,8)</x:f>
        <x:v>1000</x:v>
      </x:c>
      <x:c r="K13" s="10" t="n">
        <x:f>SUMIFS('Budget'!$D$6:$D$113,'Budget'!$B$6:$B$113,$A13,'Budget'!$A$6:$A$113,9)</x:f>
        <x:v>1000</x:v>
      </x:c>
      <x:c r="L13" s="10" t="n">
        <x:f>SUMIFS('Budget'!$D$6:$D$113,'Budget'!$B$6:$B$113,$A13,'Budget'!$A$6:$A$113,10)</x:f>
        <x:v>1000</x:v>
      </x:c>
      <x:c r="M13" s="10" t="n">
        <x:f>SUMIFS('Budget'!$D$6:$D$113,'Budget'!$B$6:$B$113,$A13,'Budget'!$A$6:$A$113,11)</x:f>
        <x:v>1000</x:v>
      </x:c>
      <x:c r="N13" s="10" t="n">
        <x:f>SUMIFS('Budget'!$D$6:$D$113,'Budget'!$B$6:$B$113,$A13,'Budget'!$A$6:$A$113,12)</x:f>
        <x:v>1000</x:v>
      </x:c>
      <x:c r="O13" s="1"/>
      <x:c r="P13" s="11" t="n">
        <x:f>SUM(C13:N13)</x:f>
        <x:v>12145</x:v>
      </x:c>
      <x:c r="Q13" s="11" t="n">
        <x:f>SUM(C13:G13)</x:f>
        <x:v>5145</x:v>
      </x:c>
      <x:c r="R13" s="11" t="n">
        <x:f>SUM(H13:N13)</x:f>
        <x:v>7000</x:v>
      </x:c>
      <x:c r="S13" s="10" t="n">
        <x:f>SUMIFS('Budget'!$D$6:$D$113,'Budget'!$B$6:$B$113,A13)</x:f>
        <x:v>12000</x:v>
      </x:c>
      <x:c r="T13" s="11" t="n">
        <x:f>IF(B13="Income",P13-S13,S13-P13)</x:f>
        <x:v>-145</x:v>
      </x:c>
    </x:row>
    <x:row r="14" ht="23" customHeight="1">
      <x:c r="A14" s="1" t="str">
        <x:v>Other Expenses</x:v>
      </x:c>
      <x:c r="B14" s="1" t="str">
        <x:v>Expense</x:v>
      </x:c>
      <x:c r="C14" s="10" t="n">
        <x:f>SUMIFS('Actual'!$G$6:$G$60,'Actual'!$D$6:$D$60,$A14,'Actual'!$C$6:$C$60,1)</x:f>
        <x:v>3000</x:v>
      </x:c>
      <x:c r="D14" s="10" t="n">
        <x:f>SUMIFS('Actual'!$G$6:$G$60,'Actual'!$D$6:$D$60,$A14,'Actual'!$C$6:$C$60,2)</x:f>
        <x:v>560</x:v>
      </x:c>
      <x:c r="E14" s="10" t="n">
        <x:f>SUMIFS('Actual'!$G$6:$G$60,'Actual'!$D$6:$D$60,$A14,'Actual'!$C$6:$C$60,3)</x:f>
        <x:v>1200</x:v>
      </x:c>
      <x:c r="F14" s="10" t="n">
        <x:f>SUMIFS('Actual'!$G$6:$G$60,'Actual'!$D$6:$D$60,$A14,'Actual'!$C$6:$C$60,4)</x:f>
        <x:v>1450</x:v>
      </x:c>
      <x:c r="G14" s="10" t="n">
        <x:f>SUMIFS('Actual'!$G$6:$G$60,'Actual'!$D$6:$D$60,$A14,'Actual'!$C$6:$C$60,5)</x:f>
        <x:v>1320</x:v>
      </x:c>
      <x:c r="H14" s="11" t="n">
        <x:f>$C$26</x:f>
        <x:v>1323.3333333333333</x:v>
      </x:c>
      <x:c r="I14" s="11" t="n">
        <x:f>$C$26</x:f>
        <x:v>1323.3333333333333</x:v>
      </x:c>
      <x:c r="J14" s="11" t="n">
        <x:f>$C$26</x:f>
        <x:v>1323.3333333333333</x:v>
      </x:c>
      <x:c r="K14" s="11" t="n">
        <x:f>$C$26</x:f>
        <x:v>1323.3333333333333</x:v>
      </x:c>
      <x:c r="L14" s="11" t="n">
        <x:f>$C$26</x:f>
        <x:v>1323.3333333333333</x:v>
      </x:c>
      <x:c r="M14" s="11" t="n">
        <x:f>$C$26</x:f>
        <x:v>1323.3333333333333</x:v>
      </x:c>
      <x:c r="N14" s="11" t="n">
        <x:f>$C$26</x:f>
        <x:v>1323.3333333333333</x:v>
      </x:c>
      <x:c r="O14" s="1"/>
      <x:c r="P14" s="11" t="n">
        <x:f>SUM(C14:N14)</x:f>
        <x:v>16793.333333333336</x:v>
      </x:c>
      <x:c r="Q14" s="11" t="n">
        <x:f>SUM(C14:G14)</x:f>
        <x:v>7530</x:v>
      </x:c>
      <x:c r="R14" s="11" t="n">
        <x:f>SUM(H14:N14)</x:f>
        <x:v>9263.333333333332</x:v>
      </x:c>
      <x:c r="S14" s="10" t="n">
        <x:f>SUMIFS('Budget'!$D$6:$D$113,'Budget'!$B$6:$B$113,A14)</x:f>
        <x:v>36000</x:v>
      </x:c>
      <x:c r="T14" s="11" t="n">
        <x:f>IF(B14="Income",P14-S14,S14-P14)</x:f>
        <x:v>19206.666666666664</x:v>
      </x:c>
    </x:row>
    <x:row r="15" ht="23" customHeight="1">
      <x:c r="A15" s="1"/>
      <x:c r="B15" s="1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1"/>
      <x:c r="P15" s="7"/>
      <x:c r="Q15" s="7"/>
      <x:c r="R15" s="7"/>
      <x:c r="S15" s="7"/>
      <x:c r="T15" s="7"/>
    </x:row>
    <x:row r="16" ht="23" customHeight="1">
      <x:c r="A16" s="16" t="str">
        <x:v>Income</x:v>
      </x:c>
      <x:c r="B16" s="16"/>
      <x:c r="C16" s="18" t="n">
        <x:f>SUM(C6:C8)</x:f>
        <x:v>15000</x:v>
      </x:c>
      <x:c r="D16" s="18" t="n">
        <x:f>SUM(D6:D8)</x:f>
        <x:v>10500</x:v>
      </x:c>
      <x:c r="E16" s="18" t="n">
        <x:f>SUM(E6:E8)</x:f>
        <x:v>20000</x:v>
      </x:c>
      <x:c r="F16" s="18" t="n">
        <x:f>SUM(F6:F8)</x:f>
        <x:v>16100</x:v>
      </x:c>
      <x:c r="G16" s="18" t="n">
        <x:f>SUM(G6:G8)</x:f>
        <x:v>15800</x:v>
      </x:c>
      <x:c r="H16" s="18" t="n">
        <x:f>SUM(H6:H8)</x:f>
        <x:v>17000</x:v>
      </x:c>
      <x:c r="I16" s="18" t="n">
        <x:f>SUM(I6:I8)</x:f>
        <x:v>21500</x:v>
      </x:c>
      <x:c r="J16" s="18" t="n">
        <x:f>SUM(J6:J8)</x:f>
        <x:v>17000</x:v>
      </x:c>
      <x:c r="K16" s="18" t="n">
        <x:f>SUM(K6:K8)</x:f>
        <x:v>17000</x:v>
      </x:c>
      <x:c r="L16" s="18" t="n">
        <x:f>SUM(L6:L8)</x:f>
        <x:v>17000</x:v>
      </x:c>
      <x:c r="M16" s="18" t="n">
        <x:f>SUM(M6:M8)</x:f>
        <x:v>22500</x:v>
      </x:c>
      <x:c r="N16" s="18" t="n">
        <x:f>SUM(N6:N8)</x:f>
        <x:v>22500</x:v>
      </x:c>
      <x:c r="O16" s="16"/>
      <x:c r="P16" s="18" t="n">
        <x:f>SUM(P6:P8)</x:f>
        <x:v>211900</x:v>
      </x:c>
      <x:c r="Q16" s="18" t="n">
        <x:f>SUM(Q6:Q8)</x:f>
        <x:v>77400</x:v>
      </x:c>
      <x:c r="R16" s="18" t="n">
        <x:f>SUM(R6:R8)</x:f>
        <x:v>134500</x:v>
      </x:c>
      <x:c r="S16" s="18" t="n">
        <x:f>SUM(S6:S8)</x:f>
        <x:v>219800</x:v>
      </x:c>
      <x:c r="T16" s="18" t="n">
        <x:f>SUM(T6:T8)</x:f>
        <x:v>-7900</x:v>
      </x:c>
    </x:row>
    <x:row r="17" ht="23" customHeight="1">
      <x:c r="A17" s="16" t="str">
        <x:v>Expenses</x:v>
      </x:c>
      <x:c r="B17" s="16"/>
      <x:c r="C17" s="18" t="n">
        <x:f>SUM(C9:C14)</x:f>
        <x:v>20000</x:v>
      </x:c>
      <x:c r="D17" s="18" t="n">
        <x:f>SUM(D9:D14)</x:f>
        <x:v>17655</x:v>
      </x:c>
      <x:c r="E17" s="18" t="n">
        <x:f>SUM(E9:E14)</x:f>
        <x:v>18300</x:v>
      </x:c>
      <x:c r="F17" s="18" t="n">
        <x:f>SUM(F9:F14)</x:f>
        <x:v>18690</x:v>
      </x:c>
      <x:c r="G17" s="18" t="n">
        <x:f>SUM(G9:G14)</x:f>
        <x:v>18689</x:v>
      </x:c>
      <x:c r="H17" s="18" t="n">
        <x:f>SUM(H9:H14)</x:f>
        <x:v>18576.333333333332</x:v>
      </x:c>
      <x:c r="I17" s="18" t="n">
        <x:f>SUM(I9:I14)</x:f>
        <x:v>18576.333333333332</x:v>
      </x:c>
      <x:c r="J17" s="18" t="n">
        <x:f>SUM(J9:J14)</x:f>
        <x:v>18576.333333333332</x:v>
      </x:c>
      <x:c r="K17" s="18" t="n">
        <x:f>SUM(K9:K14)</x:f>
        <x:v>18576.333333333332</x:v>
      </x:c>
      <x:c r="L17" s="18" t="n">
        <x:f>SUM(L9:L14)</x:f>
        <x:v>18576.333333333332</x:v>
      </x:c>
      <x:c r="M17" s="18" t="n">
        <x:f>SUM(M9:M14)</x:f>
        <x:v>18576.333333333332</x:v>
      </x:c>
      <x:c r="N17" s="18" t="n">
        <x:f>SUM(N9:N14)</x:f>
        <x:v>18576.333333333332</x:v>
      </x:c>
      <x:c r="O17" s="16"/>
      <x:c r="P17" s="18" t="n">
        <x:f>SUM(P9:P14)</x:f>
        <x:v>223368.33333333334</x:v>
      </x:c>
      <x:c r="Q17" s="18" t="n">
        <x:f>SUM(Q9:Q14)</x:f>
        <x:v>93334</x:v>
      </x:c>
      <x:c r="R17" s="18" t="n">
        <x:f>SUM(R9:R14)</x:f>
        <x:v>130034.33333333333</x:v>
      </x:c>
      <x:c r="S17" s="18" t="n">
        <x:f>SUM(S9:S14)</x:f>
        <x:v>234000</x:v>
      </x:c>
      <x:c r="T17" s="18" t="n">
        <x:f>SUM(T9:T14)</x:f>
        <x:v>10631.666666666679</x:v>
      </x:c>
    </x:row>
    <x:row r="18" ht="23" customHeight="1">
      <x:c r="A18" s="16" t="str">
        <x:v>Income less expenses</x:v>
      </x:c>
      <x:c r="B18" s="16"/>
      <x:c r="C18" s="18" t="n">
        <x:f>C16-C17</x:f>
        <x:v>-5000</x:v>
      </x:c>
      <x:c r="D18" s="18" t="n">
        <x:f>D16-D17</x:f>
        <x:v>-7155</x:v>
      </x:c>
      <x:c r="E18" s="18" t="n">
        <x:f>E16-E17</x:f>
        <x:v>1700</x:v>
      </x:c>
      <x:c r="F18" s="18" t="n">
        <x:f>F16-F17</x:f>
        <x:v>-2590</x:v>
      </x:c>
      <x:c r="G18" s="18" t="n">
        <x:f>G16-G17</x:f>
        <x:v>-2889</x:v>
      </x:c>
      <x:c r="H18" s="18" t="n">
        <x:f>H16-H17</x:f>
        <x:v>-1576.3333333333321</x:v>
      </x:c>
      <x:c r="I18" s="18" t="n">
        <x:f>I16-I17</x:f>
        <x:v>2923.666666666668</x:v>
      </x:c>
      <x:c r="J18" s="18" t="n">
        <x:f>J16-J17</x:f>
        <x:v>-1576.3333333333321</x:v>
      </x:c>
      <x:c r="K18" s="18" t="n">
        <x:f>K16-K17</x:f>
        <x:v>-1576.3333333333321</x:v>
      </x:c>
      <x:c r="L18" s="18" t="n">
        <x:f>L16-L17</x:f>
        <x:v>-1576.3333333333321</x:v>
      </x:c>
      <x:c r="M18" s="18" t="n">
        <x:f>M16-M17</x:f>
        <x:v>3923.666666666668</x:v>
      </x:c>
      <x:c r="N18" s="18" t="n">
        <x:f>N16-N17</x:f>
        <x:v>3923.666666666668</x:v>
      </x:c>
      <x:c r="O18" s="16"/>
      <x:c r="P18" s="18" t="n">
        <x:f>P16-P17</x:f>
        <x:v>-11468.333333333343</x:v>
      </x:c>
      <x:c r="Q18" s="18" t="n">
        <x:f>Q16-Q17</x:f>
        <x:v>-15934</x:v>
      </x:c>
      <x:c r="R18" s="18" t="n">
        <x:f>R16-R17</x:f>
        <x:v>4465.6666666666715</x:v>
      </x:c>
      <x:c r="S18" s="18" t="n">
        <x:f>S16-S17</x:f>
        <x:v>-14200</x:v>
      </x:c>
      <x:c r="T18" s="18" t="n">
        <x:f>SUM(T6:T14)</x:f>
        <x:v>2731.666666666679</x:v>
      </x:c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 t="str">
        <x:v>Forecast policy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3" t="str">
        <x:v>Income, rent, marketing, insurance: remaining original budget.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3" t="str">
        <x:v>The following categories: Mar–May monthly average; no seasonality assumed.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 t="str">
        <x:v>Utilities</x:v>
      </x:c>
      <x:c r="B24" s="1"/>
      <x:c r="C24" s="10" t="n">
        <x:f>SUMIFS('Actual'!$G$6:$G$60,'Actual'!$D$6:$D$60,A24,'Actual'!$C$6:$C$60,"&gt;=3")/3</x:f>
        <x:v>4239.666666666667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 t="str">
        <x:v>Transport</x:v>
      </x:c>
      <x:c r="B25" s="1"/>
      <x:c r="C25" s="10" t="n">
        <x:f>SUMIFS('Actual'!$G$6:$G$60,'Actual'!$D$6:$D$60,A25,'Actual'!$C$6:$C$60,"&gt;=3")/3</x:f>
        <x:v>2513.3333333333335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 t="str">
        <x:v>Other Expenses</x:v>
      </x:c>
      <x:c r="B26" s="1"/>
      <x:c r="C26" s="10" t="n">
        <x:f>SUMIFS('Actual'!$G$6:$G$60,'Actual'!$D$6:$D$60,A26,'Actual'!$C$6:$C$60,"&gt;=3")/3</x:f>
        <x:v>1323.3333333333333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