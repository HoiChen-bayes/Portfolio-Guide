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64edd8c91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6" sheetId="1" r:id="R607c12e9a37348df"/>
    <x:sheet xmlns:r="http://schemas.openxmlformats.org/officeDocument/2006/relationships" name="Actual" sheetId="2" r:id="R7a15703692904b46"/>
    <x:sheet xmlns:r="http://schemas.openxmlformats.org/officeDocument/2006/relationships" name="Budget" sheetId="3" r:id="Rc12a764e104a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(#,##0.00);&quot;—&quot;"/>
  </x:numFmts>
  <x:fonts count="10">
    <x:font>
      <x:sz val="11"/>
      <x:name val="Carlito"/>
    </x:font>
    <x:font>
      <x:sz val="11"/>
      <x:name val="Arial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sz val="11"/>
      <x:color rgb="FF008000"/>
      <x:name val="Arial"/>
    </x:font>
    <x:font>
      <x:b/>
      <x:sz val="11"/>
      <x:name val="Arial"/>
    </x:font>
    <x:font>
      <x:b/>
      <x:sz val="11"/>
      <x:color rgb="FF000000"/>
      <x:name val="Arial"/>
    </x:font>
    <x:font>
      <x:sz val="11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4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201" fontId="6" fillId="0" borderId="0" xfId="0" applyNumberFormat="1" applyFont="1" applyFill="1" applyBorder="1"/>
    <x:xf numFmtId="201" fontId="5" fillId="0" borderId="0" xfId="0" applyNumberFormat="1" applyFont="1" applyFill="1" applyBorder="1"/>
    <x:xf numFmtId="201" fontId="8" fillId="3" borderId="0" xfId="0" applyNumberFormat="1" applyFont="1" applyFill="1" applyBorder="1"/>
    <x:xf numFmtId="201" fontId="9" fillId="0" borderId="0" xfId="0" applyNumberFormat="1" applyFont="1" applyFill="1" applyBorder="1"/>
  </x:cellXfs>
  <x:cellStyles count="1">
    <x:cellStyle name="Normal" xfId="0"/>
  </x:cellStyles>
  <x:dxfs count="1">
    <x:dxf>
      <x:font>
        <x:color rgb="FF9C57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4c3f6573c465a" /><Relationship Type="http://schemas.openxmlformats.org/officeDocument/2006/relationships/theme" Target="/xl/theme/theme1.xml" Id="Rb8676ad652ce4e42" /><Relationship Type="http://schemas.openxmlformats.org/officeDocument/2006/relationships/sharedStrings" Target="/xl/sharedStrings.xml" Id="R9852f547e1024f44" /><Relationship Type="http://schemas.openxmlformats.org/officeDocument/2006/relationships/worksheet" Target="/xl/worksheets/sheet1.xml" Id="R607c12e9a37348df" /><Relationship Type="http://schemas.openxmlformats.org/officeDocument/2006/relationships/worksheet" Target="/xl/worksheets/sheet2.xml" Id="R7a15703692904b46" /><Relationship Type="http://schemas.openxmlformats.org/officeDocument/2006/relationships/worksheet" Target="/xl/worksheets/sheet3.xml" Id="Rc12a764e104a4b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3" customHeight="1">
      <x:c r="A2" s="2" t="str">
        <x:v>Updated full-year forecast | 2022 USD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3" customHeight="1">
      <x:c r="A3" s="3" t="str">
        <x:v>Jan–May treated as actual; Jun–Dec teaching forecast.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42" customHeight="1">
      <x:c r="A5" s="5" t="str">
        <x:v>Category</x:v>
      </x:c>
      <x:c r="B5" s="5" t="str">
        <x:v>Type</x:v>
      </x:c>
      <x:c r="C5" s="5" t="n">
        <x:v>1</x:v>
      </x:c>
      <x:c r="D5" s="5" t="n">
        <x:v>2</x:v>
      </x:c>
      <x:c r="E5" s="5" t="n">
        <x:v>3</x:v>
      </x:c>
      <x:c r="F5" s="5" t="n">
        <x:v>4</x:v>
      </x:c>
      <x:c r="G5" s="5" t="n">
        <x:v>5</x:v>
      </x:c>
      <x:c r="H5" s="5" t="n">
        <x:v>6</x:v>
      </x:c>
      <x:c r="I5" s="5" t="n">
        <x:v>7</x:v>
      </x:c>
      <x:c r="J5" s="5" t="n">
        <x:v>8</x:v>
      </x:c>
      <x:c r="K5" s="5" t="n">
        <x:v>9</x:v>
      </x:c>
      <x:c r="L5" s="5" t="n">
        <x:v>10</x:v>
      </x:c>
      <x:c r="M5" s="5" t="n">
        <x:v>11</x:v>
      </x:c>
      <x:c r="N5" s="5" t="n">
        <x:v>12</x:v>
      </x:c>
      <x:c r="O5" s="1"/>
      <x:c r="P5" s="9" t="str">
        <x:v>Full year</x:v>
      </x:c>
      <x:c r="Q5" s="9" t="str">
        <x:v>YTD actual</x:v>
      </x:c>
      <x:c r="R5" s="9" t="str">
        <x:v>Jun–Dec forecast</x:v>
      </x:c>
      <x:c r="S5" s="9" t="str">
        <x:v>Original budget</x:v>
      </x:c>
      <x:c r="T5" s="9" t="str">
        <x:v>Net contribution</x:v>
      </x:c>
    </x:row>
    <x:row r="6" ht="23" customHeight="1">
      <x:c r="A6" s="1" t="str">
        <x:v>Sales</x:v>
      </x:c>
      <x:c r="B6" s="1" t="str">
        <x:v>Income</x:v>
      </x:c>
      <x:c r="C6" s="15" t="n">
        <x:f>SUMIFS('Actual'!$G$6:$G$60,'Actual'!$D$6:$D$60,$A6,'Actual'!$C$6:$C$60,1)</x:f>
        <x:v>5000</x:v>
      </x:c>
      <x:c r="D6" s="15" t="n">
        <x:f>SUMIFS('Actual'!$G$6:$G$60,'Actual'!$D$6:$D$60,$A6,'Actual'!$C$6:$C$60,2)</x:f>
        <x:v>3000</x:v>
      </x:c>
      <x:c r="E6" s="15" t="n">
        <x:f>SUMIFS('Actual'!$G$6:$G$60,'Actual'!$D$6:$D$60,$A6,'Actual'!$C$6:$C$60,3)</x:f>
        <x:v>8000</x:v>
      </x:c>
      <x:c r="F6" s="15" t="n">
        <x:f>SUMIFS('Actual'!$G$6:$G$60,'Actual'!$D$6:$D$60,$A6,'Actual'!$C$6:$C$60,4)</x:f>
        <x:v>6600</x:v>
      </x:c>
      <x:c r="G6" s="15" t="n">
        <x:f>SUMIFS('Actual'!$G$6:$G$60,'Actual'!$D$6:$D$60,$A6,'Actual'!$C$6:$C$60,5)</x:f>
        <x:v>3000</x:v>
      </x:c>
      <x:c r="H6" s="15" t="n">
        <x:f>SUMIFS('Budget'!$D$6:$D$113,'Budget'!$B$6:$B$113,$A6,'Budget'!$A$6:$A$113,6)</x:f>
        <x:v>6000</x:v>
      </x:c>
      <x:c r="I6" s="15" t="n">
        <x:f>SUMIFS('Budget'!$D$6:$D$113,'Budget'!$B$6:$B$113,$A6,'Budget'!$A$6:$A$113,7)</x:f>
        <x:v>6000</x:v>
      </x:c>
      <x:c r="J6" s="15" t="n">
        <x:f>SUMIFS('Budget'!$D$6:$D$113,'Budget'!$B$6:$B$113,$A6,'Budget'!$A$6:$A$113,8)</x:f>
        <x:v>6000</x:v>
      </x:c>
      <x:c r="K6" s="15" t="n">
        <x:f>SUMIFS('Budget'!$D$6:$D$113,'Budget'!$B$6:$B$113,$A6,'Budget'!$A$6:$A$113,9)</x:f>
        <x:v>6000</x:v>
      </x:c>
      <x:c r="L6" s="15" t="n">
        <x:f>SUMIFS('Budget'!$D$6:$D$113,'Budget'!$B$6:$B$113,$A6,'Budget'!$A$6:$A$113,10)</x:f>
        <x:v>6000</x:v>
      </x:c>
      <x:c r="M6" s="15" t="n">
        <x:f>SUMIFS('Budget'!$D$6:$D$113,'Budget'!$B$6:$B$113,$A6,'Budget'!$A$6:$A$113,11)</x:f>
        <x:v>7000</x:v>
      </x:c>
      <x:c r="N6" s="15" t="n">
        <x:f>SUMIFS('Budget'!$D$6:$D$113,'Budget'!$B$6:$B$113,$A6,'Budget'!$A$6:$A$113,12)</x:f>
        <x:v>7000</x:v>
      </x:c>
      <x:c r="O6" s="1"/>
      <x:c r="P6" s="16" t="n">
        <x:f>SUM(C6:N6)</x:f>
        <x:v>69600</x:v>
      </x:c>
      <x:c r="Q6" s="16" t="n">
        <x:f>SUM(C6:G6)</x:f>
        <x:v>25600</x:v>
      </x:c>
      <x:c r="R6" s="16" t="n">
        <x:f>SUM(H6:N6)</x:f>
        <x:v>44000</x:v>
      </x:c>
      <x:c r="S6" s="15" t="n">
        <x:f>SUMIFS('Budget'!$D$6:$D$113,'Budget'!$B$6:$B$113,A6)</x:f>
        <x:v>74000</x:v>
      </x:c>
      <x:c r="T6" s="16" t="n">
        <x:f>IF(B6="Income",P6-S6,S6-P6)</x:f>
        <x:v>-4400</x:v>
      </x:c>
    </x:row>
    <x:row r="7" ht="23" customHeight="1">
      <x:c r="A7" s="1" t="str">
        <x:v>Services</x:v>
      </x:c>
      <x:c r="B7" s="1" t="str">
        <x:v>Income</x:v>
      </x:c>
      <x:c r="C7" s="15" t="n">
        <x:f>SUMIFS('Actual'!$G$6:$G$60,'Actual'!$D$6:$D$60,$A7,'Actual'!$C$6:$C$60,1)</x:f>
        <x:v>2500</x:v>
      </x:c>
      <x:c r="D7" s="15" t="n">
        <x:f>SUMIFS('Actual'!$G$6:$G$60,'Actual'!$D$6:$D$60,$A7,'Actual'!$C$6:$C$60,2)</x:f>
        <x:v>2500</x:v>
      </x:c>
      <x:c r="E7" s="15" t="n">
        <x:f>SUMIFS('Actual'!$G$6:$G$60,'Actual'!$D$6:$D$60,$A7,'Actual'!$C$6:$C$60,3)</x:f>
        <x:v>5000</x:v>
      </x:c>
      <x:c r="F7" s="15" t="n">
        <x:f>SUMIFS('Actual'!$G$6:$G$60,'Actual'!$D$6:$D$60,$A7,'Actual'!$C$6:$C$60,4)</x:f>
        <x:v>2500</x:v>
      </x:c>
      <x:c r="G7" s="15" t="n">
        <x:f>SUMIFS('Actual'!$G$6:$G$60,'Actual'!$D$6:$D$60,$A7,'Actual'!$C$6:$C$60,5)</x:f>
        <x:v>4000</x:v>
      </x:c>
      <x:c r="H7" s="15" t="n">
        <x:f>SUMIFS('Budget'!$D$6:$D$113,'Budget'!$B$6:$B$113,$A7,'Budget'!$A$6:$A$113,6)</x:f>
        <x:v>3000</x:v>
      </x:c>
      <x:c r="I7" s="15" t="n">
        <x:f>SUMIFS('Budget'!$D$6:$D$113,'Budget'!$B$6:$B$113,$A7,'Budget'!$A$6:$A$113,7)</x:f>
        <x:v>3500</x:v>
      </x:c>
      <x:c r="J7" s="15" t="n">
        <x:f>SUMIFS('Budget'!$D$6:$D$113,'Budget'!$B$6:$B$113,$A7,'Budget'!$A$6:$A$113,8)</x:f>
        <x:v>3000</x:v>
      </x:c>
      <x:c r="K7" s="15" t="n">
        <x:f>SUMIFS('Budget'!$D$6:$D$113,'Budget'!$B$6:$B$113,$A7,'Budget'!$A$6:$A$113,9)</x:f>
        <x:v>3000</x:v>
      </x:c>
      <x:c r="L7" s="15" t="n">
        <x:f>SUMIFS('Budget'!$D$6:$D$113,'Budget'!$B$6:$B$113,$A7,'Budget'!$A$6:$A$113,10)</x:f>
        <x:v>3000</x:v>
      </x:c>
      <x:c r="M7" s="15" t="n">
        <x:f>SUMIFS('Budget'!$D$6:$D$113,'Budget'!$B$6:$B$113,$A7,'Budget'!$A$6:$A$113,11)</x:f>
        <x:v>3500</x:v>
      </x:c>
      <x:c r="N7" s="15" t="n">
        <x:f>SUMIFS('Budget'!$D$6:$D$113,'Budget'!$B$6:$B$113,$A7,'Budget'!$A$6:$A$113,12)</x:f>
        <x:v>3500</x:v>
      </x:c>
      <x:c r="O7" s="1"/>
      <x:c r="P7" s="16" t="n">
        <x:f>SUM(C7:N7)</x:f>
        <x:v>39000</x:v>
      </x:c>
      <x:c r="Q7" s="16" t="n">
        <x:f>SUM(C7:G7)</x:f>
        <x:v>16500</x:v>
      </x:c>
      <x:c r="R7" s="16" t="n">
        <x:f>SUM(H7:N7)</x:f>
        <x:v>22500</x:v>
      </x:c>
      <x:c r="S7" s="15" t="n">
        <x:f>SUMIFS('Budget'!$D$6:$D$113,'Budget'!$B$6:$B$113,A7)</x:f>
        <x:v>37800</x:v>
      </x:c>
      <x:c r="T7" s="16" t="n">
        <x:f>IF(B7="Income",P7-S7,S7-P7)</x:f>
        <x:v>1200</x:v>
      </x:c>
    </x:row>
    <x:row r="8" ht="23" customHeight="1">
      <x:c r="A8" s="1" t="str">
        <x:v>Other Income</x:v>
      </x:c>
      <x:c r="B8" s="1" t="str">
        <x:v>Income</x:v>
      </x:c>
      <x:c r="C8" s="15" t="n">
        <x:f>SUMIFS('Actual'!$G$6:$G$60,'Actual'!$D$6:$D$60,$A8,'Actual'!$C$6:$C$60,1)</x:f>
        <x:v>7500</x:v>
      </x:c>
      <x:c r="D8" s="15" t="n">
        <x:f>SUMIFS('Actual'!$G$6:$G$60,'Actual'!$D$6:$D$60,$A8,'Actual'!$C$6:$C$60,2)</x:f>
        <x:v>5000</x:v>
      </x:c>
      <x:c r="E8" s="15" t="n">
        <x:f>SUMIFS('Actual'!$G$6:$G$60,'Actual'!$D$6:$D$60,$A8,'Actual'!$C$6:$C$60,3)</x:f>
        <x:v>7000</x:v>
      </x:c>
      <x:c r="F8" s="15" t="n">
        <x:f>SUMIFS('Actual'!$G$6:$G$60,'Actual'!$D$6:$D$60,$A8,'Actual'!$C$6:$C$60,4)</x:f>
        <x:v>7000</x:v>
      </x:c>
      <x:c r="G8" s="15" t="n">
        <x:f>SUMIFS('Actual'!$G$6:$G$60,'Actual'!$D$6:$D$60,$A8,'Actual'!$C$6:$C$60,5)</x:f>
        <x:v>8800</x:v>
      </x:c>
      <x:c r="H8" s="15" t="n">
        <x:f>SUMIFS('Budget'!$D$6:$D$113,'Budget'!$B$6:$B$113,$A8,'Budget'!$A$6:$A$113,6)</x:f>
        <x:v>8000</x:v>
      </x:c>
      <x:c r="I8" s="15" t="n">
        <x:f>SUMIFS('Budget'!$D$6:$D$113,'Budget'!$B$6:$B$113,$A8,'Budget'!$A$6:$A$113,7)</x:f>
        <x:v>12000</x:v>
      </x:c>
      <x:c r="J8" s="15" t="n">
        <x:f>SUMIFS('Budget'!$D$6:$D$113,'Budget'!$B$6:$B$113,$A8,'Budget'!$A$6:$A$113,8)</x:f>
        <x:v>8000</x:v>
      </x:c>
      <x:c r="K8" s="15" t="n">
        <x:f>SUMIFS('Budget'!$D$6:$D$113,'Budget'!$B$6:$B$113,$A8,'Budget'!$A$6:$A$113,9)</x:f>
        <x:v>8000</x:v>
      </x:c>
      <x:c r="L8" s="15" t="n">
        <x:f>SUMIFS('Budget'!$D$6:$D$113,'Budget'!$B$6:$B$113,$A8,'Budget'!$A$6:$A$113,10)</x:f>
        <x:v>8000</x:v>
      </x:c>
      <x:c r="M8" s="15" t="n">
        <x:f>SUMIFS('Budget'!$D$6:$D$113,'Budget'!$B$6:$B$113,$A8,'Budget'!$A$6:$A$113,11)</x:f>
        <x:v>12000</x:v>
      </x:c>
      <x:c r="N8" s="15" t="n">
        <x:f>SUMIFS('Budget'!$D$6:$D$113,'Budget'!$B$6:$B$113,$A8,'Budget'!$A$6:$A$113,12)</x:f>
        <x:v>12000</x:v>
      </x:c>
      <x:c r="O8" s="1"/>
      <x:c r="P8" s="16" t="n">
        <x:f>SUM(C8:N8)</x:f>
        <x:v>103300</x:v>
      </x:c>
      <x:c r="Q8" s="16" t="n">
        <x:f>SUM(C8:G8)</x:f>
        <x:v>35300</x:v>
      </x:c>
      <x:c r="R8" s="16" t="n">
        <x:f>SUM(H8:N8)</x:f>
        <x:v>68000</x:v>
      </x:c>
      <x:c r="S8" s="15" t="n">
        <x:f>SUMIFS('Budget'!$D$6:$D$113,'Budget'!$B$6:$B$113,A8)</x:f>
        <x:v>108000</x:v>
      </x:c>
      <x:c r="T8" s="16" t="n">
        <x:f>IF(B8="Income",P8-S8,S8-P8)</x:f>
        <x:v>-4700</x:v>
      </x:c>
    </x:row>
    <x:row r="9" ht="23" customHeight="1">
      <x:c r="A9" s="1" t="str">
        <x:v>Rent</x:v>
      </x:c>
      <x:c r="B9" s="1" t="str">
        <x:v>Expense</x:v>
      </x:c>
      <x:c r="C9" s="15" t="n">
        <x:f>SUMIFS('Actual'!$G$6:$G$60,'Actual'!$D$6:$D$60,$A9,'Actual'!$C$6:$C$60,1)</x:f>
        <x:v>7000</x:v>
      </x:c>
      <x:c r="D9" s="15" t="n">
        <x:f>SUMIFS('Actual'!$G$6:$G$60,'Actual'!$D$6:$D$60,$A9,'Actual'!$C$6:$C$60,2)</x:f>
        <x:v>7000</x:v>
      </x:c>
      <x:c r="E9" s="15" t="n">
        <x:f>SUMIFS('Actual'!$G$6:$G$60,'Actual'!$D$6:$D$60,$A9,'Actual'!$C$6:$C$60,3)</x:f>
        <x:v>7000</x:v>
      </x:c>
      <x:c r="F9" s="15" t="n">
        <x:f>SUMIFS('Actual'!$G$6:$G$60,'Actual'!$D$6:$D$60,$A9,'Actual'!$C$6:$C$60,4)</x:f>
        <x:v>7000</x:v>
      </x:c>
      <x:c r="G9" s="15" t="n">
        <x:f>SUMIFS('Actual'!$G$6:$G$60,'Actual'!$D$6:$D$60,$A9,'Actual'!$C$6:$C$60,5)</x:f>
        <x:v>7000</x:v>
      </x:c>
      <x:c r="H9" s="15" t="n">
        <x:f>SUMIFS('Budget'!$D$6:$D$113,'Budget'!$B$6:$B$113,$A9,'Budget'!$A$6:$A$113,6)</x:f>
        <x:v>7000</x:v>
      </x:c>
      <x:c r="I9" s="15" t="n">
        <x:f>SUMIFS('Budget'!$D$6:$D$113,'Budget'!$B$6:$B$113,$A9,'Budget'!$A$6:$A$113,7)</x:f>
        <x:v>7000</x:v>
      </x:c>
      <x:c r="J9" s="15" t="n">
        <x:f>SUMIFS('Budget'!$D$6:$D$113,'Budget'!$B$6:$B$113,$A9,'Budget'!$A$6:$A$113,8)</x:f>
        <x:v>7000</x:v>
      </x:c>
      <x:c r="K9" s="15" t="n">
        <x:f>SUMIFS('Budget'!$D$6:$D$113,'Budget'!$B$6:$B$113,$A9,'Budget'!$A$6:$A$113,9)</x:f>
        <x:v>7000</x:v>
      </x:c>
      <x:c r="L9" s="15" t="n">
        <x:f>SUMIFS('Budget'!$D$6:$D$113,'Budget'!$B$6:$B$113,$A9,'Budget'!$A$6:$A$113,10)</x:f>
        <x:v>7000</x:v>
      </x:c>
      <x:c r="M9" s="15" t="n">
        <x:f>SUMIFS('Budget'!$D$6:$D$113,'Budget'!$B$6:$B$113,$A9,'Budget'!$A$6:$A$113,11)</x:f>
        <x:v>7000</x:v>
      </x:c>
      <x:c r="N9" s="15" t="n">
        <x:f>SUMIFS('Budget'!$D$6:$D$113,'Budget'!$B$6:$B$113,$A9,'Budget'!$A$6:$A$113,12)</x:f>
        <x:v>7000</x:v>
      </x:c>
      <x:c r="O9" s="1"/>
      <x:c r="P9" s="16" t="n">
        <x:f>SUM(C9:N9)</x:f>
        <x:v>84000</x:v>
      </x:c>
      <x:c r="Q9" s="16" t="n">
        <x:f>SUM(C9:G9)</x:f>
        <x:v>35000</x:v>
      </x:c>
      <x:c r="R9" s="16" t="n">
        <x:f>SUM(H9:N9)</x:f>
        <x:v>49000</x:v>
      </x:c>
      <x:c r="S9" s="15" t="n">
        <x:f>SUMIFS('Budget'!$D$6:$D$113,'Budget'!$B$6:$B$113,A9)</x:f>
        <x:v>84000</x:v>
      </x:c>
      <x:c r="T9" s="16" t="n">
        <x:f>IF(B9="Income",P9-S9,S9-P9)</x:f>
        <x:v>0</x:v>
      </x:c>
    </x:row>
    <x:row r="10" ht="23" customHeight="1">
      <x:c r="A10" s="1" t="str">
        <x:v>Utilities</x:v>
      </x:c>
      <x:c r="B10" s="1" t="str">
        <x:v>Expense</x:v>
      </x:c>
      <x:c r="C10" s="15" t="n">
        <x:f>SUMIFS('Actual'!$G$6:$G$60,'Actual'!$D$6:$D$60,$A10,'Actual'!$C$6:$C$60,1)</x:f>
        <x:v>4800</x:v>
      </x:c>
      <x:c r="D10" s="15" t="n">
        <x:f>SUMIFS('Actual'!$G$6:$G$60,'Actual'!$D$6:$D$60,$A10,'Actual'!$C$6:$C$60,2)</x:f>
        <x:v>4500</x:v>
      </x:c>
      <x:c r="E10" s="15" t="n">
        <x:f>SUMIFS('Actual'!$G$6:$G$60,'Actual'!$D$6:$D$60,$A10,'Actual'!$C$6:$C$60,3)</x:f>
        <x:v>4300</x:v>
      </x:c>
      <x:c r="F10" s="15" t="n">
        <x:f>SUMIFS('Actual'!$G$6:$G$60,'Actual'!$D$6:$D$60,$A10,'Actual'!$C$6:$C$60,4)</x:f>
        <x:v>4450</x:v>
      </x:c>
      <x:c r="G10" s="15" t="n">
        <x:f>SUMIFS('Actual'!$G$6:$G$60,'Actual'!$D$6:$D$60,$A10,'Actual'!$C$6:$C$60,5)</x:f>
        <x:v>3969</x:v>
      </x:c>
      <x:c r="H10" s="16" t="n">
        <x:f>$C$24</x:f>
        <x:v>4239.666666666667</x:v>
      </x:c>
      <x:c r="I10" s="16" t="n">
        <x:f>$C$24</x:f>
        <x:v>4239.666666666667</x:v>
      </x:c>
      <x:c r="J10" s="16" t="n">
        <x:f>$C$24</x:f>
        <x:v>4239.666666666667</x:v>
      </x:c>
      <x:c r="K10" s="16" t="n">
        <x:f>$C$24</x:f>
        <x:v>4239.666666666667</x:v>
      </x:c>
      <x:c r="L10" s="16" t="n">
        <x:f>$C$24</x:f>
        <x:v>4239.666666666667</x:v>
      </x:c>
      <x:c r="M10" s="16" t="n">
        <x:f>$C$24</x:f>
        <x:v>4239.666666666667</x:v>
      </x:c>
      <x:c r="N10" s="16" t="n">
        <x:f>$C$24</x:f>
        <x:v>4239.666666666667</x:v>
      </x:c>
      <x:c r="O10" s="1"/>
      <x:c r="P10" s="16" t="n">
        <x:f>SUM(C10:N10)</x:f>
        <x:v>51696.66666666666</x:v>
      </x:c>
      <x:c r="Q10" s="16" t="n">
        <x:f>SUM(C10:G10)</x:f>
        <x:v>22019</x:v>
      </x:c>
      <x:c r="R10" s="16" t="n">
        <x:f>SUM(H10:N10)</x:f>
        <x:v>29677.66666666667</x:v>
      </x:c>
      <x:c r="S10" s="15" t="n">
        <x:f>SUMIFS('Budget'!$D$6:$D$113,'Budget'!$B$6:$B$113,A10)</x:f>
        <x:v>48000</x:v>
      </x:c>
      <x:c r="T10" s="16" t="n">
        <x:f>IF(B10="Income",P10-S10,S10-P10)</x:f>
        <x:v>-3696.666666666657</x:v>
      </x:c>
    </x:row>
    <x:row r="11" ht="23" customHeight="1">
      <x:c r="A11" s="1" t="str">
        <x:v>Transport</x:v>
      </x:c>
      <x:c r="B11" s="1" t="str">
        <x:v>Expense</x:v>
      </x:c>
      <x:c r="C11" s="15" t="n">
        <x:f>SUMIFS('Actual'!$G$6:$G$60,'Actual'!$D$6:$D$60,$A11,'Actual'!$C$6:$C$60,1)</x:f>
        <x:v>2000</x:v>
      </x:c>
      <x:c r="D11" s="15" t="n">
        <x:f>SUMIFS('Actual'!$G$6:$G$60,'Actual'!$D$6:$D$60,$A11,'Actual'!$C$6:$C$60,2)</x:f>
        <x:v>2200</x:v>
      </x:c>
      <x:c r="E11" s="15" t="n">
        <x:f>SUMIFS('Actual'!$G$6:$G$60,'Actual'!$D$6:$D$60,$A11,'Actual'!$C$6:$C$60,3)</x:f>
        <x:v>2350</x:v>
      </x:c>
      <x:c r="F11" s="15" t="n">
        <x:f>SUMIFS('Actual'!$G$6:$G$60,'Actual'!$D$6:$D$60,$A11,'Actual'!$C$6:$C$60,4)</x:f>
        <x:v>2290</x:v>
      </x:c>
      <x:c r="G11" s="15" t="n">
        <x:f>SUMIFS('Actual'!$G$6:$G$60,'Actual'!$D$6:$D$60,$A11,'Actual'!$C$6:$C$60,5)</x:f>
        <x:v>2900</x:v>
      </x:c>
      <x:c r="H11" s="16" t="n">
        <x:f>$C$25</x:f>
        <x:v>2513.3333333333335</x:v>
      </x:c>
      <x:c r="I11" s="16" t="n">
        <x:f>$C$25</x:f>
        <x:v>2513.3333333333335</x:v>
      </x:c>
      <x:c r="J11" s="16" t="n">
        <x:f>$C$25</x:f>
        <x:v>2513.3333333333335</x:v>
      </x:c>
      <x:c r="K11" s="16" t="n">
        <x:f>$C$25</x:f>
        <x:v>2513.3333333333335</x:v>
      </x:c>
      <x:c r="L11" s="16" t="n">
        <x:f>$C$25</x:f>
        <x:v>2513.3333333333335</x:v>
      </x:c>
      <x:c r="M11" s="16" t="n">
        <x:f>$C$25</x:f>
        <x:v>2513.3333333333335</x:v>
      </x:c>
      <x:c r="N11" s="16" t="n">
        <x:f>$C$25</x:f>
        <x:v>2513.3333333333335</x:v>
      </x:c>
      <x:c r="O11" s="1"/>
      <x:c r="P11" s="16" t="n">
        <x:f>SUM(C11:N11)</x:f>
        <x:v>29333.33333333333</x:v>
      </x:c>
      <x:c r="Q11" s="16" t="n">
        <x:f>SUM(C11:G11)</x:f>
        <x:v>11740</x:v>
      </x:c>
      <x:c r="R11" s="16" t="n">
        <x:f>SUM(H11:N11)</x:f>
        <x:v>17593.333333333336</x:v>
      </x:c>
      <x:c r="S11" s="15" t="n">
        <x:f>SUMIFS('Budget'!$D$6:$D$113,'Budget'!$B$6:$B$113,A11)</x:f>
        <x:v>24000</x:v>
      </x:c>
      <x:c r="T11" s="16" t="n">
        <x:f>IF(B11="Income",P11-S11,S11-P11)</x:f>
        <x:v>-5333.3333333333285</x:v>
      </x:c>
    </x:row>
    <x:row r="12" ht="23" customHeight="1">
      <x:c r="A12" s="1" t="str">
        <x:v>Marketing</x:v>
      </x:c>
      <x:c r="B12" s="1" t="str">
        <x:v>Expense</x:v>
      </x:c>
      <x:c r="C12" s="15" t="n">
        <x:f>SUMIFS('Actual'!$G$6:$G$60,'Actual'!$D$6:$D$60,$A12,'Actual'!$C$6:$C$60,1)</x:f>
        <x:v>2200</x:v>
      </x:c>
      <x:c r="D12" s="15" t="n">
        <x:f>SUMIFS('Actual'!$G$6:$G$60,'Actual'!$D$6:$D$60,$A12,'Actual'!$C$6:$C$60,2)</x:f>
        <x:v>2300</x:v>
      </x:c>
      <x:c r="E12" s="15" t="n">
        <x:f>SUMIFS('Actual'!$G$6:$G$60,'Actual'!$D$6:$D$60,$A12,'Actual'!$C$6:$C$60,3)</x:f>
        <x:v>2400</x:v>
      </x:c>
      <x:c r="F12" s="15" t="n">
        <x:f>SUMIFS('Actual'!$G$6:$G$60,'Actual'!$D$6:$D$60,$A12,'Actual'!$C$6:$C$60,4)</x:f>
        <x:v>2500</x:v>
      </x:c>
      <x:c r="G12" s="15" t="n">
        <x:f>SUMIFS('Actual'!$G$6:$G$60,'Actual'!$D$6:$D$60,$A12,'Actual'!$C$6:$C$60,5)</x:f>
        <x:v>2500</x:v>
      </x:c>
      <x:c r="H12" s="15" t="n">
        <x:f>SUMIFS('Budget'!$D$6:$D$113,'Budget'!$B$6:$B$113,$A12,'Budget'!$A$6:$A$113,6)</x:f>
        <x:v>2500</x:v>
      </x:c>
      <x:c r="I12" s="15" t="n">
        <x:f>SUMIFS('Budget'!$D$6:$D$113,'Budget'!$B$6:$B$113,$A12,'Budget'!$A$6:$A$113,7)</x:f>
        <x:v>2500</x:v>
      </x:c>
      <x:c r="J12" s="15" t="n">
        <x:f>SUMIFS('Budget'!$D$6:$D$113,'Budget'!$B$6:$B$113,$A12,'Budget'!$A$6:$A$113,8)</x:f>
        <x:v>2500</x:v>
      </x:c>
      <x:c r="K12" s="15" t="n">
        <x:f>SUMIFS('Budget'!$D$6:$D$113,'Budget'!$B$6:$B$113,$A12,'Budget'!$A$6:$A$113,9)</x:f>
        <x:v>2500</x:v>
      </x:c>
      <x:c r="L12" s="15" t="n">
        <x:f>SUMIFS('Budget'!$D$6:$D$113,'Budget'!$B$6:$B$113,$A12,'Budget'!$A$6:$A$113,10)</x:f>
        <x:v>2500</x:v>
      </x:c>
      <x:c r="M12" s="15" t="n">
        <x:f>SUMIFS('Budget'!$D$6:$D$113,'Budget'!$B$6:$B$113,$A12,'Budget'!$A$6:$A$113,11)</x:f>
        <x:v>2500</x:v>
      </x:c>
      <x:c r="N12" s="15" t="n">
        <x:f>SUMIFS('Budget'!$D$6:$D$113,'Budget'!$B$6:$B$113,$A12,'Budget'!$A$6:$A$113,12)</x:f>
        <x:v>2500</x:v>
      </x:c>
      <x:c r="O12" s="1"/>
      <x:c r="P12" s="16" t="n">
        <x:f>SUM(C12:N12)</x:f>
        <x:v>29400</x:v>
      </x:c>
      <x:c r="Q12" s="16" t="n">
        <x:f>SUM(C12:G12)</x:f>
        <x:v>11900</x:v>
      </x:c>
      <x:c r="R12" s="16" t="n">
        <x:f>SUM(H12:N12)</x:f>
        <x:v>17500</x:v>
      </x:c>
      <x:c r="S12" s="15" t="n">
        <x:f>SUMIFS('Budget'!$D$6:$D$113,'Budget'!$B$6:$B$113,A12)</x:f>
        <x:v>30000</x:v>
      </x:c>
      <x:c r="T12" s="16" t="n">
        <x:f>IF(B12="Income",P12-S12,S12-P12)</x:f>
        <x:v>600</x:v>
      </x:c>
    </x:row>
    <x:row r="13" ht="23" customHeight="1">
      <x:c r="A13" s="1" t="str">
        <x:v>Business Insurance</x:v>
      </x:c>
      <x:c r="B13" s="1" t="str">
        <x:v>Expense</x:v>
      </x:c>
      <x:c r="C13" s="15" t="n">
        <x:f>SUMIFS('Actual'!$G$6:$G$60,'Actual'!$D$6:$D$60,$A13,'Actual'!$C$6:$C$60,1)</x:f>
        <x:v>1000</x:v>
      </x:c>
      <x:c r="D13" s="15" t="n">
        <x:f>SUMIFS('Actual'!$G$6:$G$60,'Actual'!$D$6:$D$60,$A13,'Actual'!$C$6:$C$60,2)</x:f>
        <x:v>1095</x:v>
      </x:c>
      <x:c r="E13" s="15" t="n">
        <x:f>SUMIFS('Actual'!$G$6:$G$60,'Actual'!$D$6:$D$60,$A13,'Actual'!$C$6:$C$60,3)</x:f>
        <x:v>1050</x:v>
      </x:c>
      <x:c r="F13" s="15" t="n">
        <x:f>SUMIFS('Actual'!$G$6:$G$60,'Actual'!$D$6:$D$60,$A13,'Actual'!$C$6:$C$60,4)</x:f>
        <x:v>1000</x:v>
      </x:c>
      <x:c r="G13" s="15" t="n">
        <x:f>SUMIFS('Actual'!$G$6:$G$60,'Actual'!$D$6:$D$60,$A13,'Actual'!$C$6:$C$60,5)</x:f>
        <x:v>1000</x:v>
      </x:c>
      <x:c r="H13" s="15" t="n">
        <x:f>SUMIFS('Budget'!$D$6:$D$113,'Budget'!$B$6:$B$113,$A13,'Budget'!$A$6:$A$113,6)</x:f>
        <x:v>1000</x:v>
      </x:c>
      <x:c r="I13" s="15" t="n">
        <x:f>SUMIFS('Budget'!$D$6:$D$113,'Budget'!$B$6:$B$113,$A13,'Budget'!$A$6:$A$113,7)</x:f>
        <x:v>1000</x:v>
      </x:c>
      <x:c r="J13" s="15" t="n">
        <x:f>SUMIFS('Budget'!$D$6:$D$113,'Budget'!$B$6:$B$113,$A13,'Budget'!$A$6:$A$113,8)</x:f>
        <x:v>1000</x:v>
      </x:c>
      <x:c r="K13" s="15" t="n">
        <x:f>SUMIFS('Budget'!$D$6:$D$113,'Budget'!$B$6:$B$113,$A13,'Budget'!$A$6:$A$113,9)</x:f>
        <x:v>1000</x:v>
      </x:c>
      <x:c r="L13" s="15" t="n">
        <x:f>SUMIFS('Budget'!$D$6:$D$113,'Budget'!$B$6:$B$113,$A13,'Budget'!$A$6:$A$113,10)</x:f>
        <x:v>1000</x:v>
      </x:c>
      <x:c r="M13" s="15" t="n">
        <x:f>SUMIFS('Budget'!$D$6:$D$113,'Budget'!$B$6:$B$113,$A13,'Budget'!$A$6:$A$113,11)</x:f>
        <x:v>1000</x:v>
      </x:c>
      <x:c r="N13" s="15" t="n">
        <x:f>SUMIFS('Budget'!$D$6:$D$113,'Budget'!$B$6:$B$113,$A13,'Budget'!$A$6:$A$113,12)</x:f>
        <x:v>1000</x:v>
      </x:c>
      <x:c r="O13" s="1"/>
      <x:c r="P13" s="16" t="n">
        <x:f>SUM(C13:N13)</x:f>
        <x:v>12145</x:v>
      </x:c>
      <x:c r="Q13" s="16" t="n">
        <x:f>SUM(C13:G13)</x:f>
        <x:v>5145</x:v>
      </x:c>
      <x:c r="R13" s="16" t="n">
        <x:f>SUM(H13:N13)</x:f>
        <x:v>7000</x:v>
      </x:c>
      <x:c r="S13" s="15" t="n">
        <x:f>SUMIFS('Budget'!$D$6:$D$113,'Budget'!$B$6:$B$113,A13)</x:f>
        <x:v>12000</x:v>
      </x:c>
      <x:c r="T13" s="16" t="n">
        <x:f>IF(B13="Income",P13-S13,S13-P13)</x:f>
        <x:v>-145</x:v>
      </x:c>
    </x:row>
    <x:row r="14" ht="23" customHeight="1">
      <x:c r="A14" s="1" t="str">
        <x:v>Other Expenses</x:v>
      </x:c>
      <x:c r="B14" s="1" t="str">
        <x:v>Expense</x:v>
      </x:c>
      <x:c r="C14" s="15" t="n">
        <x:f>SUMIFS('Actual'!$G$6:$G$60,'Actual'!$D$6:$D$60,$A14,'Actual'!$C$6:$C$60,1)</x:f>
        <x:v>3000</x:v>
      </x:c>
      <x:c r="D14" s="15" t="n">
        <x:f>SUMIFS('Actual'!$G$6:$G$60,'Actual'!$D$6:$D$60,$A14,'Actual'!$C$6:$C$60,2)</x:f>
        <x:v>560</x:v>
      </x:c>
      <x:c r="E14" s="15" t="n">
        <x:f>SUMIFS('Actual'!$G$6:$G$60,'Actual'!$D$6:$D$60,$A14,'Actual'!$C$6:$C$60,3)</x:f>
        <x:v>1200</x:v>
      </x:c>
      <x:c r="F14" s="15" t="n">
        <x:f>SUMIFS('Actual'!$G$6:$G$60,'Actual'!$D$6:$D$60,$A14,'Actual'!$C$6:$C$60,4)</x:f>
        <x:v>1450</x:v>
      </x:c>
      <x:c r="G14" s="15" t="n">
        <x:f>SUMIFS('Actual'!$G$6:$G$60,'Actual'!$D$6:$D$60,$A14,'Actual'!$C$6:$C$60,5)</x:f>
        <x:v>1320</x:v>
      </x:c>
      <x:c r="H14" s="16" t="n">
        <x:f>$C$26</x:f>
        <x:v>1323.3333333333333</x:v>
      </x:c>
      <x:c r="I14" s="16" t="n">
        <x:f>$C$26</x:f>
        <x:v>1323.3333333333333</x:v>
      </x:c>
      <x:c r="J14" s="16" t="n">
        <x:f>$C$26</x:f>
        <x:v>1323.3333333333333</x:v>
      </x:c>
      <x:c r="K14" s="16" t="n">
        <x:f>$C$26</x:f>
        <x:v>1323.3333333333333</x:v>
      </x:c>
      <x:c r="L14" s="16" t="n">
        <x:f>$C$26</x:f>
        <x:v>1323.3333333333333</x:v>
      </x:c>
      <x:c r="M14" s="16" t="n">
        <x:f>$C$26</x:f>
        <x:v>1323.3333333333333</x:v>
      </x:c>
      <x:c r="N14" s="16" t="n">
        <x:f>$C$26</x:f>
        <x:v>1323.3333333333333</x:v>
      </x:c>
      <x:c r="O14" s="1"/>
      <x:c r="P14" s="16" t="n">
        <x:f>SUM(C14:N14)</x:f>
        <x:v>16793.333333333336</x:v>
      </x:c>
      <x:c r="Q14" s="16" t="n">
        <x:f>SUM(C14:G14)</x:f>
        <x:v>7530</x:v>
      </x:c>
      <x:c r="R14" s="16" t="n">
        <x:f>SUM(H14:N14)</x:f>
        <x:v>9263.333333333332</x:v>
      </x:c>
      <x:c r="S14" s="15" t="n">
        <x:f>SUMIFS('Budget'!$D$6:$D$113,'Budget'!$B$6:$B$113,A14)</x:f>
        <x:v>36000</x:v>
      </x:c>
      <x:c r="T14" s="16" t="n">
        <x:f>IF(B14="Income",P14-S14,S14-P14)</x:f>
        <x:v>19206.666666666664</x:v>
      </x:c>
    </x:row>
    <x:row r="15" ht="23" customHeight="1">
      <x:c r="A15" s="1"/>
      <x:c r="B15" s="1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1"/>
      <x:c r="P15" s="7"/>
      <x:c r="Q15" s="7"/>
      <x:c r="R15" s="7"/>
      <x:c r="S15" s="7"/>
      <x:c r="T15" s="7"/>
    </x:row>
    <x:row r="16" ht="23" customHeight="1">
      <x:c r="A16" s="13" t="str">
        <x:v>Income</x:v>
      </x:c>
      <x:c r="B16" s="13"/>
      <x:c r="C16" s="17" t="n">
        <x:f>SUM(C6:C8)</x:f>
        <x:v>15000</x:v>
      </x:c>
      <x:c r="D16" s="17" t="n">
        <x:f>SUM(D6:D8)</x:f>
        <x:v>10500</x:v>
      </x:c>
      <x:c r="E16" s="17" t="n">
        <x:f>SUM(E6:E8)</x:f>
        <x:v>20000</x:v>
      </x:c>
      <x:c r="F16" s="17" t="n">
        <x:f>SUM(F6:F8)</x:f>
        <x:v>16100</x:v>
      </x:c>
      <x:c r="G16" s="17" t="n">
        <x:f>SUM(G6:G8)</x:f>
        <x:v>15800</x:v>
      </x:c>
      <x:c r="H16" s="17" t="n">
        <x:f>SUM(H6:H8)</x:f>
        <x:v>17000</x:v>
      </x:c>
      <x:c r="I16" s="17" t="n">
        <x:f>SUM(I6:I8)</x:f>
        <x:v>21500</x:v>
      </x:c>
      <x:c r="J16" s="17" t="n">
        <x:f>SUM(J6:J8)</x:f>
        <x:v>17000</x:v>
      </x:c>
      <x:c r="K16" s="17" t="n">
        <x:f>SUM(K6:K8)</x:f>
        <x:v>17000</x:v>
      </x:c>
      <x:c r="L16" s="17" t="n">
        <x:f>SUM(L6:L8)</x:f>
        <x:v>17000</x:v>
      </x:c>
      <x:c r="M16" s="17" t="n">
        <x:f>SUM(M6:M8)</x:f>
        <x:v>22500</x:v>
      </x:c>
      <x:c r="N16" s="17" t="n">
        <x:f>SUM(N6:N8)</x:f>
        <x:v>22500</x:v>
      </x:c>
      <x:c r="O16" s="13"/>
      <x:c r="P16" s="17" t="n">
        <x:f>SUM(P6:P8)</x:f>
        <x:v>211900</x:v>
      </x:c>
      <x:c r="Q16" s="17" t="n">
        <x:f>SUM(Q6:Q8)</x:f>
        <x:v>77400</x:v>
      </x:c>
      <x:c r="R16" s="17" t="n">
        <x:f>SUM(R6:R8)</x:f>
        <x:v>134500</x:v>
      </x:c>
      <x:c r="S16" s="17" t="n">
        <x:f>SUM(S6:S8)</x:f>
        <x:v>219800</x:v>
      </x:c>
      <x:c r="T16" s="17" t="n">
        <x:f>SUM(T6:T8)</x:f>
        <x:v>-7900</x:v>
      </x:c>
    </x:row>
    <x:row r="17" ht="23" customHeight="1">
      <x:c r="A17" s="13" t="str">
        <x:v>Expenses</x:v>
      </x:c>
      <x:c r="B17" s="13"/>
      <x:c r="C17" s="17" t="n">
        <x:f>SUM(C9:C14)</x:f>
        <x:v>20000</x:v>
      </x:c>
      <x:c r="D17" s="17" t="n">
        <x:f>SUM(D9:D14)</x:f>
        <x:v>17655</x:v>
      </x:c>
      <x:c r="E17" s="17" t="n">
        <x:f>SUM(E9:E14)</x:f>
        <x:v>18300</x:v>
      </x:c>
      <x:c r="F17" s="17" t="n">
        <x:f>SUM(F9:F14)</x:f>
        <x:v>18690</x:v>
      </x:c>
      <x:c r="G17" s="17" t="n">
        <x:f>SUM(G9:G14)</x:f>
        <x:v>18689</x:v>
      </x:c>
      <x:c r="H17" s="17" t="n">
        <x:f>SUM(H9:H14)</x:f>
        <x:v>18576.333333333332</x:v>
      </x:c>
      <x:c r="I17" s="17" t="n">
        <x:f>SUM(I9:I14)</x:f>
        <x:v>18576.333333333332</x:v>
      </x:c>
      <x:c r="J17" s="17" t="n">
        <x:f>SUM(J9:J14)</x:f>
        <x:v>18576.333333333332</x:v>
      </x:c>
      <x:c r="K17" s="17" t="n">
        <x:f>SUM(K9:K14)</x:f>
        <x:v>18576.333333333332</x:v>
      </x:c>
      <x:c r="L17" s="17" t="n">
        <x:f>SUM(L9:L14)</x:f>
        <x:v>18576.333333333332</x:v>
      </x:c>
      <x:c r="M17" s="17" t="n">
        <x:f>SUM(M9:M14)</x:f>
        <x:v>18576.333333333332</x:v>
      </x:c>
      <x:c r="N17" s="17" t="n">
        <x:f>SUM(N9:N14)</x:f>
        <x:v>18576.333333333332</x:v>
      </x:c>
      <x:c r="O17" s="13"/>
      <x:c r="P17" s="17" t="n">
        <x:f>SUM(P9:P14)</x:f>
        <x:v>223368.33333333334</x:v>
      </x:c>
      <x:c r="Q17" s="17" t="n">
        <x:f>SUM(Q9:Q14)</x:f>
        <x:v>93334</x:v>
      </x:c>
      <x:c r="R17" s="17" t="n">
        <x:f>SUM(R9:R14)</x:f>
        <x:v>130034.33333333333</x:v>
      </x:c>
      <x:c r="S17" s="17" t="n">
        <x:f>SUM(S9:S14)</x:f>
        <x:v>234000</x:v>
      </x:c>
      <x:c r="T17" s="17" t="n">
        <x:f>SUM(T9:T14)</x:f>
        <x:v>10631.666666666679</x:v>
      </x:c>
    </x:row>
    <x:row r="18" ht="23" customHeight="1">
      <x:c r="A18" s="13" t="str">
        <x:v>Income less expenses</x:v>
      </x:c>
      <x:c r="B18" s="13"/>
      <x:c r="C18" s="17" t="n">
        <x:f>C16-C17</x:f>
        <x:v>-5000</x:v>
      </x:c>
      <x:c r="D18" s="17" t="n">
        <x:f>D16-D17</x:f>
        <x:v>-7155</x:v>
      </x:c>
      <x:c r="E18" s="17" t="n">
        <x:f>E16-E17</x:f>
        <x:v>1700</x:v>
      </x:c>
      <x:c r="F18" s="17" t="n">
        <x:f>F16-F17</x:f>
        <x:v>-2590</x:v>
      </x:c>
      <x:c r="G18" s="17" t="n">
        <x:f>G16-G17</x:f>
        <x:v>-2889</x:v>
      </x:c>
      <x:c r="H18" s="17" t="n">
        <x:f>H16-H17</x:f>
        <x:v>-1576.3333333333321</x:v>
      </x:c>
      <x:c r="I18" s="17" t="n">
        <x:f>I16-I17</x:f>
        <x:v>2923.666666666668</x:v>
      </x:c>
      <x:c r="J18" s="17" t="n">
        <x:f>J16-J17</x:f>
        <x:v>-1576.3333333333321</x:v>
      </x:c>
      <x:c r="K18" s="17" t="n">
        <x:f>K16-K17</x:f>
        <x:v>-1576.3333333333321</x:v>
      </x:c>
      <x:c r="L18" s="17" t="n">
        <x:f>L16-L17</x:f>
        <x:v>-1576.3333333333321</x:v>
      </x:c>
      <x:c r="M18" s="17" t="n">
        <x:f>M16-M17</x:f>
        <x:v>3923.666666666668</x:v>
      </x:c>
      <x:c r="N18" s="17" t="n">
        <x:f>N16-N17</x:f>
        <x:v>3923.666666666668</x:v>
      </x:c>
      <x:c r="O18" s="13"/>
      <x:c r="P18" s="17" t="n">
        <x:f>P16-P17</x:f>
        <x:v>-11468.333333333343</x:v>
      </x:c>
      <x:c r="Q18" s="17" t="n">
        <x:f>Q16-Q17</x:f>
        <x:v>-15934</x:v>
      </x:c>
      <x:c r="R18" s="17" t="n">
        <x:f>R16-R17</x:f>
        <x:v>4465.6666666666715</x:v>
      </x:c>
      <x:c r="S18" s="17" t="n">
        <x:f>S16-S17</x:f>
        <x:v>-14200</x:v>
      </x:c>
      <x:c r="T18" s="17" t="n">
        <x:f>SUM(T6:T14)</x:f>
        <x:v>2731.666666666679</x:v>
      </x:c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3" customHeight="1">
      <x:c r="A21" s="1" t="str">
        <x:v>Forecast policy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3" customHeight="1">
      <x:c r="A22" s="3" t="str">
        <x:v>Income, rent, marketing, insurance: remaining original budget.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3" customHeight="1">
      <x:c r="A23" s="3" t="str">
        <x:v>The following categories: Mar–May monthly average; no seasonality assumed.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3" customHeight="1">
      <x:c r="A24" s="1" t="str">
        <x:v>Utilities</x:v>
      </x:c>
      <x:c r="B24" s="1"/>
      <x:c r="C24" s="15" t="n">
        <x:f>SUMIFS('Actual'!$G$6:$G$60,'Actual'!$D$6:$D$60,A24,'Actual'!$C$6:$C$60,"&gt;=3")/3</x:f>
        <x:v>4239.666666666667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3" customHeight="1">
      <x:c r="A25" s="1" t="str">
        <x:v>Transport</x:v>
      </x:c>
      <x:c r="B25" s="1"/>
      <x:c r="C25" s="15" t="n">
        <x:f>SUMIFS('Actual'!$G$6:$G$60,'Actual'!$D$6:$D$60,A25,'Actual'!$C$6:$C$60,"&gt;=3")/3</x:f>
        <x:v>2513.3333333333335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3" customHeight="1">
      <x:c r="A26" s="1" t="str">
        <x:v>Other Expenses</x:v>
      </x:c>
      <x:c r="B26" s="1"/>
      <x:c r="C26" s="15" t="n">
        <x:f>SUMIFS('Actual'!$G$6:$G$60,'Actual'!$D$6:$D$60,A26,'Actual'!$C$6:$C$60,"&gt;=3")/3</x:f>
        <x:v>1323.3333333333333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3" hidden="0" customWidth="1"/>
    <x:col min="5" max="5" width="18" hidden="0" customWidth="1"/>
    <x:col min="6" max="6" width="4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Actual transactions | USD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5" t="str">
        <x:v>Source row</x:v>
      </x:c>
      <x:c r="B5" s="5" t="str">
        <x:v>Date</x:v>
      </x:c>
      <x:c r="C5" s="5" t="str">
        <x:v>Month no.</x:v>
      </x:c>
      <x:c r="D5" s="5" t="str">
        <x:v>Category</x:v>
      </x:c>
      <x:c r="E5" s="5" t="str">
        <x:v>Type</x:v>
      </x:c>
      <x:c r="F5" s="5" t="str">
        <x:v>Description</x:v>
      </x:c>
      <x:c r="G5" s="5" t="str">
        <x:v>Amount USD</x:v>
      </x:c>
      <x:c r="H5" s="5" t="str">
        <x:v>Identical rows</x:v>
      </x:c>
      <x:c r="I5" s="5" t="str">
        <x:v>Month valid</x:v>
      </x:c>
      <x:c r="J5" s="1" t="str">
        <x:v>Category</x:v>
      </x:c>
      <x:c r="K5" s="1" t="str">
        <x:v>Type</x:v>
      </x:c>
      <x:c r="L5" s="1"/>
    </x:row>
    <x:row r="6" ht="23" customHeight="1">
      <x:c r="A6" s="1" t="n">
        <x:v>5</x:v>
      </x:c>
      <x:c r="B6" s="6" t="n">
        <x:v>44562</x:v>
      </x:c>
      <x:c r="C6" s="1" t="n">
        <x:v>1</x:v>
      </x:c>
      <x:c r="D6" s="1" t="str">
        <x:v>Rent</x:v>
      </x:c>
      <x:c r="E6" s="8" t="str">
        <x:f>IF(COUNTIFS($J$6:$J$14,D6)=0,"Unmapped",INDEX($K$6:$K$14,MATCH(D6,$J$6:$J$14,0)))</x:f>
        <x:v>Expense</x:v>
      </x:c>
      <x:c r="F6" s="1" t="str">
        <x:v>Store space shared with Mall co-renter</x:v>
      </x:c>
      <x:c r="G6" s="7" t="n">
        <x:v>7000</x:v>
      </x:c>
      <x:c r="H6" s="8" t="n">
        <x:f>COUNTIFS($B$6:$B$60,B6,$D$6:$D$60,D6,$F$6:$F$60,F6,$G$6:$G$60,G6)</x:f>
        <x:v>1</x:v>
      </x:c>
      <x:c r="I6" s="8" t="b">
        <x:f>C6=MONTH(B6)</x:f>
        <x:v>1</x:v>
      </x:c>
      <x:c r="J6" s="1" t="str">
        <x:v>Sales</x:v>
      </x:c>
      <x:c r="K6" s="1" t="str">
        <x:v>Income</x:v>
      </x:c>
      <x:c r="L6" s="1"/>
    </x:row>
    <x:row r="7" ht="23" customHeight="1">
      <x:c r="A7" s="1" t="n">
        <x:v>6</x:v>
      </x:c>
      <x:c r="B7" s="6" t="n">
        <x:v>44562</x:v>
      </x:c>
      <x:c r="C7" s="1" t="n">
        <x:v>1</x:v>
      </x:c>
      <x:c r="D7" s="1" t="str">
        <x:v>Utilities</x:v>
      </x:c>
      <x:c r="E7" s="8" t="str">
        <x:f>IF(COUNTIFS($J$6:$J$14,D7)=0,"Unmapped",INDEX($K$6:$K$14,MATCH(D7,$J$6:$J$14,0)))</x:f>
        <x:v>Expense</x:v>
      </x:c>
      <x:c r="F7" s="1" t="str">
        <x:v>Higher month than usual</x:v>
      </x:c>
      <x:c r="G7" s="7" t="n">
        <x:v>4800</x:v>
      </x:c>
      <x:c r="H7" s="8" t="n">
        <x:f>COUNTIFS($B$6:$B$60,B7,$D$6:$D$60,D7,$F$6:$F$60,F7,$G$6:$G$60,G7)</x:f>
        <x:v>1</x:v>
      </x:c>
      <x:c r="I7" s="8" t="b">
        <x:f>C7=MONTH(B7)</x:f>
        <x:v>1</x:v>
      </x:c>
      <x:c r="J7" s="1" t="str">
        <x:v>Services</x:v>
      </x:c>
      <x:c r="K7" s="1" t="str">
        <x:v>Income</x:v>
      </x:c>
      <x:c r="L7" s="1"/>
    </x:row>
    <x:row r="8" ht="23" customHeight="1">
      <x:c r="A8" s="1" t="n">
        <x:v>7</x:v>
      </x:c>
      <x:c r="B8" s="6" t="n">
        <x:v>44562</x:v>
      </x:c>
      <x:c r="C8" s="1" t="n">
        <x:v>1</x:v>
      </x:c>
      <x:c r="D8" s="1" t="str">
        <x:v>Transport</x:v>
      </x:c>
      <x:c r="E8" s="8" t="str">
        <x:f>IF(COUNTIFS($J$6:$J$14,D8)=0,"Unmapped",INDEX($K$6:$K$14,MATCH(D8,$J$6:$J$14,0)))</x:f>
        <x:v>Expense</x:v>
      </x:c>
      <x:c r="F8" s="1" t="str">
        <x:v>Metro card</x:v>
      </x:c>
      <x:c r="G8" s="7" t="n">
        <x:v>2000</x:v>
      </x:c>
      <x:c r="H8" s="8" t="n">
        <x:f>COUNTIFS($B$6:$B$60,B8,$D$6:$D$60,D8,$F$6:$F$60,F8,$G$6:$G$60,G8)</x:f>
        <x:v>1</x:v>
      </x:c>
      <x:c r="I8" s="8" t="b">
        <x:f>C8=MONTH(B8)</x:f>
        <x:v>1</x:v>
      </x:c>
      <x:c r="J8" s="1" t="str">
        <x:v>Other Income</x:v>
      </x:c>
      <x:c r="K8" s="1" t="str">
        <x:v>Income</x:v>
      </x:c>
      <x:c r="L8" s="1"/>
    </x:row>
    <x:row r="9" ht="23" customHeight="1">
      <x:c r="A9" s="1" t="n">
        <x:v>8</x:v>
      </x:c>
      <x:c r="B9" s="6" t="n">
        <x:v>44569</x:v>
      </x:c>
      <x:c r="C9" s="1" t="n">
        <x:v>1</x:v>
      </x:c>
      <x:c r="D9" s="1" t="str">
        <x:v>Marketing</x:v>
      </x:c>
      <x:c r="E9" s="8" t="str">
        <x:f>IF(COUNTIFS($J$6:$J$14,D9)=0,"Unmapped",INDEX($K$6:$K$14,MATCH(D9,$J$6:$J$14,0)))</x:f>
        <x:v>Expense</x:v>
      </x:c>
      <x:c r="F9" s="1" t="str">
        <x:v>Ad Material/Promotions</x:v>
      </x:c>
      <x:c r="G9" s="7" t="n">
        <x:v>2200</x:v>
      </x:c>
      <x:c r="H9" s="8" t="n">
        <x:f>COUNTIFS($B$6:$B$60,B9,$D$6:$D$60,D9,$F$6:$F$60,F9,$G$6:$G$60,G9)</x:f>
        <x:v>1</x:v>
      </x:c>
      <x:c r="I9" s="8" t="b">
        <x:f>C9=MONTH(B9)</x:f>
        <x:v>1</x:v>
      </x:c>
      <x:c r="J9" s="1" t="str">
        <x:v>Rent</x:v>
      </x:c>
      <x:c r="K9" s="1" t="str">
        <x:v>Expense</x:v>
      </x:c>
      <x:c r="L9" s="1"/>
    </x:row>
    <x:row r="10" ht="23" customHeight="1">
      <x:c r="A10" s="1" t="n">
        <x:v>9</x:v>
      </x:c>
      <x:c r="B10" s="6" t="n">
        <x:v>44572</x:v>
      </x:c>
      <x:c r="C10" s="1" t="n">
        <x:v>1</x:v>
      </x:c>
      <x:c r="D10" s="1" t="str">
        <x:v>Business Insurance</x:v>
      </x:c>
      <x:c r="E10" s="8" t="str">
        <x:f>IF(COUNTIFS($J$6:$J$14,D10)=0,"Unmapped",INDEX($K$6:$K$14,MATCH(D10,$J$6:$J$14,0)))</x:f>
        <x:v>Expense</x:v>
      </x:c>
      <x:c r="F10" s="1" t="str">
        <x:v>Insurance Premium</x:v>
      </x:c>
      <x:c r="G10" s="7" t="n">
        <x:v>400</x:v>
      </x:c>
      <x:c r="H10" s="8" t="n">
        <x:f>COUNTIFS($B$6:$B$60,B10,$D$6:$D$60,D10,$F$6:$F$60,F10,$G$6:$G$60,G10)</x:f>
        <x:v>1</x:v>
      </x:c>
      <x:c r="I10" s="8" t="b">
        <x:f>C10=MONTH(B10)</x:f>
        <x:v>1</x:v>
      </x:c>
      <x:c r="J10" s="1" t="str">
        <x:v>Utilities</x:v>
      </x:c>
      <x:c r="K10" s="1" t="str">
        <x:v>Expense</x:v>
      </x:c>
      <x:c r="L10" s="1"/>
    </x:row>
    <x:row r="11" ht="23" customHeight="1">
      <x:c r="A11" s="1" t="n">
        <x:v>10</x:v>
      </x:c>
      <x:c r="B11" s="6" t="n">
        <x:v>44573</x:v>
      </x:c>
      <x:c r="C11" s="1" t="n">
        <x:v>1</x:v>
      </x:c>
      <x:c r="D11" s="1" t="str">
        <x:v>Business Insurance</x:v>
      </x:c>
      <x:c r="E11" s="8" t="str">
        <x:f>IF(COUNTIFS($J$6:$J$14,D11)=0,"Unmapped",INDEX($K$6:$K$14,MATCH(D11,$J$6:$J$14,0)))</x:f>
        <x:v>Expense</x:v>
      </x:c>
      <x:c r="F11" s="1" t="str">
        <x:v>Insurance Premium</x:v>
      </x:c>
      <x:c r="G11" s="7" t="n">
        <x:v>300</x:v>
      </x:c>
      <x:c r="H11" s="8" t="n">
        <x:f>COUNTIFS($B$6:$B$60,B11,$D$6:$D$60,D11,$F$6:$F$60,F11,$G$6:$G$60,G11)</x:f>
        <x:v>2</x:v>
      </x:c>
      <x:c r="I11" s="8" t="b">
        <x:f>C11=MONTH(B11)</x:f>
        <x:v>1</x:v>
      </x:c>
      <x:c r="J11" s="1" t="str">
        <x:v>Transport</x:v>
      </x:c>
      <x:c r="K11" s="1" t="str">
        <x:v>Expense</x:v>
      </x:c>
      <x:c r="L11" s="1"/>
    </x:row>
    <x:row r="12" ht="23" customHeight="1">
      <x:c r="A12" s="1" t="n">
        <x:v>11</x:v>
      </x:c>
      <x:c r="B12" s="6" t="n">
        <x:v>44573</x:v>
      </x:c>
      <x:c r="C12" s="1" t="n">
        <x:v>1</x:v>
      </x:c>
      <x:c r="D12" s="1" t="str">
        <x:v>Business Insurance</x:v>
      </x:c>
      <x:c r="E12" s="8" t="str">
        <x:f>IF(COUNTIFS($J$6:$J$14,D12)=0,"Unmapped",INDEX($K$6:$K$14,MATCH(D12,$J$6:$J$14,0)))</x:f>
        <x:v>Expense</x:v>
      </x:c>
      <x:c r="F12" s="1" t="str">
        <x:v>Insurance Premium</x:v>
      </x:c>
      <x:c r="G12" s="7" t="n">
        <x:v>300</x:v>
      </x:c>
      <x:c r="H12" s="8" t="n">
        <x:f>COUNTIFS($B$6:$B$60,B12,$D$6:$D$60,D12,$F$6:$F$60,F12,$G$6:$G$60,G12)</x:f>
        <x:v>2</x:v>
      </x:c>
      <x:c r="I12" s="8" t="b">
        <x:f>C12=MONTH(B12)</x:f>
        <x:v>1</x:v>
      </x:c>
      <x:c r="J12" s="1" t="str">
        <x:v>Marketing</x:v>
      </x:c>
      <x:c r="K12" s="1" t="str">
        <x:v>Expense</x:v>
      </x:c>
      <x:c r="L12" s="1"/>
    </x:row>
    <x:row r="13" ht="23" customHeight="1">
      <x:c r="A13" s="1" t="n">
        <x:v>12</x:v>
      </x:c>
      <x:c r="B13" s="6" t="n">
        <x:v>44575</x:v>
      </x:c>
      <x:c r="C13" s="1" t="n">
        <x:v>1</x:v>
      </x:c>
      <x:c r="D13" s="1" t="str">
        <x:v>Other Expenses</x:v>
      </x:c>
      <x:c r="E13" s="8" t="str">
        <x:f>IF(COUNTIFS($J$6:$J$14,D13)=0,"Unmapped",INDEX($K$6:$K$14,MATCH(D13,$J$6:$J$14,0)))</x:f>
        <x:v>Expense</x:v>
      </x:c>
      <x:c r="F13" s="1" t="str">
        <x:v>Bought new uniforms</x:v>
      </x:c>
      <x:c r="G13" s="7" t="n">
        <x:v>3000</x:v>
      </x:c>
      <x:c r="H13" s="8" t="n">
        <x:f>COUNTIFS($B$6:$B$60,B13,$D$6:$D$60,D13,$F$6:$F$60,F13,$G$6:$G$60,G13)</x:f>
        <x:v>1</x:v>
      </x:c>
      <x:c r="I13" s="8" t="b">
        <x:f>C13=MONTH(B13)</x:f>
        <x:v>1</x:v>
      </x:c>
      <x:c r="J13" s="1" t="str">
        <x:v>Business Insurance</x:v>
      </x:c>
      <x:c r="K13" s="1" t="str">
        <x:v>Expense</x:v>
      </x:c>
      <x:c r="L13" s="1"/>
    </x:row>
    <x:row r="14" ht="23" customHeight="1">
      <x:c r="A14" s="1" t="n">
        <x:v>13</x:v>
      </x:c>
      <x:c r="B14" s="6" t="n">
        <x:v>44592</x:v>
      </x:c>
      <x:c r="C14" s="1" t="n">
        <x:v>1</x:v>
      </x:c>
      <x:c r="D14" s="1" t="str">
        <x:v>Services</x:v>
      </x:c>
      <x:c r="E14" s="8" t="str">
        <x:f>IF(COUNTIFS($J$6:$J$14,D14)=0,"Unmapped",INDEX($K$6:$K$14,MATCH(D14,$J$6:$J$14,0)))</x:f>
        <x:v>Income</x:v>
      </x:c>
      <x:c r="F14" s="1" t="str">
        <x:v>Commissions from each sale</x:v>
      </x:c>
      <x:c r="G14" s="7" t="n">
        <x:v>2500</x:v>
      </x:c>
      <x:c r="H14" s="8" t="n">
        <x:f>COUNTIFS($B$6:$B$60,B14,$D$6:$D$60,D14,$F$6:$F$60,F14,$G$6:$G$60,G14)</x:f>
        <x:v>1</x:v>
      </x:c>
      <x:c r="I14" s="8" t="b">
        <x:f>C14=MONTH(B14)</x:f>
        <x:v>1</x:v>
      </x:c>
      <x:c r="J14" s="1" t="str">
        <x:v>Other Expenses</x:v>
      </x:c>
      <x:c r="K14" s="1" t="str">
        <x:v>Expense</x:v>
      </x:c>
      <x:c r="L14" s="1"/>
    </x:row>
    <x:row r="15" ht="23" customHeight="1">
      <x:c r="A15" s="1" t="n">
        <x:v>14</x:v>
      </x:c>
      <x:c r="B15" s="6" t="n">
        <x:v>44592</x:v>
      </x:c>
      <x:c r="C15" s="1" t="n">
        <x:v>1</x:v>
      </x:c>
      <x:c r="D15" s="1" t="str">
        <x:v>Sales</x:v>
      </x:c>
      <x:c r="E15" s="8" t="str">
        <x:f>IF(COUNTIFS($J$6:$J$14,D15)=0,"Unmapped",INDEX($K$6:$K$14,MATCH(D15,$J$6:$J$14,0)))</x:f>
        <x:v>Income</x:v>
      </x:c>
      <x:c r="F15" s="1" t="str">
        <x:v>Pet - Food/Toys etc</x:v>
      </x:c>
      <x:c r="G15" s="7" t="n">
        <x:v>5000</x:v>
      </x:c>
      <x:c r="H15" s="8" t="n">
        <x:f>COUNTIFS($B$6:$B$60,B15,$D$6:$D$60,D15,$F$6:$F$60,F15,$G$6:$G$60,G15)</x:f>
        <x:v>1</x:v>
      </x:c>
      <x:c r="I15" s="8" t="b">
        <x:f>C15=MONTH(B15)</x:f>
        <x:v>1</x:v>
      </x:c>
      <x:c r="J15" s="1"/>
      <x:c r="K15" s="1"/>
      <x:c r="L15" s="1"/>
    </x:row>
    <x:row r="16" ht="23" customHeight="1">
      <x:c r="A16" s="1" t="n">
        <x:v>15</x:v>
      </x:c>
      <x:c r="B16" s="6" t="n">
        <x:v>44592</x:v>
      </x:c>
      <x:c r="C16" s="1" t="n">
        <x:v>1</x:v>
      </x:c>
      <x:c r="D16" s="1" t="str">
        <x:v>Other Income</x:v>
      </x:c>
      <x:c r="E16" s="8" t="str">
        <x:f>IF(COUNTIFS($J$6:$J$14,D16)=0,"Unmapped",INDEX($K$6:$K$14,MATCH(D16,$J$6:$J$14,0)))</x:f>
        <x:v>Income</x:v>
      </x:c>
      <x:c r="F16" s="1" t="str">
        <x:v>Pet grooming/Housing etc</x:v>
      </x:c>
      <x:c r="G16" s="7" t="n">
        <x:v>7500</x:v>
      </x:c>
      <x:c r="H16" s="8" t="n">
        <x:f>COUNTIFS($B$6:$B$60,B16,$D$6:$D$60,D16,$F$6:$F$60,F16,$G$6:$G$60,G16)</x:f>
        <x:v>1</x:v>
      </x:c>
      <x:c r="I16" s="8" t="b">
        <x:f>C16=MONTH(B16)</x:f>
        <x:v>1</x:v>
      </x:c>
      <x:c r="J16" s="1"/>
      <x:c r="K16" s="1"/>
      <x:c r="L16" s="1"/>
    </x:row>
    <x:row r="17" ht="23" customHeight="1">
      <x:c r="A17" s="1" t="n">
        <x:v>16</x:v>
      </x:c>
      <x:c r="B17" s="6" t="n">
        <x:v>44593</x:v>
      </x:c>
      <x:c r="C17" s="1" t="n">
        <x:v>2</x:v>
      </x:c>
      <x:c r="D17" s="1" t="str">
        <x:v>Rent</x:v>
      </x:c>
      <x:c r="E17" s="8" t="str">
        <x:f>IF(COUNTIFS($J$6:$J$14,D17)=0,"Unmapped",INDEX($K$6:$K$14,MATCH(D17,$J$6:$J$14,0)))</x:f>
        <x:v>Expense</x:v>
      </x:c>
      <x:c r="F17" s="1" t="str">
        <x:v>Store space shared with Mall co-renter</x:v>
      </x:c>
      <x:c r="G17" s="7" t="n">
        <x:v>7000</x:v>
      </x:c>
      <x:c r="H17" s="8" t="n">
        <x:f>COUNTIFS($B$6:$B$60,B17,$D$6:$D$60,D17,$F$6:$F$60,F17,$G$6:$G$60,G17)</x:f>
        <x:v>1</x:v>
      </x:c>
      <x:c r="I17" s="8" t="b">
        <x:f>C17=MONTH(B17)</x:f>
        <x:v>1</x:v>
      </x:c>
      <x:c r="J17" s="1"/>
      <x:c r="K17" s="1"/>
      <x:c r="L17" s="1"/>
    </x:row>
    <x:row r="18" ht="23" customHeight="1">
      <x:c r="A18" s="1" t="n">
        <x:v>17</x:v>
      </x:c>
      <x:c r="B18" s="6" t="n">
        <x:v>44593</x:v>
      </x:c>
      <x:c r="C18" s="1" t="n">
        <x:v>2</x:v>
      </x:c>
      <x:c r="D18" s="1" t="str">
        <x:v>Utilities</x:v>
      </x:c>
      <x:c r="E18" s="8" t="str">
        <x:f>IF(COUNTIFS($J$6:$J$14,D18)=0,"Unmapped",INDEX($K$6:$K$14,MATCH(D18,$J$6:$J$14,0)))</x:f>
        <x:v>Expense</x:v>
      </x:c>
      <x:c r="F18" s="1" t="str">
        <x:v>Average month</x:v>
      </x:c>
      <x:c r="G18" s="7" t="n">
        <x:v>4500</x:v>
      </x:c>
      <x:c r="H18" s="8" t="n">
        <x:f>COUNTIFS($B$6:$B$60,B18,$D$6:$D$60,D18,$F$6:$F$60,F18,$G$6:$G$60,G18)</x:f>
        <x:v>1</x:v>
      </x:c>
      <x:c r="I18" s="8" t="b">
        <x:f>C18=MONTH(B18)</x:f>
        <x:v>1</x:v>
      </x:c>
      <x:c r="J18" s="1"/>
      <x:c r="K18" s="1"/>
      <x:c r="L18" s="1"/>
    </x:row>
    <x:row r="19" ht="23" customHeight="1">
      <x:c r="A19" s="1" t="n">
        <x:v>18</x:v>
      </x:c>
      <x:c r="B19" s="6" t="n">
        <x:v>44593</x:v>
      </x:c>
      <x:c r="C19" s="1" t="n">
        <x:v>2</x:v>
      </x:c>
      <x:c r="D19" s="1" t="str">
        <x:v>Transport</x:v>
      </x:c>
      <x:c r="E19" s="8" t="str">
        <x:f>IF(COUNTIFS($J$6:$J$14,D19)=0,"Unmapped",INDEX($K$6:$K$14,MATCH(D19,$J$6:$J$14,0)))</x:f>
        <x:v>Expense</x:v>
      </x:c>
      <x:c r="F19" s="1" t="str">
        <x:v>Metro card</x:v>
      </x:c>
      <x:c r="G19" s="7" t="n">
        <x:v>2200</x:v>
      </x:c>
      <x:c r="H19" s="8" t="n">
        <x:f>COUNTIFS($B$6:$B$60,B19,$D$6:$D$60,D19,$F$6:$F$60,F19,$G$6:$G$60,G19)</x:f>
        <x:v>1</x:v>
      </x:c>
      <x:c r="I19" s="8" t="b">
        <x:f>C19=MONTH(B19)</x:f>
        <x:v>1</x:v>
      </x:c>
      <x:c r="J19" s="1"/>
      <x:c r="K19" s="1"/>
      <x:c r="L19" s="1"/>
    </x:row>
    <x:row r="20" ht="23" customHeight="1">
      <x:c r="A20" s="1" t="n">
        <x:v>19</x:v>
      </x:c>
      <x:c r="B20" s="6" t="n">
        <x:v>44600</x:v>
      </x:c>
      <x:c r="C20" s="1" t="n">
        <x:v>2</x:v>
      </x:c>
      <x:c r="D20" s="1" t="str">
        <x:v>Marketing</x:v>
      </x:c>
      <x:c r="E20" s="8" t="str">
        <x:f>IF(COUNTIFS($J$6:$J$14,D20)=0,"Unmapped",INDEX($K$6:$K$14,MATCH(D20,$J$6:$J$14,0)))</x:f>
        <x:v>Expense</x:v>
      </x:c>
      <x:c r="F20" s="1" t="str">
        <x:v>Ad Material/Promotions</x:v>
      </x:c>
      <x:c r="G20" s="7" t="n">
        <x:v>2300</x:v>
      </x:c>
      <x:c r="H20" s="8" t="n">
        <x:f>COUNTIFS($B$6:$B$60,B20,$D$6:$D$60,D20,$F$6:$F$60,F20,$G$6:$G$60,G20)</x:f>
        <x:v>1</x:v>
      </x:c>
      <x:c r="I20" s="8" t="b">
        <x:f>C20=MONTH(B20)</x:f>
        <x:v>1</x:v>
      </x:c>
      <x:c r="J20" s="1"/>
      <x:c r="K20" s="1"/>
      <x:c r="L20" s="1"/>
    </x:row>
    <x:row r="21" ht="23" customHeight="1">
      <x:c r="A21" s="1" t="n">
        <x:v>20</x:v>
      </x:c>
      <x:c r="B21" s="6" t="n">
        <x:v>44603</x:v>
      </x:c>
      <x:c r="C21" s="1" t="n">
        <x:v>2</x:v>
      </x:c>
      <x:c r="D21" s="1" t="str">
        <x:v>Business Insurance</x:v>
      </x:c>
      <x:c r="E21" s="8" t="str">
        <x:f>IF(COUNTIFS($J$6:$J$14,D21)=0,"Unmapped",INDEX($K$6:$K$14,MATCH(D21,$J$6:$J$14,0)))</x:f>
        <x:v>Expense</x:v>
      </x:c>
      <x:c r="F21" s="1" t="str">
        <x:v>Insurance Premium</x:v>
      </x:c>
      <x:c r="G21" s="7" t="n">
        <x:v>350</x:v>
      </x:c>
      <x:c r="H21" s="8" t="n">
        <x:f>COUNTIFS($B$6:$B$60,B21,$D$6:$D$60,D21,$F$6:$F$60,F21,$G$6:$G$60,G21)</x:f>
        <x:v>1</x:v>
      </x:c>
      <x:c r="I21" s="8" t="b">
        <x:f>C21=MONTH(B21)</x:f>
        <x:v>1</x:v>
      </x:c>
      <x:c r="J21" s="1"/>
      <x:c r="K21" s="1"/>
      <x:c r="L21" s="1"/>
    </x:row>
    <x:row r="22" ht="23" customHeight="1">
      <x:c r="A22" s="1" t="n">
        <x:v>21</x:v>
      </x:c>
      <x:c r="B22" s="6" t="n">
        <x:v>44604</x:v>
      </x:c>
      <x:c r="C22" s="1" t="n">
        <x:v>2</x:v>
      </x:c>
      <x:c r="D22" s="1" t="str">
        <x:v>Business Insurance</x:v>
      </x:c>
      <x:c r="E22" s="8" t="str">
        <x:f>IF(COUNTIFS($J$6:$J$14,D22)=0,"Unmapped",INDEX($K$6:$K$14,MATCH(D22,$J$6:$J$14,0)))</x:f>
        <x:v>Expense</x:v>
      </x:c>
      <x:c r="F22" s="1" t="str">
        <x:v>Insurance Premium</x:v>
      </x:c>
      <x:c r="G22" s="7" t="n">
        <x:v>345</x:v>
      </x:c>
      <x:c r="H22" s="8" t="n">
        <x:f>COUNTIFS($B$6:$B$60,B22,$D$6:$D$60,D22,$F$6:$F$60,F22,$G$6:$G$60,G22)</x:f>
        <x:v>1</x:v>
      </x:c>
      <x:c r="I22" s="8" t="b">
        <x:f>C22=MONTH(B22)</x:f>
        <x:v>1</x:v>
      </x:c>
      <x:c r="J22" s="1"/>
      <x:c r="K22" s="1"/>
      <x:c r="L22" s="1"/>
    </x:row>
    <x:row r="23" ht="23" customHeight="1">
      <x:c r="A23" s="1" t="n">
        <x:v>22</x:v>
      </x:c>
      <x:c r="B23" s="6" t="n">
        <x:v>44604</x:v>
      </x:c>
      <x:c r="C23" s="1" t="n">
        <x:v>2</x:v>
      </x:c>
      <x:c r="D23" s="1" t="str">
        <x:v>Business Insurance</x:v>
      </x:c>
      <x:c r="E23" s="8" t="str">
        <x:f>IF(COUNTIFS($J$6:$J$14,D23)=0,"Unmapped",INDEX($K$6:$K$14,MATCH(D23,$J$6:$J$14,0)))</x:f>
        <x:v>Expense</x:v>
      </x:c>
      <x:c r="F23" s="1" t="str">
        <x:v>Insurance Premium</x:v>
      </x:c>
      <x:c r="G23" s="7" t="n">
        <x:v>400</x:v>
      </x:c>
      <x:c r="H23" s="8" t="n">
        <x:f>COUNTIFS($B$6:$B$60,B23,$D$6:$D$60,D23,$F$6:$F$60,F23,$G$6:$G$60,G23)</x:f>
        <x:v>1</x:v>
      </x:c>
      <x:c r="I23" s="8" t="b">
        <x:f>C23=MONTH(B23)</x:f>
        <x:v>1</x:v>
      </x:c>
      <x:c r="J23" s="1"/>
      <x:c r="K23" s="1"/>
      <x:c r="L23" s="1"/>
    </x:row>
    <x:row r="24" ht="23" customHeight="1">
      <x:c r="A24" s="1" t="n">
        <x:v>23</x:v>
      </x:c>
      <x:c r="B24" s="6" t="n">
        <x:v>44606</x:v>
      </x:c>
      <x:c r="C24" s="1" t="n">
        <x:v>2</x:v>
      </x:c>
      <x:c r="D24" s="1" t="str">
        <x:v>Other Expenses</x:v>
      </x:c>
      <x:c r="E24" s="8" t="str">
        <x:f>IF(COUNTIFS($J$6:$J$14,D24)=0,"Unmapped",INDEX($K$6:$K$14,MATCH(D24,$J$6:$J$14,0)))</x:f>
        <x:v>Expense</x:v>
      </x:c>
      <x:c r="F24" s="1" t="str">
        <x:v>Snacks</x:v>
      </x:c>
      <x:c r="G24" s="7" t="n">
        <x:v>560</x:v>
      </x:c>
      <x:c r="H24" s="8" t="n">
        <x:f>COUNTIFS($B$6:$B$60,B24,$D$6:$D$60,D24,$F$6:$F$60,F24,$G$6:$G$60,G24)</x:f>
        <x:v>1</x:v>
      </x:c>
      <x:c r="I24" s="8" t="b">
        <x:f>C24=MONTH(B24)</x:f>
        <x:v>1</x:v>
      </x:c>
      <x:c r="J24" s="1"/>
      <x:c r="K24" s="1"/>
      <x:c r="L24" s="1"/>
    </x:row>
    <x:row r="25" ht="23" customHeight="1">
      <x:c r="A25" s="1" t="n">
        <x:v>24</x:v>
      </x:c>
      <x:c r="B25" s="6" t="n">
        <x:v>44620</x:v>
      </x:c>
      <x:c r="C25" s="1" t="n">
        <x:v>2</x:v>
      </x:c>
      <x:c r="D25" s="1" t="str">
        <x:v>Services</x:v>
      </x:c>
      <x:c r="E25" s="8" t="str">
        <x:f>IF(COUNTIFS($J$6:$J$14,D25)=0,"Unmapped",INDEX($K$6:$K$14,MATCH(D25,$J$6:$J$14,0)))</x:f>
        <x:v>Income</x:v>
      </x:c>
      <x:c r="F25" s="1" t="str">
        <x:v>Commissions from each sale/service</x:v>
      </x:c>
      <x:c r="G25" s="7" t="n">
        <x:v>2500</x:v>
      </x:c>
      <x:c r="H25" s="8" t="n">
        <x:f>COUNTIFS($B$6:$B$60,B25,$D$6:$D$60,D25,$F$6:$F$60,F25,$G$6:$G$60,G25)</x:f>
        <x:v>1</x:v>
      </x:c>
      <x:c r="I25" s="8" t="b">
        <x:f>C25=MONTH(B25)</x:f>
        <x:v>1</x:v>
      </x:c>
      <x:c r="J25" s="1"/>
      <x:c r="K25" s="1"/>
      <x:c r="L25" s="1"/>
    </x:row>
    <x:row r="26" ht="23" customHeight="1">
      <x:c r="A26" s="1" t="n">
        <x:v>25</x:v>
      </x:c>
      <x:c r="B26" s="6" t="n">
        <x:v>44620</x:v>
      </x:c>
      <x:c r="C26" s="1" t="n">
        <x:v>2</x:v>
      </x:c>
      <x:c r="D26" s="1" t="str">
        <x:v>Sales</x:v>
      </x:c>
      <x:c r="E26" s="8" t="str">
        <x:f>IF(COUNTIFS($J$6:$J$14,D26)=0,"Unmapped",INDEX($K$6:$K$14,MATCH(D26,$J$6:$J$14,0)))</x:f>
        <x:v>Income</x:v>
      </x:c>
      <x:c r="F26" s="1" t="str">
        <x:v>Pet - Food/Toys etc</x:v>
      </x:c>
      <x:c r="G26" s="7" t="n">
        <x:v>3000</x:v>
      </x:c>
      <x:c r="H26" s="8" t="n">
        <x:f>COUNTIFS($B$6:$B$60,B26,$D$6:$D$60,D26,$F$6:$F$60,F26,$G$6:$G$60,G26)</x:f>
        <x:v>1</x:v>
      </x:c>
      <x:c r="I26" s="8" t="b">
        <x:f>C26=MONTH(B26)</x:f>
        <x:v>1</x:v>
      </x:c>
      <x:c r="J26" s="1"/>
      <x:c r="K26" s="1"/>
      <x:c r="L26" s="1"/>
    </x:row>
    <x:row r="27" ht="23" customHeight="1">
      <x:c r="A27" s="1" t="n">
        <x:v>26</x:v>
      </x:c>
      <x:c r="B27" s="6" t="n">
        <x:v>44620</x:v>
      </x:c>
      <x:c r="C27" s="1" t="n">
        <x:v>2</x:v>
      </x:c>
      <x:c r="D27" s="1" t="str">
        <x:v>Other Income</x:v>
      </x:c>
      <x:c r="E27" s="8" t="str">
        <x:f>IF(COUNTIFS($J$6:$J$14,D27)=0,"Unmapped",INDEX($K$6:$K$14,MATCH(D27,$J$6:$J$14,0)))</x:f>
        <x:v>Income</x:v>
      </x:c>
      <x:c r="F27" s="1" t="str">
        <x:v>Startup idea $</x:v>
      </x:c>
      <x:c r="G27" s="7" t="n">
        <x:v>5000</x:v>
      </x:c>
      <x:c r="H27" s="8" t="n">
        <x:f>COUNTIFS($B$6:$B$60,B27,$D$6:$D$60,D27,$F$6:$F$60,F27,$G$6:$G$60,G27)</x:f>
        <x:v>1</x:v>
      </x:c>
      <x:c r="I27" s="8" t="b">
        <x:f>C27=MONTH(B27)</x:f>
        <x:v>1</x:v>
      </x:c>
      <x:c r="J27" s="1"/>
      <x:c r="K27" s="1"/>
      <x:c r="L27" s="1"/>
    </x:row>
    <x:row r="28" ht="23" customHeight="1">
      <x:c r="A28" s="1" t="n">
        <x:v>27</x:v>
      </x:c>
      <x:c r="B28" s="6" t="n">
        <x:v>44621</x:v>
      </x:c>
      <x:c r="C28" s="1" t="n">
        <x:v>3</x:v>
      </x:c>
      <x:c r="D28" s="1" t="str">
        <x:v>Rent</x:v>
      </x:c>
      <x:c r="E28" s="8" t="str">
        <x:f>IF(COUNTIFS($J$6:$J$14,D28)=0,"Unmapped",INDEX($K$6:$K$14,MATCH(D28,$J$6:$J$14,0)))</x:f>
        <x:v>Expense</x:v>
      </x:c>
      <x:c r="F28" s="1" t="str">
        <x:v>Store space shared with Mall co-renter</x:v>
      </x:c>
      <x:c r="G28" s="7" t="n">
        <x:v>7000</x:v>
      </x:c>
      <x:c r="H28" s="8" t="n">
        <x:f>COUNTIFS($B$6:$B$60,B28,$D$6:$D$60,D28,$F$6:$F$60,F28,$G$6:$G$60,G28)</x:f>
        <x:v>1</x:v>
      </x:c>
      <x:c r="I28" s="8" t="b">
        <x:f>C28=MONTH(B28)</x:f>
        <x:v>1</x:v>
      </x:c>
      <x:c r="J28" s="1"/>
      <x:c r="K28" s="1"/>
      <x:c r="L28" s="1"/>
    </x:row>
    <x:row r="29" ht="23" customHeight="1">
      <x:c r="A29" s="1" t="n">
        <x:v>28</x:v>
      </x:c>
      <x:c r="B29" s="6" t="n">
        <x:v>44621</x:v>
      </x:c>
      <x:c r="C29" s="1" t="n">
        <x:v>3</x:v>
      </x:c>
      <x:c r="D29" s="1" t="str">
        <x:v>Utilities</x:v>
      </x:c>
      <x:c r="E29" s="8" t="str">
        <x:f>IF(COUNTIFS($J$6:$J$14,D29)=0,"Unmapped",INDEX($K$6:$K$14,MATCH(D29,$J$6:$J$14,0)))</x:f>
        <x:v>Expense</x:v>
      </x:c>
      <x:c r="F29" s="1" t="str">
        <x:v>Average month</x:v>
      </x:c>
      <x:c r="G29" s="7" t="n">
        <x:v>4300</x:v>
      </x:c>
      <x:c r="H29" s="8" t="n">
        <x:f>COUNTIFS($B$6:$B$60,B29,$D$6:$D$60,D29,$F$6:$F$60,F29,$G$6:$G$60,G29)</x:f>
        <x:v>1</x:v>
      </x:c>
      <x:c r="I29" s="8" t="b">
        <x:f>C29=MONTH(B29)</x:f>
        <x:v>1</x:v>
      </x:c>
      <x:c r="J29" s="1"/>
      <x:c r="K29" s="1"/>
      <x:c r="L29" s="1"/>
    </x:row>
    <x:row r="30" ht="23" customHeight="1">
      <x:c r="A30" s="1" t="n">
        <x:v>29</x:v>
      </x:c>
      <x:c r="B30" s="6" t="n">
        <x:v>44621</x:v>
      </x:c>
      <x:c r="C30" s="1" t="n">
        <x:v>3</x:v>
      </x:c>
      <x:c r="D30" s="1" t="str">
        <x:v>Transport</x:v>
      </x:c>
      <x:c r="E30" s="8" t="str">
        <x:f>IF(COUNTIFS($J$6:$J$14,D30)=0,"Unmapped",INDEX($K$6:$K$14,MATCH(D30,$J$6:$J$14,0)))</x:f>
        <x:v>Expense</x:v>
      </x:c>
      <x:c r="F30" s="1" t="str">
        <x:v>Metro card</x:v>
      </x:c>
      <x:c r="G30" s="7" t="n">
        <x:v>2350</x:v>
      </x:c>
      <x:c r="H30" s="8" t="n">
        <x:f>COUNTIFS($B$6:$B$60,B30,$D$6:$D$60,D30,$F$6:$F$60,F30,$G$6:$G$60,G30)</x:f>
        <x:v>1</x:v>
      </x:c>
      <x:c r="I30" s="8" t="b">
        <x:f>C30=MONTH(B30)</x:f>
        <x:v>1</x:v>
      </x:c>
      <x:c r="J30" s="1"/>
      <x:c r="K30" s="1"/>
      <x:c r="L30" s="1"/>
    </x:row>
    <x:row r="31" ht="23" customHeight="1">
      <x:c r="A31" s="1" t="n">
        <x:v>30</x:v>
      </x:c>
      <x:c r="B31" s="6" t="n">
        <x:v>44628</x:v>
      </x:c>
      <x:c r="C31" s="1" t="n">
        <x:v>3</x:v>
      </x:c>
      <x:c r="D31" s="1" t="str">
        <x:v>Marketing</x:v>
      </x:c>
      <x:c r="E31" s="8" t="str">
        <x:f>IF(COUNTIFS($J$6:$J$14,D31)=0,"Unmapped",INDEX($K$6:$K$14,MATCH(D31,$J$6:$J$14,0)))</x:f>
        <x:v>Expense</x:v>
      </x:c>
      <x:c r="F31" s="1" t="str">
        <x:v>Ad Material/Promotions</x:v>
      </x:c>
      <x:c r="G31" s="7" t="n">
        <x:v>2400</x:v>
      </x:c>
      <x:c r="H31" s="8" t="n">
        <x:f>COUNTIFS($B$6:$B$60,B31,$D$6:$D$60,D31,$F$6:$F$60,F31,$G$6:$G$60,G31)</x:f>
        <x:v>1</x:v>
      </x:c>
      <x:c r="I31" s="8" t="b">
        <x:f>C31=MONTH(B31)</x:f>
        <x:v>1</x:v>
      </x:c>
      <x:c r="J31" s="1"/>
      <x:c r="K31" s="1"/>
      <x:c r="L31" s="1"/>
    </x:row>
    <x:row r="32" ht="23" customHeight="1">
      <x:c r="A32" s="1" t="n">
        <x:v>31</x:v>
      </x:c>
      <x:c r="B32" s="6" t="n">
        <x:v>44631</x:v>
      </x:c>
      <x:c r="C32" s="1" t="n">
        <x:v>3</x:v>
      </x:c>
      <x:c r="D32" s="1" t="str">
        <x:v>Business Insurance</x:v>
      </x:c>
      <x:c r="E32" s="8" t="str">
        <x:f>IF(COUNTIFS($J$6:$J$14,D32)=0,"Unmapped",INDEX($K$6:$K$14,MATCH(D32,$J$6:$J$14,0)))</x:f>
        <x:v>Expense</x:v>
      </x:c>
      <x:c r="F32" s="1" t="str">
        <x:v>Insurance Premium</x:v>
      </x:c>
      <x:c r="G32" s="7" t="n">
        <x:v>400</x:v>
      </x:c>
      <x:c r="H32" s="8" t="n">
        <x:f>COUNTIFS($B$6:$B$60,B32,$D$6:$D$60,D32,$F$6:$F$60,F32,$G$6:$G$60,G32)</x:f>
        <x:v>1</x:v>
      </x:c>
      <x:c r="I32" s="8" t="b">
        <x:f>C32=MONTH(B32)</x:f>
        <x:v>1</x:v>
      </x:c>
      <x:c r="J32" s="1"/>
      <x:c r="K32" s="1"/>
      <x:c r="L32" s="1"/>
    </x:row>
    <x:row r="33" ht="23" customHeight="1">
      <x:c r="A33" s="1" t="n">
        <x:v>32</x:v>
      </x:c>
      <x:c r="B33" s="6" t="n">
        <x:v>44632</x:v>
      </x:c>
      <x:c r="C33" s="1" t="n">
        <x:v>3</x:v>
      </x:c>
      <x:c r="D33" s="1" t="str">
        <x:v>Business Insurance</x:v>
      </x:c>
      <x:c r="E33" s="8" t="str">
        <x:f>IF(COUNTIFS($J$6:$J$14,D33)=0,"Unmapped",INDEX($K$6:$K$14,MATCH(D33,$J$6:$J$14,0)))</x:f>
        <x:v>Expense</x:v>
      </x:c>
      <x:c r="F33" s="1" t="str">
        <x:v>Insurance Premium</x:v>
      </x:c>
      <x:c r="G33" s="7" t="n">
        <x:v>300</x:v>
      </x:c>
      <x:c r="H33" s="8" t="n">
        <x:f>COUNTIFS($B$6:$B$60,B33,$D$6:$D$60,D33,$F$6:$F$60,F33,$G$6:$G$60,G33)</x:f>
        <x:v>1</x:v>
      </x:c>
      <x:c r="I33" s="8" t="b">
        <x:f>C33=MONTH(B33)</x:f>
        <x:v>1</x:v>
      </x:c>
      <x:c r="J33" s="1"/>
      <x:c r="K33" s="1"/>
      <x:c r="L33" s="1"/>
    </x:row>
    <x:row r="34" ht="23" customHeight="1">
      <x:c r="A34" s="1" t="n">
        <x:v>33</x:v>
      </x:c>
      <x:c r="B34" s="6" t="n">
        <x:v>44632</x:v>
      </x:c>
      <x:c r="C34" s="1" t="n">
        <x:v>3</x:v>
      </x:c>
      <x:c r="D34" s="1" t="str">
        <x:v>Business Insurance</x:v>
      </x:c>
      <x:c r="E34" s="8" t="str">
        <x:f>IF(COUNTIFS($J$6:$J$14,D34)=0,"Unmapped",INDEX($K$6:$K$14,MATCH(D34,$J$6:$J$14,0)))</x:f>
        <x:v>Expense</x:v>
      </x:c>
      <x:c r="F34" s="1" t="str">
        <x:v>Insurance Premium</x:v>
      </x:c>
      <x:c r="G34" s="7" t="n">
        <x:v>350</x:v>
      </x:c>
      <x:c r="H34" s="8" t="n">
        <x:f>COUNTIFS($B$6:$B$60,B34,$D$6:$D$60,D34,$F$6:$F$60,F34,$G$6:$G$60,G34)</x:f>
        <x:v>1</x:v>
      </x:c>
      <x:c r="I34" s="8" t="b">
        <x:f>C34=MONTH(B34)</x:f>
        <x:v>1</x:v>
      </x:c>
      <x:c r="J34" s="1"/>
      <x:c r="K34" s="1"/>
      <x:c r="L34" s="1"/>
    </x:row>
    <x:row r="35" ht="23" customHeight="1">
      <x:c r="A35" s="1" t="n">
        <x:v>34</x:v>
      </x:c>
      <x:c r="B35" s="6" t="n">
        <x:v>44634</x:v>
      </x:c>
      <x:c r="C35" s="1" t="n">
        <x:v>3</x:v>
      </x:c>
      <x:c r="D35" s="1" t="str">
        <x:v>Other Expenses</x:v>
      </x:c>
      <x:c r="E35" s="8" t="str">
        <x:f>IF(COUNTIFS($J$6:$J$14,D35)=0,"Unmapped",INDEX($K$6:$K$14,MATCH(D35,$J$6:$J$14,0)))</x:f>
        <x:v>Expense</x:v>
      </x:c>
      <x:c r="F35" s="1" t="str">
        <x:v>Bought new clothes</x:v>
      </x:c>
      <x:c r="G35" s="7" t="n">
        <x:v>1200</x:v>
      </x:c>
      <x:c r="H35" s="8" t="n">
        <x:f>COUNTIFS($B$6:$B$60,B35,$D$6:$D$60,D35,$F$6:$F$60,F35,$G$6:$G$60,G35)</x:f>
        <x:v>1</x:v>
      </x:c>
      <x:c r="I35" s="8" t="b">
        <x:f>C35=MONTH(B35)</x:f>
        <x:v>1</x:v>
      </x:c>
      <x:c r="J35" s="1"/>
      <x:c r="K35" s="1"/>
      <x:c r="L35" s="1"/>
    </x:row>
    <x:row r="36" ht="23" customHeight="1">
      <x:c r="A36" s="1" t="n">
        <x:v>35</x:v>
      </x:c>
      <x:c r="B36" s="6" t="n">
        <x:v>44648</x:v>
      </x:c>
      <x:c r="C36" s="1" t="n">
        <x:v>3</x:v>
      </x:c>
      <x:c r="D36" s="1" t="str">
        <x:v>Services</x:v>
      </x:c>
      <x:c r="E36" s="8" t="str">
        <x:f>IF(COUNTIFS($J$6:$J$14,D36)=0,"Unmapped",INDEX($K$6:$K$14,MATCH(D36,$J$6:$J$14,0)))</x:f>
        <x:v>Income</x:v>
      </x:c>
      <x:c r="F36" s="1" t="str">
        <x:v>Commissions from each sale/service</x:v>
      </x:c>
      <x:c r="G36" s="7" t="n">
        <x:v>5000</x:v>
      </x:c>
      <x:c r="H36" s="8" t="n">
        <x:f>COUNTIFS($B$6:$B$60,B36,$D$6:$D$60,D36,$F$6:$F$60,F36,$G$6:$G$60,G36)</x:f>
        <x:v>1</x:v>
      </x:c>
      <x:c r="I36" s="8" t="b">
        <x:f>C36=MONTH(B36)</x:f>
        <x:v>1</x:v>
      </x:c>
      <x:c r="J36" s="1"/>
      <x:c r="K36" s="1"/>
      <x:c r="L36" s="1"/>
    </x:row>
    <x:row r="37" ht="23" customHeight="1">
      <x:c r="A37" s="1" t="n">
        <x:v>36</x:v>
      </x:c>
      <x:c r="B37" s="6" t="n">
        <x:v>44648</x:v>
      </x:c>
      <x:c r="C37" s="1" t="n">
        <x:v>3</x:v>
      </x:c>
      <x:c r="D37" s="1" t="str">
        <x:v>Sales</x:v>
      </x:c>
      <x:c r="E37" s="8" t="str">
        <x:f>IF(COUNTIFS($J$6:$J$14,D37)=0,"Unmapped",INDEX($K$6:$K$14,MATCH(D37,$J$6:$J$14,0)))</x:f>
        <x:v>Income</x:v>
      </x:c>
      <x:c r="F37" s="1" t="str">
        <x:v>Pet - Food/Toys etc</x:v>
      </x:c>
      <x:c r="G37" s="7" t="n">
        <x:v>8000</x:v>
      </x:c>
      <x:c r="H37" s="8" t="n">
        <x:f>COUNTIFS($B$6:$B$60,B37,$D$6:$D$60,D37,$F$6:$F$60,F37,$G$6:$G$60,G37)</x:f>
        <x:v>1</x:v>
      </x:c>
      <x:c r="I37" s="8" t="b">
        <x:f>C37=MONTH(B37)</x:f>
        <x:v>1</x:v>
      </x:c>
      <x:c r="J37" s="1"/>
      <x:c r="K37" s="1"/>
      <x:c r="L37" s="1"/>
    </x:row>
    <x:row r="38" ht="23" customHeight="1">
      <x:c r="A38" s="1" t="n">
        <x:v>37</x:v>
      </x:c>
      <x:c r="B38" s="6" t="n">
        <x:v>44648</x:v>
      </x:c>
      <x:c r="C38" s="1" t="n">
        <x:v>3</x:v>
      </x:c>
      <x:c r="D38" s="1" t="str">
        <x:v>Other Income</x:v>
      </x:c>
      <x:c r="E38" s="8" t="str">
        <x:f>IF(COUNTIFS($J$6:$J$14,D38)=0,"Unmapped",INDEX($K$6:$K$14,MATCH(D38,$J$6:$J$14,0)))</x:f>
        <x:v>Income</x:v>
      </x:c>
      <x:c r="F38" s="1" t="str">
        <x:v>Pet grooming/Housing etc</x:v>
      </x:c>
      <x:c r="G38" s="7" t="n">
        <x:v>7000</x:v>
      </x:c>
      <x:c r="H38" s="8" t="n">
        <x:f>COUNTIFS($B$6:$B$60,B38,$D$6:$D$60,D38,$F$6:$F$60,F38,$G$6:$G$60,G38)</x:f>
        <x:v>1</x:v>
      </x:c>
      <x:c r="I38" s="8" t="b">
        <x:f>C38=MONTH(B38)</x:f>
        <x:v>1</x:v>
      </x:c>
      <x:c r="J38" s="1"/>
      <x:c r="K38" s="1"/>
      <x:c r="L38" s="1"/>
    </x:row>
    <x:row r="39" ht="23" customHeight="1">
      <x:c r="A39" s="1" t="n">
        <x:v>38</x:v>
      </x:c>
      <x:c r="B39" s="6" t="n">
        <x:v>44652</x:v>
      </x:c>
      <x:c r="C39" s="1" t="n">
        <x:v>4</x:v>
      </x:c>
      <x:c r="D39" s="1" t="str">
        <x:v>Rent</x:v>
      </x:c>
      <x:c r="E39" s="8" t="str">
        <x:f>IF(COUNTIFS($J$6:$J$14,D39)=0,"Unmapped",INDEX($K$6:$K$14,MATCH(D39,$J$6:$J$14,0)))</x:f>
        <x:v>Expense</x:v>
      </x:c>
      <x:c r="F39" s="1" t="str">
        <x:v>Store space shared with Mall co-renter</x:v>
      </x:c>
      <x:c r="G39" s="7" t="n">
        <x:v>7000</x:v>
      </x:c>
      <x:c r="H39" s="8" t="n">
        <x:f>COUNTIFS($B$6:$B$60,B39,$D$6:$D$60,D39,$F$6:$F$60,F39,$G$6:$G$60,G39)</x:f>
        <x:v>1</x:v>
      </x:c>
      <x:c r="I39" s="8" t="b">
        <x:f>C39=MONTH(B39)</x:f>
        <x:v>1</x:v>
      </x:c>
      <x:c r="J39" s="1"/>
      <x:c r="K39" s="1"/>
      <x:c r="L39" s="1"/>
    </x:row>
    <x:row r="40" ht="23" customHeight="1">
      <x:c r="A40" s="1" t="n">
        <x:v>39</x:v>
      </x:c>
      <x:c r="B40" s="6" t="n">
        <x:v>44652</x:v>
      </x:c>
      <x:c r="C40" s="1" t="n">
        <x:v>4</x:v>
      </x:c>
      <x:c r="D40" s="1" t="str">
        <x:v>Utilities</x:v>
      </x:c>
      <x:c r="E40" s="8" t="str">
        <x:f>IF(COUNTIFS($J$6:$J$14,D40)=0,"Unmapped",INDEX($K$6:$K$14,MATCH(D40,$J$6:$J$14,0)))</x:f>
        <x:v>Expense</x:v>
      </x:c>
      <x:c r="F40" s="1" t="str">
        <x:v>Higher month than usual</x:v>
      </x:c>
      <x:c r="G40" s="7" t="n">
        <x:v>4450</x:v>
      </x:c>
      <x:c r="H40" s="8" t="n">
        <x:f>COUNTIFS($B$6:$B$60,B40,$D$6:$D$60,D40,$F$6:$F$60,F40,$G$6:$G$60,G40)</x:f>
        <x:v>1</x:v>
      </x:c>
      <x:c r="I40" s="8" t="b">
        <x:f>C40=MONTH(B40)</x:f>
        <x:v>1</x:v>
      </x:c>
      <x:c r="J40" s="1"/>
      <x:c r="K40" s="1"/>
      <x:c r="L40" s="1"/>
    </x:row>
    <x:row r="41" ht="23" customHeight="1">
      <x:c r="A41" s="1" t="n">
        <x:v>40</x:v>
      </x:c>
      <x:c r="B41" s="6" t="n">
        <x:v>44652</x:v>
      </x:c>
      <x:c r="C41" s="1" t="n">
        <x:v>4</x:v>
      </x:c>
      <x:c r="D41" s="1" t="str">
        <x:v>Transport</x:v>
      </x:c>
      <x:c r="E41" s="8" t="str">
        <x:f>IF(COUNTIFS($J$6:$J$14,D41)=0,"Unmapped",INDEX($K$6:$K$14,MATCH(D41,$J$6:$J$14,0)))</x:f>
        <x:v>Expense</x:v>
      </x:c>
      <x:c r="F41" s="1" t="str">
        <x:v>Metro card</x:v>
      </x:c>
      <x:c r="G41" s="7" t="n">
        <x:v>2290</x:v>
      </x:c>
      <x:c r="H41" s="8" t="n">
        <x:f>COUNTIFS($B$6:$B$60,B41,$D$6:$D$60,D41,$F$6:$F$60,F41,$G$6:$G$60,G41)</x:f>
        <x:v>1</x:v>
      </x:c>
      <x:c r="I41" s="8" t="b">
        <x:f>C41=MONTH(B41)</x:f>
        <x:v>1</x:v>
      </x:c>
      <x:c r="J41" s="1"/>
      <x:c r="K41" s="1"/>
      <x:c r="L41" s="1"/>
    </x:row>
    <x:row r="42" ht="23" customHeight="1">
      <x:c r="A42" s="1" t="n">
        <x:v>41</x:v>
      </x:c>
      <x:c r="B42" s="6" t="n">
        <x:v>44659</x:v>
      </x:c>
      <x:c r="C42" s="1" t="n">
        <x:v>4</x:v>
      </x:c>
      <x:c r="D42" s="1" t="str">
        <x:v>Marketing</x:v>
      </x:c>
      <x:c r="E42" s="8" t="str">
        <x:f>IF(COUNTIFS($J$6:$J$14,D42)=0,"Unmapped",INDEX($K$6:$K$14,MATCH(D42,$J$6:$J$14,0)))</x:f>
        <x:v>Expense</x:v>
      </x:c>
      <x:c r="F42" s="1" t="str">
        <x:v>Ad Material/Promotions</x:v>
      </x:c>
      <x:c r="G42" s="7" t="n">
        <x:v>2500</x:v>
      </x:c>
      <x:c r="H42" s="8" t="n">
        <x:f>COUNTIFS($B$6:$B$60,B42,$D$6:$D$60,D42,$F$6:$F$60,F42,$G$6:$G$60,G42)</x:f>
        <x:v>1</x:v>
      </x:c>
      <x:c r="I42" s="8" t="b">
        <x:f>C42=MONTH(B42)</x:f>
        <x:v>1</x:v>
      </x:c>
      <x:c r="J42" s="1"/>
      <x:c r="K42" s="1"/>
      <x:c r="L42" s="1"/>
    </x:row>
    <x:row r="43" ht="23" customHeight="1">
      <x:c r="A43" s="1" t="n">
        <x:v>42</x:v>
      </x:c>
      <x:c r="B43" s="6" t="n">
        <x:v>44662</x:v>
      </x:c>
      <x:c r="C43" s="1" t="n">
        <x:v>4</x:v>
      </x:c>
      <x:c r="D43" s="1" t="str">
        <x:v>Business Insurance</x:v>
      </x:c>
      <x:c r="E43" s="8" t="str">
        <x:f>IF(COUNTIFS($J$6:$J$14,D43)=0,"Unmapped",INDEX($K$6:$K$14,MATCH(D43,$J$6:$J$14,0)))</x:f>
        <x:v>Expense</x:v>
      </x:c>
      <x:c r="F43" s="1" t="str">
        <x:v>Insurance Premium</x:v>
      </x:c>
      <x:c r="G43" s="7" t="n">
        <x:v>300</x:v>
      </x:c>
      <x:c r="H43" s="8" t="n">
        <x:f>COUNTIFS($B$6:$B$60,B43,$D$6:$D$60,D43,$F$6:$F$60,F43,$G$6:$G$60,G43)</x:f>
        <x:v>1</x:v>
      </x:c>
      <x:c r="I43" s="8" t="b">
        <x:f>C43=MONTH(B43)</x:f>
        <x:v>1</x:v>
      </x:c>
      <x:c r="J43" s="1"/>
      <x:c r="K43" s="1"/>
      <x:c r="L43" s="1"/>
    </x:row>
    <x:row r="44" ht="23" customHeight="1">
      <x:c r="A44" s="1" t="n">
        <x:v>43</x:v>
      </x:c>
      <x:c r="B44" s="6" t="n">
        <x:v>44663</x:v>
      </x:c>
      <x:c r="C44" s="1" t="n">
        <x:v>4</x:v>
      </x:c>
      <x:c r="D44" s="1" t="str">
        <x:v>Business Insurance</x:v>
      </x:c>
      <x:c r="E44" s="8" t="str">
        <x:f>IF(COUNTIFS($J$6:$J$14,D44)=0,"Unmapped",INDEX($K$6:$K$14,MATCH(D44,$J$6:$J$14,0)))</x:f>
        <x:v>Expense</x:v>
      </x:c>
      <x:c r="F44" s="1" t="str">
        <x:v>Insurance Premium</x:v>
      </x:c>
      <x:c r="G44" s="7" t="n">
        <x:v>300</x:v>
      </x:c>
      <x:c r="H44" s="8" t="n">
        <x:f>COUNTIFS($B$6:$B$60,B44,$D$6:$D$60,D44,$F$6:$F$60,F44,$G$6:$G$60,G44)</x:f>
        <x:v>1</x:v>
      </x:c>
      <x:c r="I44" s="8" t="b">
        <x:f>C44=MONTH(B44)</x:f>
        <x:v>1</x:v>
      </x:c>
      <x:c r="J44" s="1"/>
      <x:c r="K44" s="1"/>
      <x:c r="L44" s="1"/>
    </x:row>
    <x:row r="45" ht="23" customHeight="1">
      <x:c r="A45" s="1" t="n">
        <x:v>44</x:v>
      </x:c>
      <x:c r="B45" s="6" t="n">
        <x:v>44663</x:v>
      </x:c>
      <x:c r="C45" s="1" t="n">
        <x:v>4</x:v>
      </x:c>
      <x:c r="D45" s="1" t="str">
        <x:v>Business Insurance</x:v>
      </x:c>
      <x:c r="E45" s="8" t="str">
        <x:f>IF(COUNTIFS($J$6:$J$14,D45)=0,"Unmapped",INDEX($K$6:$K$14,MATCH(D45,$J$6:$J$14,0)))</x:f>
        <x:v>Expense</x:v>
      </x:c>
      <x:c r="F45" s="1" t="str">
        <x:v>Insurance Premium</x:v>
      </x:c>
      <x:c r="G45" s="7" t="n">
        <x:v>400</x:v>
      </x:c>
      <x:c r="H45" s="8" t="n">
        <x:f>COUNTIFS($B$6:$B$60,B45,$D$6:$D$60,D45,$F$6:$F$60,F45,$G$6:$G$60,G45)</x:f>
        <x:v>1</x:v>
      </x:c>
      <x:c r="I45" s="8" t="b">
        <x:f>C45=MONTH(B45)</x:f>
        <x:v>1</x:v>
      </x:c>
      <x:c r="J45" s="1"/>
      <x:c r="K45" s="1"/>
      <x:c r="L45" s="1"/>
    </x:row>
    <x:row r="46" ht="23" customHeight="1">
      <x:c r="A46" s="1" t="n">
        <x:v>45</x:v>
      </x:c>
      <x:c r="B46" s="6" t="n">
        <x:v>44665</x:v>
      </x:c>
      <x:c r="C46" s="1" t="n">
        <x:v>4</x:v>
      </x:c>
      <x:c r="D46" s="1" t="str">
        <x:v>Other Expenses</x:v>
      </x:c>
      <x:c r="E46" s="8" t="str">
        <x:f>IF(COUNTIFS($J$6:$J$14,D46)=0,"Unmapped",INDEX($K$6:$K$14,MATCH(D46,$J$6:$J$14,0)))</x:f>
        <x:v>Expense</x:v>
      </x:c>
      <x:c r="F46" s="1" t="str">
        <x:v>Bought new uniforms</x:v>
      </x:c>
      <x:c r="G46" s="7" t="n">
        <x:v>1450</x:v>
      </x:c>
      <x:c r="H46" s="8" t="n">
        <x:f>COUNTIFS($B$6:$B$60,B46,$D$6:$D$60,D46,$F$6:$F$60,F46,$G$6:$G$60,G46)</x:f>
        <x:v>1</x:v>
      </x:c>
      <x:c r="I46" s="8" t="b">
        <x:f>C46=MONTH(B46)</x:f>
        <x:v>1</x:v>
      </x:c>
      <x:c r="J46" s="1"/>
      <x:c r="K46" s="1"/>
      <x:c r="L46" s="1"/>
    </x:row>
    <x:row r="47" ht="23" customHeight="1">
      <x:c r="A47" s="1" t="n">
        <x:v>46</x:v>
      </x:c>
      <x:c r="B47" s="6" t="n">
        <x:v>44679</x:v>
      </x:c>
      <x:c r="C47" s="1" t="n">
        <x:v>4</x:v>
      </x:c>
      <x:c r="D47" s="1" t="str">
        <x:v>Services</x:v>
      </x:c>
      <x:c r="E47" s="8" t="str">
        <x:f>IF(COUNTIFS($J$6:$J$14,D47)=0,"Unmapped",INDEX($K$6:$K$14,MATCH(D47,$J$6:$J$14,0)))</x:f>
        <x:v>Income</x:v>
      </x:c>
      <x:c r="F47" s="1" t="str">
        <x:v>Commissions from each sale/service</x:v>
      </x:c>
      <x:c r="G47" s="7" t="n">
        <x:v>2500</x:v>
      </x:c>
      <x:c r="H47" s="8" t="n">
        <x:f>COUNTIFS($B$6:$B$60,B47,$D$6:$D$60,D47,$F$6:$F$60,F47,$G$6:$G$60,G47)</x:f>
        <x:v>1</x:v>
      </x:c>
      <x:c r="I47" s="8" t="b">
        <x:f>C47=MONTH(B47)</x:f>
        <x:v>1</x:v>
      </x:c>
      <x:c r="J47" s="1"/>
      <x:c r="K47" s="1"/>
      <x:c r="L47" s="1"/>
    </x:row>
    <x:row r="48" ht="23" customHeight="1">
      <x:c r="A48" s="1" t="n">
        <x:v>47</x:v>
      </x:c>
      <x:c r="B48" s="6" t="n">
        <x:v>44679</x:v>
      </x:c>
      <x:c r="C48" s="1" t="n">
        <x:v>4</x:v>
      </x:c>
      <x:c r="D48" s="1" t="str">
        <x:v>Sales</x:v>
      </x:c>
      <x:c r="E48" s="8" t="str">
        <x:f>IF(COUNTIFS($J$6:$J$14,D48)=0,"Unmapped",INDEX($K$6:$K$14,MATCH(D48,$J$6:$J$14,0)))</x:f>
        <x:v>Income</x:v>
      </x:c>
      <x:c r="F48" s="1" t="str">
        <x:v>Pet - Food/Toys etc</x:v>
      </x:c>
      <x:c r="G48" s="7" t="n">
        <x:v>6600</x:v>
      </x:c>
      <x:c r="H48" s="8" t="n">
        <x:f>COUNTIFS($B$6:$B$60,B48,$D$6:$D$60,D48,$F$6:$F$60,F48,$G$6:$G$60,G48)</x:f>
        <x:v>1</x:v>
      </x:c>
      <x:c r="I48" s="8" t="b">
        <x:f>C48=MONTH(B48)</x:f>
        <x:v>1</x:v>
      </x:c>
      <x:c r="J48" s="1"/>
      <x:c r="K48" s="1"/>
      <x:c r="L48" s="1"/>
    </x:row>
    <x:row r="49" ht="23" customHeight="1">
      <x:c r="A49" s="1" t="n">
        <x:v>48</x:v>
      </x:c>
      <x:c r="B49" s="6" t="n">
        <x:v>44679</x:v>
      </x:c>
      <x:c r="C49" s="1" t="n">
        <x:v>4</x:v>
      </x:c>
      <x:c r="D49" s="1" t="str">
        <x:v>Other Income</x:v>
      </x:c>
      <x:c r="E49" s="8" t="str">
        <x:f>IF(COUNTIFS($J$6:$J$14,D49)=0,"Unmapped",INDEX($K$6:$K$14,MATCH(D49,$J$6:$J$14,0)))</x:f>
        <x:v>Income</x:v>
      </x:c>
      <x:c r="F49" s="1" t="str">
        <x:v>Pet grooming/Housing etc</x:v>
      </x:c>
      <x:c r="G49" s="7" t="n">
        <x:v>7000</x:v>
      </x:c>
      <x:c r="H49" s="8" t="n">
        <x:f>COUNTIFS($B$6:$B$60,B49,$D$6:$D$60,D49,$F$6:$F$60,F49,$G$6:$G$60,G49)</x:f>
        <x:v>1</x:v>
      </x:c>
      <x:c r="I49" s="8" t="b">
        <x:f>C49=MONTH(B49)</x:f>
        <x:v>1</x:v>
      </x:c>
      <x:c r="J49" s="1"/>
      <x:c r="K49" s="1"/>
      <x:c r="L49" s="1"/>
    </x:row>
    <x:row r="50" ht="23" customHeight="1">
      <x:c r="A50" s="1" t="n">
        <x:v>49</x:v>
      </x:c>
      <x:c r="B50" s="6" t="n">
        <x:v>44682</x:v>
      </x:c>
      <x:c r="C50" s="1" t="n">
        <x:v>5</x:v>
      </x:c>
      <x:c r="D50" s="1" t="str">
        <x:v>Rent</x:v>
      </x:c>
      <x:c r="E50" s="8" t="str">
        <x:f>IF(COUNTIFS($J$6:$J$14,D50)=0,"Unmapped",INDEX($K$6:$K$14,MATCH(D50,$J$6:$J$14,0)))</x:f>
        <x:v>Expense</x:v>
      </x:c>
      <x:c r="F50" s="1" t="str">
        <x:v>Store space shared with Mall co-renter</x:v>
      </x:c>
      <x:c r="G50" s="7" t="n">
        <x:v>7000</x:v>
      </x:c>
      <x:c r="H50" s="8" t="n">
        <x:f>COUNTIFS($B$6:$B$60,B50,$D$6:$D$60,D50,$F$6:$F$60,F50,$G$6:$G$60,G50)</x:f>
        <x:v>1</x:v>
      </x:c>
      <x:c r="I50" s="8" t="b">
        <x:f>C50=MONTH(B50)</x:f>
        <x:v>1</x:v>
      </x:c>
      <x:c r="J50" s="1"/>
      <x:c r="K50" s="1"/>
      <x:c r="L50" s="1"/>
    </x:row>
    <x:row r="51" ht="23" customHeight="1">
      <x:c r="A51" s="1" t="n">
        <x:v>50</x:v>
      </x:c>
      <x:c r="B51" s="6" t="n">
        <x:v>44682</x:v>
      </x:c>
      <x:c r="C51" s="1" t="n">
        <x:v>5</x:v>
      </x:c>
      <x:c r="D51" s="1" t="str">
        <x:v>Utilities</x:v>
      </x:c>
      <x:c r="E51" s="8" t="str">
        <x:f>IF(COUNTIFS($J$6:$J$14,D51)=0,"Unmapped",INDEX($K$6:$K$14,MATCH(D51,$J$6:$J$14,0)))</x:f>
        <x:v>Expense</x:v>
      </x:c>
      <x:c r="F51" s="1" t="str">
        <x:v>Higher month than usual</x:v>
      </x:c>
      <x:c r="G51" s="18" t="n">
        <x:v>3969</x:v>
      </x:c>
      <x:c r="H51" s="8" t="n">
        <x:f>COUNTIFS($B$6:$B$60,B51,$D$6:$D$60,D51,$F$6:$F$60,F51,$G$6:$G$60,G51)</x:f>
        <x:v>1</x:v>
      </x:c>
      <x:c r="I51" s="8" t="b">
        <x:f>C51=MONTH(B51)</x:f>
        <x:v>1</x:v>
      </x:c>
      <x:c r="J51" s="1"/>
      <x:c r="K51" s="1"/>
      <x:c r="L51" s="1"/>
    </x:row>
    <x:row r="52" ht="23" customHeight="1">
      <x:c r="A52" s="1" t="n">
        <x:v>51</x:v>
      </x:c>
      <x:c r="B52" s="6" t="n">
        <x:v>44682</x:v>
      </x:c>
      <x:c r="C52" s="1" t="n">
        <x:v>5</x:v>
      </x:c>
      <x:c r="D52" s="1" t="str">
        <x:v>Transport</x:v>
      </x:c>
      <x:c r="E52" s="8" t="str">
        <x:f>IF(COUNTIFS($J$6:$J$14,D52)=0,"Unmapped",INDEX($K$6:$K$14,MATCH(D52,$J$6:$J$14,0)))</x:f>
        <x:v>Expense</x:v>
      </x:c>
      <x:c r="F52" s="1" t="str">
        <x:v>Metro card</x:v>
      </x:c>
      <x:c r="G52" s="7" t="n">
        <x:v>2900</x:v>
      </x:c>
      <x:c r="H52" s="8" t="n">
        <x:f>COUNTIFS($B$6:$B$60,B52,$D$6:$D$60,D52,$F$6:$F$60,F52,$G$6:$G$60,G52)</x:f>
        <x:v>1</x:v>
      </x:c>
      <x:c r="I52" s="8" t="b">
        <x:f>C52=MONTH(B52)</x:f>
        <x:v>1</x:v>
      </x:c>
      <x:c r="J52" s="1"/>
      <x:c r="K52" s="1"/>
      <x:c r="L52" s="1"/>
    </x:row>
    <x:row r="53" ht="23" customHeight="1">
      <x:c r="A53" s="1" t="n">
        <x:v>52</x:v>
      </x:c>
      <x:c r="B53" s="6" t="n">
        <x:v>44689</x:v>
      </x:c>
      <x:c r="C53" s="1" t="n">
        <x:v>5</x:v>
      </x:c>
      <x:c r="D53" s="1" t="str">
        <x:v>Marketing</x:v>
      </x:c>
      <x:c r="E53" s="8" t="str">
        <x:f>IF(COUNTIFS($J$6:$J$14,D53)=0,"Unmapped",INDEX($K$6:$K$14,MATCH(D53,$J$6:$J$14,0)))</x:f>
        <x:v>Expense</x:v>
      </x:c>
      <x:c r="F53" s="1" t="str">
        <x:v>Ad Material/Promotions</x:v>
      </x:c>
      <x:c r="G53" s="7" t="n">
        <x:v>2500</x:v>
      </x:c>
      <x:c r="H53" s="8" t="n">
        <x:f>COUNTIFS($B$6:$B$60,B53,$D$6:$D$60,D53,$F$6:$F$60,F53,$G$6:$G$60,G53)</x:f>
        <x:v>1</x:v>
      </x:c>
      <x:c r="I53" s="8" t="b">
        <x:f>C53=MONTH(B53)</x:f>
        <x:v>1</x:v>
      </x:c>
      <x:c r="J53" s="1"/>
      <x:c r="K53" s="1"/>
      <x:c r="L53" s="1"/>
    </x:row>
    <x:row r="54" ht="23" customHeight="1">
      <x:c r="A54" s="1" t="n">
        <x:v>53</x:v>
      </x:c>
      <x:c r="B54" s="6" t="n">
        <x:v>44692</x:v>
      </x:c>
      <x:c r="C54" s="1" t="n">
        <x:v>5</x:v>
      </x:c>
      <x:c r="D54" s="1" t="str">
        <x:v>Business Insurance</x:v>
      </x:c>
      <x:c r="E54" s="8" t="str">
        <x:f>IF(COUNTIFS($J$6:$J$14,D54)=0,"Unmapped",INDEX($K$6:$K$14,MATCH(D54,$J$6:$J$14,0)))</x:f>
        <x:v>Expense</x:v>
      </x:c>
      <x:c r="F54" s="1" t="str">
        <x:v>Insurance Premium</x:v>
      </x:c>
      <x:c r="G54" s="7" t="n">
        <x:v>300</x:v>
      </x:c>
      <x:c r="H54" s="8" t="n">
        <x:f>COUNTIFS($B$6:$B$60,B54,$D$6:$D$60,D54,$F$6:$F$60,F54,$G$6:$G$60,G54)</x:f>
        <x:v>1</x:v>
      </x:c>
      <x:c r="I54" s="8" t="b">
        <x:f>C54=MONTH(B54)</x:f>
        <x:v>1</x:v>
      </x:c>
      <x:c r="J54" s="1"/>
      <x:c r="K54" s="1"/>
      <x:c r="L54" s="1"/>
    </x:row>
    <x:row r="55" ht="23" customHeight="1">
      <x:c r="A55" s="1" t="n">
        <x:v>54</x:v>
      </x:c>
      <x:c r="B55" s="6" t="n">
        <x:v>44693</x:v>
      </x:c>
      <x:c r="C55" s="1" t="n">
        <x:v>5</x:v>
      </x:c>
      <x:c r="D55" s="1" t="str">
        <x:v>Business Insurance</x:v>
      </x:c>
      <x:c r="E55" s="8" t="str">
        <x:f>IF(COUNTIFS($J$6:$J$14,D55)=0,"Unmapped",INDEX($K$6:$K$14,MATCH(D55,$J$6:$J$14,0)))</x:f>
        <x:v>Expense</x:v>
      </x:c>
      <x:c r="F55" s="1" t="str">
        <x:v>Insurance Premium</x:v>
      </x:c>
      <x:c r="G55" s="7" t="n">
        <x:v>400</x:v>
      </x:c>
      <x:c r="H55" s="8" t="n">
        <x:f>COUNTIFS($B$6:$B$60,B55,$D$6:$D$60,D55,$F$6:$F$60,F55,$G$6:$G$60,G55)</x:f>
        <x:v>1</x:v>
      </x:c>
      <x:c r="I55" s="8" t="b">
        <x:f>C55=MONTH(B55)</x:f>
        <x:v>1</x:v>
      </x:c>
      <x:c r="J55" s="1"/>
      <x:c r="K55" s="1"/>
      <x:c r="L55" s="1"/>
    </x:row>
    <x:row r="56" ht="23" customHeight="1">
      <x:c r="A56" s="1" t="n">
        <x:v>55</x:v>
      </x:c>
      <x:c r="B56" s="6" t="n">
        <x:v>44693</x:v>
      </x:c>
      <x:c r="C56" s="1" t="n">
        <x:v>5</x:v>
      </x:c>
      <x:c r="D56" s="1" t="str">
        <x:v>Business Insurance</x:v>
      </x:c>
      <x:c r="E56" s="8" t="str">
        <x:f>IF(COUNTIFS($J$6:$J$14,D56)=0,"Unmapped",INDEX($K$6:$K$14,MATCH(D56,$J$6:$J$14,0)))</x:f>
        <x:v>Expense</x:v>
      </x:c>
      <x:c r="F56" s="1" t="str">
        <x:v>Insurance Premium</x:v>
      </x:c>
      <x:c r="G56" s="7" t="n">
        <x:v>300</x:v>
      </x:c>
      <x:c r="H56" s="8" t="n">
        <x:f>COUNTIFS($B$6:$B$60,B56,$D$6:$D$60,D56,$F$6:$F$60,F56,$G$6:$G$60,G56)</x:f>
        <x:v>1</x:v>
      </x:c>
      <x:c r="I56" s="8" t="b">
        <x:f>C56=MONTH(B56)</x:f>
        <x:v>1</x:v>
      </x:c>
      <x:c r="J56" s="1"/>
      <x:c r="K56" s="1"/>
      <x:c r="L56" s="1"/>
    </x:row>
    <x:row r="57" ht="23" customHeight="1">
      <x:c r="A57" s="1" t="n">
        <x:v>56</x:v>
      </x:c>
      <x:c r="B57" s="6" t="n">
        <x:v>44695</x:v>
      </x:c>
      <x:c r="C57" s="1" t="n">
        <x:v>5</x:v>
      </x:c>
      <x:c r="D57" s="1" t="str">
        <x:v>Other Expenses</x:v>
      </x:c>
      <x:c r="E57" s="8" t="str">
        <x:f>IF(COUNTIFS($J$6:$J$14,D57)=0,"Unmapped",INDEX($K$6:$K$14,MATCH(D57,$J$6:$J$14,0)))</x:f>
        <x:v>Expense</x:v>
      </x:c>
      <x:c r="F57" s="1" t="str">
        <x:v>Bought new uniforms</x:v>
      </x:c>
      <x:c r="G57" s="7" t="n">
        <x:v>1320</x:v>
      </x:c>
      <x:c r="H57" s="8" t="n">
        <x:f>COUNTIFS($B$6:$B$60,B57,$D$6:$D$60,D57,$F$6:$F$60,F57,$G$6:$G$60,G57)</x:f>
        <x:v>1</x:v>
      </x:c>
      <x:c r="I57" s="8" t="b">
        <x:f>C57=MONTH(B57)</x:f>
        <x:v>1</x:v>
      </x:c>
      <x:c r="J57" s="1"/>
      <x:c r="K57" s="1"/>
      <x:c r="L57" s="1"/>
    </x:row>
    <x:row r="58" ht="23" customHeight="1">
      <x:c r="A58" s="1" t="n">
        <x:v>57</x:v>
      </x:c>
      <x:c r="B58" s="6" t="n">
        <x:v>44709</x:v>
      </x:c>
      <x:c r="C58" s="1" t="n">
        <x:v>5</x:v>
      </x:c>
      <x:c r="D58" s="1" t="str">
        <x:v>Services</x:v>
      </x:c>
      <x:c r="E58" s="8" t="str">
        <x:f>IF(COUNTIFS($J$6:$J$14,D58)=0,"Unmapped",INDEX($K$6:$K$14,MATCH(D58,$J$6:$J$14,0)))</x:f>
        <x:v>Income</x:v>
      </x:c>
      <x:c r="F58" s="1" t="str">
        <x:v>Commissions from each sale/service</x:v>
      </x:c>
      <x:c r="G58" s="7" t="n">
        <x:v>4000</x:v>
      </x:c>
      <x:c r="H58" s="8" t="n">
        <x:f>COUNTIFS($B$6:$B$60,B58,$D$6:$D$60,D58,$F$6:$F$60,F58,$G$6:$G$60,G58)</x:f>
        <x:v>1</x:v>
      </x:c>
      <x:c r="I58" s="8" t="b">
        <x:f>C58=MONTH(B58)</x:f>
        <x:v>1</x:v>
      </x:c>
      <x:c r="J58" s="1"/>
      <x:c r="K58" s="1"/>
      <x:c r="L58" s="1"/>
    </x:row>
    <x:row r="59" ht="23" customHeight="1">
      <x:c r="A59" s="1" t="n">
        <x:v>58</x:v>
      </x:c>
      <x:c r="B59" s="6" t="n">
        <x:v>44709</x:v>
      </x:c>
      <x:c r="C59" s="1" t="n">
        <x:v>5</x:v>
      </x:c>
      <x:c r="D59" s="1" t="str">
        <x:v>Sales</x:v>
      </x:c>
      <x:c r="E59" s="8" t="str">
        <x:f>IF(COUNTIFS($J$6:$J$14,D59)=0,"Unmapped",INDEX($K$6:$K$14,MATCH(D59,$J$6:$J$14,0)))</x:f>
        <x:v>Income</x:v>
      </x:c>
      <x:c r="F59" s="1" t="str">
        <x:v>Pet - Food/Toys etc</x:v>
      </x:c>
      <x:c r="G59" s="7" t="n">
        <x:v>3000</x:v>
      </x:c>
      <x:c r="H59" s="8" t="n">
        <x:f>COUNTIFS($B$6:$B$60,B59,$D$6:$D$60,D59,$F$6:$F$60,F59,$G$6:$G$60,G59)</x:f>
        <x:v>1</x:v>
      </x:c>
      <x:c r="I59" s="8" t="b">
        <x:f>C59=MONTH(B59)</x:f>
        <x:v>1</x:v>
      </x:c>
      <x:c r="J59" s="1"/>
      <x:c r="K59" s="1"/>
      <x:c r="L59" s="1"/>
    </x:row>
    <x:row r="60" ht="23" customHeight="1">
      <x:c r="A60" s="1" t="n">
        <x:v>59</x:v>
      </x:c>
      <x:c r="B60" s="6" t="n">
        <x:v>44709</x:v>
      </x:c>
      <x:c r="C60" s="1" t="n">
        <x:v>5</x:v>
      </x:c>
      <x:c r="D60" s="1" t="str">
        <x:v>Other Income</x:v>
      </x:c>
      <x:c r="E60" s="8" t="str">
        <x:f>IF(COUNTIFS($J$6:$J$14,D60)=0,"Unmapped",INDEX($K$6:$K$14,MATCH(D60,$J$6:$J$14,0)))</x:f>
        <x:v>Income</x:v>
      </x:c>
      <x:c r="F60" s="1" t="str">
        <x:v>Pet grooming/Housing etc</x:v>
      </x:c>
      <x:c r="G60" s="7" t="n">
        <x:v>8800</x:v>
      </x:c>
      <x:c r="H60" s="8" t="n">
        <x:f>COUNTIFS($B$6:$B$60,B60,$D$6:$D$60,D60,$F$6:$F$60,F60,$G$6:$G$60,G60)</x:f>
        <x:v>1</x:v>
      </x:c>
      <x:c r="I60" s="8" t="b">
        <x:f>C60=MONTH(B60)</x:f>
        <x:v>1</x:v>
      </x:c>
      <x:c r="J60" s="1"/>
      <x:c r="K60" s="1"/>
      <x:c r="L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conditionalFormatting sqref="H6:H60">
    <x:cfRule type="cellIs" dxfId="0" priority="1" operator="greaterThan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2" t="str">
        <x:v>Budget by month and category | USD</x:v>
      </x:c>
      <x:c r="B2" s="1"/>
      <x:c r="C2" s="1"/>
      <x:c r="D2" s="1"/>
      <x:c r="E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</x:row>
    <x:row r="4" ht="23" customHeight="1">
      <x:c r="A4" s="1"/>
      <x:c r="B4" s="1"/>
      <x:c r="C4" s="1"/>
      <x:c r="D4" s="1"/>
      <x:c r="E4" s="1"/>
    </x:row>
    <x:row r="5" ht="30" customHeight="1">
      <x:c r="A5" s="5" t="str">
        <x:v>Month no.</x:v>
      </x:c>
      <x:c r="B5" s="5" t="str">
        <x:v>Category</x:v>
      </x:c>
      <x:c r="C5" s="5" t="str">
        <x:v>Type</x:v>
      </x:c>
      <x:c r="D5" s="5" t="str">
        <x:v>Budget USD</x:v>
      </x:c>
      <x:c r="E5" s="1"/>
    </x:row>
    <x:row r="6" ht="23" customHeight="1">
      <x:c r="A6" s="1" t="n">
        <x:v>1</x:v>
      </x:c>
      <x:c r="B6" s="1" t="str">
        <x:v>Sales</x:v>
      </x:c>
      <x:c r="C6" s="1" t="str">
        <x:v>Income</x:v>
      </x:c>
      <x:c r="D6" s="7" t="n">
        <x:v>6000</x:v>
      </x:c>
      <x:c r="E6" s="1"/>
    </x:row>
    <x:row r="7" ht="23" customHeight="1">
      <x:c r="A7" s="1" t="n">
        <x:v>2</x:v>
      </x:c>
      <x:c r="B7" s="1" t="str">
        <x:v>Sales</x:v>
      </x:c>
      <x:c r="C7" s="1" t="str">
        <x:v>Income</x:v>
      </x:c>
      <x:c r="D7" s="7" t="n">
        <x:v>6000</x:v>
      </x:c>
      <x:c r="E7" s="1"/>
    </x:row>
    <x:row r="8" ht="23" customHeight="1">
      <x:c r="A8" s="1" t="n">
        <x:v>3</x:v>
      </x:c>
      <x:c r="B8" s="1" t="str">
        <x:v>Sales</x:v>
      </x:c>
      <x:c r="C8" s="1" t="str">
        <x:v>Income</x:v>
      </x:c>
      <x:c r="D8" s="7" t="n">
        <x:v>6000</x:v>
      </x:c>
      <x:c r="E8" s="1"/>
    </x:row>
    <x:row r="9" ht="23" customHeight="1">
      <x:c r="A9" s="1" t="n">
        <x:v>4</x:v>
      </x:c>
      <x:c r="B9" s="1" t="str">
        <x:v>Sales</x:v>
      </x:c>
      <x:c r="C9" s="1" t="str">
        <x:v>Income</x:v>
      </x:c>
      <x:c r="D9" s="7" t="n">
        <x:v>6000</x:v>
      </x:c>
      <x:c r="E9" s="1"/>
    </x:row>
    <x:row r="10" ht="23" customHeight="1">
      <x:c r="A10" s="1" t="n">
        <x:v>5</x:v>
      </x:c>
      <x:c r="B10" s="1" t="str">
        <x:v>Sales</x:v>
      </x:c>
      <x:c r="C10" s="1" t="str">
        <x:v>Income</x:v>
      </x:c>
      <x:c r="D10" s="7" t="n">
        <x:v>6000</x:v>
      </x:c>
      <x:c r="E10" s="1"/>
    </x:row>
    <x:row r="11" ht="23" customHeight="1">
      <x:c r="A11" s="1" t="n">
        <x:v>6</x:v>
      </x:c>
      <x:c r="B11" s="1" t="str">
        <x:v>Sales</x:v>
      </x:c>
      <x:c r="C11" s="1" t="str">
        <x:v>Income</x:v>
      </x:c>
      <x:c r="D11" s="7" t="n">
        <x:v>6000</x:v>
      </x:c>
      <x:c r="E11" s="1"/>
    </x:row>
    <x:row r="12" ht="23" customHeight="1">
      <x:c r="A12" s="1" t="n">
        <x:v>7</x:v>
      </x:c>
      <x:c r="B12" s="1" t="str">
        <x:v>Sales</x:v>
      </x:c>
      <x:c r="C12" s="1" t="str">
        <x:v>Income</x:v>
      </x:c>
      <x:c r="D12" s="7" t="n">
        <x:v>6000</x:v>
      </x:c>
      <x:c r="E12" s="1"/>
    </x:row>
    <x:row r="13" ht="23" customHeight="1">
      <x:c r="A13" s="1" t="n">
        <x:v>8</x:v>
      </x:c>
      <x:c r="B13" s="1" t="str">
        <x:v>Sales</x:v>
      </x:c>
      <x:c r="C13" s="1" t="str">
        <x:v>Income</x:v>
      </x:c>
      <x:c r="D13" s="7" t="n">
        <x:v>6000</x:v>
      </x:c>
      <x:c r="E13" s="1"/>
    </x:row>
    <x:row r="14" ht="23" customHeight="1">
      <x:c r="A14" s="1" t="n">
        <x:v>9</x:v>
      </x:c>
      <x:c r="B14" s="1" t="str">
        <x:v>Sales</x:v>
      </x:c>
      <x:c r="C14" s="1" t="str">
        <x:v>Income</x:v>
      </x:c>
      <x:c r="D14" s="7" t="n">
        <x:v>6000</x:v>
      </x:c>
      <x:c r="E14" s="1"/>
    </x:row>
    <x:row r="15" ht="23" customHeight="1">
      <x:c r="A15" s="1" t="n">
        <x:v>10</x:v>
      </x:c>
      <x:c r="B15" s="1" t="str">
        <x:v>Sales</x:v>
      </x:c>
      <x:c r="C15" s="1" t="str">
        <x:v>Income</x:v>
      </x:c>
      <x:c r="D15" s="7" t="n">
        <x:v>6000</x:v>
      </x:c>
      <x:c r="E15" s="1"/>
    </x:row>
    <x:row r="16" ht="23" customHeight="1">
      <x:c r="A16" s="1" t="n">
        <x:v>11</x:v>
      </x:c>
      <x:c r="B16" s="1" t="str">
        <x:v>Sales</x:v>
      </x:c>
      <x:c r="C16" s="1" t="str">
        <x:v>Income</x:v>
      </x:c>
      <x:c r="D16" s="7" t="n">
        <x:v>7000</x:v>
      </x:c>
      <x:c r="E16" s="1"/>
    </x:row>
    <x:row r="17" ht="23" customHeight="1">
      <x:c r="A17" s="1" t="n">
        <x:v>12</x:v>
      </x:c>
      <x:c r="B17" s="1" t="str">
        <x:v>Sales</x:v>
      </x:c>
      <x:c r="C17" s="1" t="str">
        <x:v>Income</x:v>
      </x:c>
      <x:c r="D17" s="7" t="n">
        <x:v>7000</x:v>
      </x:c>
      <x:c r="E17" s="1"/>
    </x:row>
    <x:row r="18" ht="23" customHeight="1">
      <x:c r="A18" s="1" t="n">
        <x:v>1</x:v>
      </x:c>
      <x:c r="B18" s="1" t="str">
        <x:v>Services</x:v>
      </x:c>
      <x:c r="C18" s="1" t="str">
        <x:v>Income</x:v>
      </x:c>
      <x:c r="D18" s="7" t="n">
        <x:v>3000</x:v>
      </x:c>
      <x:c r="E18" s="1"/>
    </x:row>
    <x:row r="19" ht="23" customHeight="1">
      <x:c r="A19" s="1" t="n">
        <x:v>2</x:v>
      </x:c>
      <x:c r="B19" s="1" t="str">
        <x:v>Services</x:v>
      </x:c>
      <x:c r="C19" s="1" t="str">
        <x:v>Income</x:v>
      </x:c>
      <x:c r="D19" s="7" t="n">
        <x:v>3300.0000000000005</x:v>
      </x:c>
      <x:c r="E19" s="1"/>
    </x:row>
    <x:row r="20" ht="23" customHeight="1">
      <x:c r="A20" s="1" t="n">
        <x:v>3</x:v>
      </x:c>
      <x:c r="B20" s="1" t="str">
        <x:v>Services</x:v>
      </x:c>
      <x:c r="C20" s="1" t="str">
        <x:v>Income</x:v>
      </x:c>
      <x:c r="D20" s="7" t="n">
        <x:v>3000</x:v>
      </x:c>
      <x:c r="E20" s="1"/>
    </x:row>
    <x:row r="21" ht="23" customHeight="1">
      <x:c r="A21" s="1" t="n">
        <x:v>4</x:v>
      </x:c>
      <x:c r="B21" s="1" t="str">
        <x:v>Services</x:v>
      </x:c>
      <x:c r="C21" s="1" t="str">
        <x:v>Income</x:v>
      </x:c>
      <x:c r="D21" s="7" t="n">
        <x:v>3000</x:v>
      </x:c>
      <x:c r="E21" s="1"/>
    </x:row>
    <x:row r="22" ht="23" customHeight="1">
      <x:c r="A22" s="1" t="n">
        <x:v>5</x:v>
      </x:c>
      <x:c r="B22" s="1" t="str">
        <x:v>Services</x:v>
      </x:c>
      <x:c r="C22" s="1" t="str">
        <x:v>Income</x:v>
      </x:c>
      <x:c r="D22" s="7" t="n">
        <x:v>3000</x:v>
      </x:c>
      <x:c r="E22" s="1"/>
    </x:row>
    <x:row r="23" ht="23" customHeight="1">
      <x:c r="A23" s="1" t="n">
        <x:v>6</x:v>
      </x:c>
      <x:c r="B23" s="1" t="str">
        <x:v>Services</x:v>
      </x:c>
      <x:c r="C23" s="1" t="str">
        <x:v>Income</x:v>
      </x:c>
      <x:c r="D23" s="7" t="n">
        <x:v>3000</x:v>
      </x:c>
      <x:c r="E23" s="1"/>
    </x:row>
    <x:row r="24" ht="23" customHeight="1">
      <x:c r="A24" s="1" t="n">
        <x:v>7</x:v>
      </x:c>
      <x:c r="B24" s="1" t="str">
        <x:v>Services</x:v>
      </x:c>
      <x:c r="C24" s="1" t="str">
        <x:v>Income</x:v>
      </x:c>
      <x:c r="D24" s="7" t="n">
        <x:v>3500</x:v>
      </x:c>
      <x:c r="E24" s="1"/>
    </x:row>
    <x:row r="25" ht="23" customHeight="1">
      <x:c r="A25" s="1" t="n">
        <x:v>8</x:v>
      </x:c>
      <x:c r="B25" s="1" t="str">
        <x:v>Services</x:v>
      </x:c>
      <x:c r="C25" s="1" t="str">
        <x:v>Income</x:v>
      </x:c>
      <x:c r="D25" s="7" t="n">
        <x:v>3000</x:v>
      </x:c>
      <x:c r="E25" s="1"/>
    </x:row>
    <x:row r="26" ht="23" customHeight="1">
      <x:c r="A26" s="1" t="n">
        <x:v>9</x:v>
      </x:c>
      <x:c r="B26" s="1" t="str">
        <x:v>Services</x:v>
      </x:c>
      <x:c r="C26" s="1" t="str">
        <x:v>Income</x:v>
      </x:c>
      <x:c r="D26" s="7" t="n">
        <x:v>3000</x:v>
      </x:c>
      <x:c r="E26" s="1"/>
    </x:row>
    <x:row r="27" ht="23" customHeight="1">
      <x:c r="A27" s="1" t="n">
        <x:v>10</x:v>
      </x:c>
      <x:c r="B27" s="1" t="str">
        <x:v>Services</x:v>
      </x:c>
      <x:c r="C27" s="1" t="str">
        <x:v>Income</x:v>
      </x:c>
      <x:c r="D27" s="7" t="n">
        <x:v>3000</x:v>
      </x:c>
      <x:c r="E27" s="1"/>
    </x:row>
    <x:row r="28" ht="23" customHeight="1">
      <x:c r="A28" s="1" t="n">
        <x:v>11</x:v>
      </x:c>
      <x:c r="B28" s="1" t="str">
        <x:v>Services</x:v>
      </x:c>
      <x:c r="C28" s="1" t="str">
        <x:v>Income</x:v>
      </x:c>
      <x:c r="D28" s="7" t="n">
        <x:v>3500</x:v>
      </x:c>
      <x:c r="E28" s="1"/>
    </x:row>
    <x:row r="29" ht="23" customHeight="1">
      <x:c r="A29" s="1" t="n">
        <x:v>12</x:v>
      </x:c>
      <x:c r="B29" s="1" t="str">
        <x:v>Services</x:v>
      </x:c>
      <x:c r="C29" s="1" t="str">
        <x:v>Income</x:v>
      </x:c>
      <x:c r="D29" s="7" t="n">
        <x:v>3500</x:v>
      </x:c>
      <x:c r="E29" s="1"/>
    </x:row>
    <x:row r="30" ht="23" customHeight="1">
      <x:c r="A30" s="1" t="n">
        <x:v>1</x:v>
      </x:c>
      <x:c r="B30" s="1" t="str">
        <x:v>Other Income</x:v>
      </x:c>
      <x:c r="C30" s="1" t="str">
        <x:v>Income</x:v>
      </x:c>
      <x:c r="D30" s="7" t="n">
        <x:v>8000</x:v>
      </x:c>
      <x:c r="E30" s="1"/>
    </x:row>
    <x:row r="31" ht="23" customHeight="1">
      <x:c r="A31" s="1" t="n">
        <x:v>2</x:v>
      </x:c>
      <x:c r="B31" s="1" t="str">
        <x:v>Other Income</x:v>
      </x:c>
      <x:c r="C31" s="1" t="str">
        <x:v>Income</x:v>
      </x:c>
      <x:c r="D31" s="7" t="n">
        <x:v>8000</x:v>
      </x:c>
      <x:c r="E31" s="1"/>
    </x:row>
    <x:row r="32" ht="23" customHeight="1">
      <x:c r="A32" s="1" t="n">
        <x:v>3</x:v>
      </x:c>
      <x:c r="B32" s="1" t="str">
        <x:v>Other Income</x:v>
      </x:c>
      <x:c r="C32" s="1" t="str">
        <x:v>Income</x:v>
      </x:c>
      <x:c r="D32" s="7" t="n">
        <x:v>8000</x:v>
      </x:c>
      <x:c r="E32" s="1"/>
    </x:row>
    <x:row r="33" ht="23" customHeight="1">
      <x:c r="A33" s="1" t="n">
        <x:v>4</x:v>
      </x:c>
      <x:c r="B33" s="1" t="str">
        <x:v>Other Income</x:v>
      </x:c>
      <x:c r="C33" s="1" t="str">
        <x:v>Income</x:v>
      </x:c>
      <x:c r="D33" s="7" t="n">
        <x:v>8000</x:v>
      </x:c>
      <x:c r="E33" s="1"/>
    </x:row>
    <x:row r="34" ht="23" customHeight="1">
      <x:c r="A34" s="1" t="n">
        <x:v>5</x:v>
      </x:c>
      <x:c r="B34" s="1" t="str">
        <x:v>Other Income</x:v>
      </x:c>
      <x:c r="C34" s="1" t="str">
        <x:v>Income</x:v>
      </x:c>
      <x:c r="D34" s="7" t="n">
        <x:v>8000</x:v>
      </x:c>
      <x:c r="E34" s="1"/>
    </x:row>
    <x:row r="35" ht="23" customHeight="1">
      <x:c r="A35" s="1" t="n">
        <x:v>6</x:v>
      </x:c>
      <x:c r="B35" s="1" t="str">
        <x:v>Other Income</x:v>
      </x:c>
      <x:c r="C35" s="1" t="str">
        <x:v>Income</x:v>
      </x:c>
      <x:c r="D35" s="7" t="n">
        <x:v>8000</x:v>
      </x:c>
      <x:c r="E35" s="1"/>
    </x:row>
    <x:row r="36" ht="23" customHeight="1">
      <x:c r="A36" s="1" t="n">
        <x:v>7</x:v>
      </x:c>
      <x:c r="B36" s="1" t="str">
        <x:v>Other Income</x:v>
      </x:c>
      <x:c r="C36" s="1" t="str">
        <x:v>Income</x:v>
      </x:c>
      <x:c r="D36" s="7" t="n">
        <x:v>12000</x:v>
      </x:c>
      <x:c r="E36" s="1"/>
    </x:row>
    <x:row r="37" ht="23" customHeight="1">
      <x:c r="A37" s="1" t="n">
        <x:v>8</x:v>
      </x:c>
      <x:c r="B37" s="1" t="str">
        <x:v>Other Income</x:v>
      </x:c>
      <x:c r="C37" s="1" t="str">
        <x:v>Income</x:v>
      </x:c>
      <x:c r="D37" s="7" t="n">
        <x:v>8000</x:v>
      </x:c>
      <x:c r="E37" s="1"/>
    </x:row>
    <x:row r="38" ht="23" customHeight="1">
      <x:c r="A38" s="1" t="n">
        <x:v>9</x:v>
      </x:c>
      <x:c r="B38" s="1" t="str">
        <x:v>Other Income</x:v>
      </x:c>
      <x:c r="C38" s="1" t="str">
        <x:v>Income</x:v>
      </x:c>
      <x:c r="D38" s="7" t="n">
        <x:v>8000</x:v>
      </x:c>
      <x:c r="E38" s="1"/>
    </x:row>
    <x:row r="39" ht="23" customHeight="1">
      <x:c r="A39" s="1" t="n">
        <x:v>10</x:v>
      </x:c>
      <x:c r="B39" s="1" t="str">
        <x:v>Other Income</x:v>
      </x:c>
      <x:c r="C39" s="1" t="str">
        <x:v>Income</x:v>
      </x:c>
      <x:c r="D39" s="7" t="n">
        <x:v>8000</x:v>
      </x:c>
      <x:c r="E39" s="1"/>
    </x:row>
    <x:row r="40" ht="23" customHeight="1">
      <x:c r="A40" s="1" t="n">
        <x:v>11</x:v>
      </x:c>
      <x:c r="B40" s="1" t="str">
        <x:v>Other Income</x:v>
      </x:c>
      <x:c r="C40" s="1" t="str">
        <x:v>Income</x:v>
      </x:c>
      <x:c r="D40" s="7" t="n">
        <x:v>12000</x:v>
      </x:c>
      <x:c r="E40" s="1"/>
    </x:row>
    <x:row r="41" ht="23" customHeight="1">
      <x:c r="A41" s="1" t="n">
        <x:v>12</x:v>
      </x:c>
      <x:c r="B41" s="1" t="str">
        <x:v>Other Income</x:v>
      </x:c>
      <x:c r="C41" s="1" t="str">
        <x:v>Income</x:v>
      </x:c>
      <x:c r="D41" s="7" t="n">
        <x:v>12000</x:v>
      </x:c>
      <x:c r="E41" s="1"/>
    </x:row>
    <x:row r="42" ht="23" customHeight="1">
      <x:c r="A42" s="1" t="n">
        <x:v>1</x:v>
      </x:c>
      <x:c r="B42" s="1" t="str">
        <x:v>Rent</x:v>
      </x:c>
      <x:c r="C42" s="1" t="str">
        <x:v>Expense</x:v>
      </x:c>
      <x:c r="D42" s="7" t="n">
        <x:v>7000</x:v>
      </x:c>
      <x:c r="E42" s="1"/>
    </x:row>
    <x:row r="43" ht="23" customHeight="1">
      <x:c r="A43" s="1" t="n">
        <x:v>2</x:v>
      </x:c>
      <x:c r="B43" s="1" t="str">
        <x:v>Rent</x:v>
      </x:c>
      <x:c r="C43" s="1" t="str">
        <x:v>Expense</x:v>
      </x:c>
      <x:c r="D43" s="7" t="n">
        <x:v>7000</x:v>
      </x:c>
      <x:c r="E43" s="1"/>
    </x:row>
    <x:row r="44" ht="23" customHeight="1">
      <x:c r="A44" s="1" t="n">
        <x:v>3</x:v>
      </x:c>
      <x:c r="B44" s="1" t="str">
        <x:v>Rent</x:v>
      </x:c>
      <x:c r="C44" s="1" t="str">
        <x:v>Expense</x:v>
      </x:c>
      <x:c r="D44" s="7" t="n">
        <x:v>7000</x:v>
      </x:c>
      <x:c r="E44" s="1"/>
    </x:row>
    <x:row r="45" ht="23" customHeight="1">
      <x:c r="A45" s="1" t="n">
        <x:v>4</x:v>
      </x:c>
      <x:c r="B45" s="1" t="str">
        <x:v>Rent</x:v>
      </x:c>
      <x:c r="C45" s="1" t="str">
        <x:v>Expense</x:v>
      </x:c>
      <x:c r="D45" s="7" t="n">
        <x:v>7000</x:v>
      </x:c>
      <x:c r="E45" s="1"/>
    </x:row>
    <x:row r="46" ht="23" customHeight="1">
      <x:c r="A46" s="1" t="n">
        <x:v>5</x:v>
      </x:c>
      <x:c r="B46" s="1" t="str">
        <x:v>Rent</x:v>
      </x:c>
      <x:c r="C46" s="1" t="str">
        <x:v>Expense</x:v>
      </x:c>
      <x:c r="D46" s="7" t="n">
        <x:v>7000</x:v>
      </x:c>
      <x:c r="E46" s="1"/>
    </x:row>
    <x:row r="47" ht="23" customHeight="1">
      <x:c r="A47" s="1" t="n">
        <x:v>6</x:v>
      </x:c>
      <x:c r="B47" s="1" t="str">
        <x:v>Rent</x:v>
      </x:c>
      <x:c r="C47" s="1" t="str">
        <x:v>Expense</x:v>
      </x:c>
      <x:c r="D47" s="7" t="n">
        <x:v>7000</x:v>
      </x:c>
      <x:c r="E47" s="1"/>
    </x:row>
    <x:row r="48" ht="23" customHeight="1">
      <x:c r="A48" s="1" t="n">
        <x:v>7</x:v>
      </x:c>
      <x:c r="B48" s="1" t="str">
        <x:v>Rent</x:v>
      </x:c>
      <x:c r="C48" s="1" t="str">
        <x:v>Expense</x:v>
      </x:c>
      <x:c r="D48" s="7" t="n">
        <x:v>7000</x:v>
      </x:c>
      <x:c r="E48" s="1"/>
    </x:row>
    <x:row r="49" ht="23" customHeight="1">
      <x:c r="A49" s="1" t="n">
        <x:v>8</x:v>
      </x:c>
      <x:c r="B49" s="1" t="str">
        <x:v>Rent</x:v>
      </x:c>
      <x:c r="C49" s="1" t="str">
        <x:v>Expense</x:v>
      </x:c>
      <x:c r="D49" s="7" t="n">
        <x:v>7000</x:v>
      </x:c>
      <x:c r="E49" s="1"/>
    </x:row>
    <x:row r="50" ht="23" customHeight="1">
      <x:c r="A50" s="1" t="n">
        <x:v>9</x:v>
      </x:c>
      <x:c r="B50" s="1" t="str">
        <x:v>Rent</x:v>
      </x:c>
      <x:c r="C50" s="1" t="str">
        <x:v>Expense</x:v>
      </x:c>
      <x:c r="D50" s="7" t="n">
        <x:v>7000</x:v>
      </x:c>
      <x:c r="E50" s="1"/>
    </x:row>
    <x:row r="51" ht="23" customHeight="1">
      <x:c r="A51" s="1" t="n">
        <x:v>10</x:v>
      </x:c>
      <x:c r="B51" s="1" t="str">
        <x:v>Rent</x:v>
      </x:c>
      <x:c r="C51" s="1" t="str">
        <x:v>Expense</x:v>
      </x:c>
      <x:c r="D51" s="7" t="n">
        <x:v>7000</x:v>
      </x:c>
      <x:c r="E51" s="1"/>
    </x:row>
    <x:row r="52" ht="23" customHeight="1">
      <x:c r="A52" s="1" t="n">
        <x:v>11</x:v>
      </x:c>
      <x:c r="B52" s="1" t="str">
        <x:v>Rent</x:v>
      </x:c>
      <x:c r="C52" s="1" t="str">
        <x:v>Expense</x:v>
      </x:c>
      <x:c r="D52" s="7" t="n">
        <x:v>7000</x:v>
      </x:c>
      <x:c r="E52" s="1"/>
    </x:row>
    <x:row r="53" ht="23" customHeight="1">
      <x:c r="A53" s="1" t="n">
        <x:v>12</x:v>
      </x:c>
      <x:c r="B53" s="1" t="str">
        <x:v>Rent</x:v>
      </x:c>
      <x:c r="C53" s="1" t="str">
        <x:v>Expense</x:v>
      </x:c>
      <x:c r="D53" s="7" t="n">
        <x:v>7000</x:v>
      </x:c>
      <x:c r="E53" s="1"/>
    </x:row>
    <x:row r="54" ht="23" customHeight="1">
      <x:c r="A54" s="1" t="n">
        <x:v>1</x:v>
      </x:c>
      <x:c r="B54" s="1" t="str">
        <x:v>Utilities</x:v>
      </x:c>
      <x:c r="C54" s="1" t="str">
        <x:v>Expense</x:v>
      </x:c>
      <x:c r="D54" s="7" t="n">
        <x:v>4000</x:v>
      </x:c>
      <x:c r="E54" s="1"/>
    </x:row>
    <x:row r="55" ht="23" customHeight="1">
      <x:c r="A55" s="1" t="n">
        <x:v>2</x:v>
      </x:c>
      <x:c r="B55" s="1" t="str">
        <x:v>Utilities</x:v>
      </x:c>
      <x:c r="C55" s="1" t="str">
        <x:v>Expense</x:v>
      </x:c>
      <x:c r="D55" s="7" t="n">
        <x:v>4000</x:v>
      </x:c>
      <x:c r="E55" s="1"/>
    </x:row>
    <x:row r="56" ht="23" customHeight="1">
      <x:c r="A56" s="1" t="n">
        <x:v>3</x:v>
      </x:c>
      <x:c r="B56" s="1" t="str">
        <x:v>Utilities</x:v>
      </x:c>
      <x:c r="C56" s="1" t="str">
        <x:v>Expense</x:v>
      </x:c>
      <x:c r="D56" s="7" t="n">
        <x:v>4000</x:v>
      </x:c>
      <x:c r="E56" s="1"/>
    </x:row>
    <x:row r="57" ht="23" customHeight="1">
      <x:c r="A57" s="1" t="n">
        <x:v>4</x:v>
      </x:c>
      <x:c r="B57" s="1" t="str">
        <x:v>Utilities</x:v>
      </x:c>
      <x:c r="C57" s="1" t="str">
        <x:v>Expense</x:v>
      </x:c>
      <x:c r="D57" s="7" t="n">
        <x:v>4000</x:v>
      </x:c>
      <x:c r="E57" s="1"/>
    </x:row>
    <x:row r="58" ht="23" customHeight="1">
      <x:c r="A58" s="1" t="n">
        <x:v>5</x:v>
      </x:c>
      <x:c r="B58" s="1" t="str">
        <x:v>Utilities</x:v>
      </x:c>
      <x:c r="C58" s="1" t="str">
        <x:v>Expense</x:v>
      </x:c>
      <x:c r="D58" s="7" t="n">
        <x:v>4000</x:v>
      </x:c>
      <x:c r="E58" s="1"/>
    </x:row>
    <x:row r="59" ht="23" customHeight="1">
      <x:c r="A59" s="1" t="n">
        <x:v>6</x:v>
      </x:c>
      <x:c r="B59" s="1" t="str">
        <x:v>Utilities</x:v>
      </x:c>
      <x:c r="C59" s="1" t="str">
        <x:v>Expense</x:v>
      </x:c>
      <x:c r="D59" s="7" t="n">
        <x:v>4000</x:v>
      </x:c>
      <x:c r="E59" s="1"/>
    </x:row>
    <x:row r="60" ht="23" customHeight="1">
      <x:c r="A60" s="1" t="n">
        <x:v>7</x:v>
      </x:c>
      <x:c r="B60" s="1" t="str">
        <x:v>Utilities</x:v>
      </x:c>
      <x:c r="C60" s="1" t="str">
        <x:v>Expense</x:v>
      </x:c>
      <x:c r="D60" s="7" t="n">
        <x:v>4000</x:v>
      </x:c>
      <x:c r="E60" s="1"/>
    </x:row>
    <x:row r="61" ht="23" customHeight="1">
      <x:c r="A61" s="1" t="n">
        <x:v>8</x:v>
      </x:c>
      <x:c r="B61" s="1" t="str">
        <x:v>Utilities</x:v>
      </x:c>
      <x:c r="C61" s="1" t="str">
        <x:v>Expense</x:v>
      </x:c>
      <x:c r="D61" s="7" t="n">
        <x:v>4000</x:v>
      </x:c>
      <x:c r="E61" s="1"/>
    </x:row>
    <x:row r="62" ht="23" customHeight="1">
      <x:c r="A62" s="1" t="n">
        <x:v>9</x:v>
      </x:c>
      <x:c r="B62" s="1" t="str">
        <x:v>Utilities</x:v>
      </x:c>
      <x:c r="C62" s="1" t="str">
        <x:v>Expense</x:v>
      </x:c>
      <x:c r="D62" s="7" t="n">
        <x:v>4000</x:v>
      </x:c>
      <x:c r="E62" s="1"/>
    </x:row>
    <x:row r="63" ht="23" customHeight="1">
      <x:c r="A63" s="1" t="n">
        <x:v>10</x:v>
      </x:c>
      <x:c r="B63" s="1" t="str">
        <x:v>Utilities</x:v>
      </x:c>
      <x:c r="C63" s="1" t="str">
        <x:v>Expense</x:v>
      </x:c>
      <x:c r="D63" s="7" t="n">
        <x:v>4000</x:v>
      </x:c>
      <x:c r="E63" s="1"/>
    </x:row>
    <x:row r="64" ht="23" customHeight="1">
      <x:c r="A64" s="1" t="n">
        <x:v>11</x:v>
      </x:c>
      <x:c r="B64" s="1" t="str">
        <x:v>Utilities</x:v>
      </x:c>
      <x:c r="C64" s="1" t="str">
        <x:v>Expense</x:v>
      </x:c>
      <x:c r="D64" s="7" t="n">
        <x:v>4000</x:v>
      </x:c>
      <x:c r="E64" s="1"/>
    </x:row>
    <x:row r="65" ht="23" customHeight="1">
      <x:c r="A65" s="1" t="n">
        <x:v>12</x:v>
      </x:c>
      <x:c r="B65" s="1" t="str">
        <x:v>Utilities</x:v>
      </x:c>
      <x:c r="C65" s="1" t="str">
        <x:v>Expense</x:v>
      </x:c>
      <x:c r="D65" s="7" t="n">
        <x:v>4000</x:v>
      </x:c>
      <x:c r="E65" s="1"/>
    </x:row>
    <x:row r="66" ht="23" customHeight="1">
      <x:c r="A66" s="1" t="n">
        <x:v>1</x:v>
      </x:c>
      <x:c r="B66" s="1" t="str">
        <x:v>Transport</x:v>
      </x:c>
      <x:c r="C66" s="1" t="str">
        <x:v>Expense</x:v>
      </x:c>
      <x:c r="D66" s="7" t="n">
        <x:v>2000</x:v>
      </x:c>
      <x:c r="E66" s="1"/>
    </x:row>
    <x:row r="67" ht="23" customHeight="1">
      <x:c r="A67" s="1" t="n">
        <x:v>2</x:v>
      </x:c>
      <x:c r="B67" s="1" t="str">
        <x:v>Transport</x:v>
      </x:c>
      <x:c r="C67" s="1" t="str">
        <x:v>Expense</x:v>
      </x:c>
      <x:c r="D67" s="7" t="n">
        <x:v>2000</x:v>
      </x:c>
      <x:c r="E67" s="1"/>
    </x:row>
    <x:row r="68" ht="23" customHeight="1">
      <x:c r="A68" s="1" t="n">
        <x:v>3</x:v>
      </x:c>
      <x:c r="B68" s="1" t="str">
        <x:v>Transport</x:v>
      </x:c>
      <x:c r="C68" s="1" t="str">
        <x:v>Expense</x:v>
      </x:c>
      <x:c r="D68" s="7" t="n">
        <x:v>2000</x:v>
      </x:c>
      <x:c r="E68" s="1"/>
    </x:row>
    <x:row r="69" ht="23" customHeight="1">
      <x:c r="A69" s="1" t="n">
        <x:v>4</x:v>
      </x:c>
      <x:c r="B69" s="1" t="str">
        <x:v>Transport</x:v>
      </x:c>
      <x:c r="C69" s="1" t="str">
        <x:v>Expense</x:v>
      </x:c>
      <x:c r="D69" s="7" t="n">
        <x:v>2000</x:v>
      </x:c>
      <x:c r="E69" s="1"/>
    </x:row>
    <x:row r="70" ht="23" customHeight="1">
      <x:c r="A70" s="1" t="n">
        <x:v>5</x:v>
      </x:c>
      <x:c r="B70" s="1" t="str">
        <x:v>Transport</x:v>
      </x:c>
      <x:c r="C70" s="1" t="str">
        <x:v>Expense</x:v>
      </x:c>
      <x:c r="D70" s="7" t="n">
        <x:v>2000</x:v>
      </x:c>
      <x:c r="E70" s="1"/>
    </x:row>
    <x:row r="71" ht="23" customHeight="1">
      <x:c r="A71" s="1" t="n">
        <x:v>6</x:v>
      </x:c>
      <x:c r="B71" s="1" t="str">
        <x:v>Transport</x:v>
      </x:c>
      <x:c r="C71" s="1" t="str">
        <x:v>Expense</x:v>
      </x:c>
      <x:c r="D71" s="7" t="n">
        <x:v>2000</x:v>
      </x:c>
      <x:c r="E71" s="1"/>
    </x:row>
    <x:row r="72" ht="23" customHeight="1">
      <x:c r="A72" s="1" t="n">
        <x:v>7</x:v>
      </x:c>
      <x:c r="B72" s="1" t="str">
        <x:v>Transport</x:v>
      </x:c>
      <x:c r="C72" s="1" t="str">
        <x:v>Expense</x:v>
      </x:c>
      <x:c r="D72" s="7" t="n">
        <x:v>2000</x:v>
      </x:c>
      <x:c r="E72" s="1"/>
    </x:row>
    <x:row r="73" ht="23" customHeight="1">
      <x:c r="A73" s="1" t="n">
        <x:v>8</x:v>
      </x:c>
      <x:c r="B73" s="1" t="str">
        <x:v>Transport</x:v>
      </x:c>
      <x:c r="C73" s="1" t="str">
        <x:v>Expense</x:v>
      </x:c>
      <x:c r="D73" s="7" t="n">
        <x:v>2000</x:v>
      </x:c>
      <x:c r="E73" s="1"/>
    </x:row>
    <x:row r="74" ht="23" customHeight="1">
      <x:c r="A74" s="1" t="n">
        <x:v>9</x:v>
      </x:c>
      <x:c r="B74" s="1" t="str">
        <x:v>Transport</x:v>
      </x:c>
      <x:c r="C74" s="1" t="str">
        <x:v>Expense</x:v>
      </x:c>
      <x:c r="D74" s="7" t="n">
        <x:v>2000</x:v>
      </x:c>
      <x:c r="E74" s="1"/>
    </x:row>
    <x:row r="75" ht="23" customHeight="1">
      <x:c r="A75" s="1" t="n">
        <x:v>10</x:v>
      </x:c>
      <x:c r="B75" s="1" t="str">
        <x:v>Transport</x:v>
      </x:c>
      <x:c r="C75" s="1" t="str">
        <x:v>Expense</x:v>
      </x:c>
      <x:c r="D75" s="7" t="n">
        <x:v>2000</x:v>
      </x:c>
      <x:c r="E75" s="1"/>
    </x:row>
    <x:row r="76" ht="23" customHeight="1">
      <x:c r="A76" s="1" t="n">
        <x:v>11</x:v>
      </x:c>
      <x:c r="B76" s="1" t="str">
        <x:v>Transport</x:v>
      </x:c>
      <x:c r="C76" s="1" t="str">
        <x:v>Expense</x:v>
      </x:c>
      <x:c r="D76" s="7" t="n">
        <x:v>2000</x:v>
      </x:c>
      <x:c r="E76" s="1"/>
    </x:row>
    <x:row r="77" ht="23" customHeight="1">
      <x:c r="A77" s="1" t="n">
        <x:v>12</x:v>
      </x:c>
      <x:c r="B77" s="1" t="str">
        <x:v>Transport</x:v>
      </x:c>
      <x:c r="C77" s="1" t="str">
        <x:v>Expense</x:v>
      </x:c>
      <x:c r="D77" s="7" t="n">
        <x:v>2000</x:v>
      </x:c>
      <x:c r="E77" s="1"/>
    </x:row>
    <x:row r="78" ht="23" customHeight="1">
      <x:c r="A78" s="1" t="n">
        <x:v>1</x:v>
      </x:c>
      <x:c r="B78" s="1" t="str">
        <x:v>Marketing</x:v>
      </x:c>
      <x:c r="C78" s="1" t="str">
        <x:v>Expense</x:v>
      </x:c>
      <x:c r="D78" s="7" t="n">
        <x:v>2500</x:v>
      </x:c>
      <x:c r="E78" s="1"/>
    </x:row>
    <x:row r="79" ht="23" customHeight="1">
      <x:c r="A79" s="1" t="n">
        <x:v>2</x:v>
      </x:c>
      <x:c r="B79" s="1" t="str">
        <x:v>Marketing</x:v>
      </x:c>
      <x:c r="C79" s="1" t="str">
        <x:v>Expense</x:v>
      </x:c>
      <x:c r="D79" s="7" t="n">
        <x:v>2500</x:v>
      </x:c>
      <x:c r="E79" s="1"/>
    </x:row>
    <x:row r="80" ht="23" customHeight="1">
      <x:c r="A80" s="1" t="n">
        <x:v>3</x:v>
      </x:c>
      <x:c r="B80" s="1" t="str">
        <x:v>Marketing</x:v>
      </x:c>
      <x:c r="C80" s="1" t="str">
        <x:v>Expense</x:v>
      </x:c>
      <x:c r="D80" s="7" t="n">
        <x:v>2500</x:v>
      </x:c>
      <x:c r="E80" s="1"/>
    </x:row>
    <x:row r="81" ht="23" customHeight="1">
      <x:c r="A81" s="1" t="n">
        <x:v>4</x:v>
      </x:c>
      <x:c r="B81" s="1" t="str">
        <x:v>Marketing</x:v>
      </x:c>
      <x:c r="C81" s="1" t="str">
        <x:v>Expense</x:v>
      </x:c>
      <x:c r="D81" s="7" t="n">
        <x:v>2500</x:v>
      </x:c>
      <x:c r="E81" s="1"/>
    </x:row>
    <x:row r="82" ht="23" customHeight="1">
      <x:c r="A82" s="1" t="n">
        <x:v>5</x:v>
      </x:c>
      <x:c r="B82" s="1" t="str">
        <x:v>Marketing</x:v>
      </x:c>
      <x:c r="C82" s="1" t="str">
        <x:v>Expense</x:v>
      </x:c>
      <x:c r="D82" s="7" t="n">
        <x:v>2500</x:v>
      </x:c>
      <x:c r="E82" s="1"/>
    </x:row>
    <x:row r="83" ht="23" customHeight="1">
      <x:c r="A83" s="1" t="n">
        <x:v>6</x:v>
      </x:c>
      <x:c r="B83" s="1" t="str">
        <x:v>Marketing</x:v>
      </x:c>
      <x:c r="C83" s="1" t="str">
        <x:v>Expense</x:v>
      </x:c>
      <x:c r="D83" s="7" t="n">
        <x:v>2500</x:v>
      </x:c>
      <x:c r="E83" s="1"/>
    </x:row>
    <x:row r="84" ht="23" customHeight="1">
      <x:c r="A84" s="1" t="n">
        <x:v>7</x:v>
      </x:c>
      <x:c r="B84" s="1" t="str">
        <x:v>Marketing</x:v>
      </x:c>
      <x:c r="C84" s="1" t="str">
        <x:v>Expense</x:v>
      </x:c>
      <x:c r="D84" s="7" t="n">
        <x:v>2500</x:v>
      </x:c>
      <x:c r="E84" s="1"/>
    </x:row>
    <x:row r="85" ht="23" customHeight="1">
      <x:c r="A85" s="1" t="n">
        <x:v>8</x:v>
      </x:c>
      <x:c r="B85" s="1" t="str">
        <x:v>Marketing</x:v>
      </x:c>
      <x:c r="C85" s="1" t="str">
        <x:v>Expense</x:v>
      </x:c>
      <x:c r="D85" s="7" t="n">
        <x:v>2500</x:v>
      </x:c>
      <x:c r="E85" s="1"/>
    </x:row>
    <x:row r="86" ht="23" customHeight="1">
      <x:c r="A86" s="1" t="n">
        <x:v>9</x:v>
      </x:c>
      <x:c r="B86" s="1" t="str">
        <x:v>Marketing</x:v>
      </x:c>
      <x:c r="C86" s="1" t="str">
        <x:v>Expense</x:v>
      </x:c>
      <x:c r="D86" s="7" t="n">
        <x:v>2500</x:v>
      </x:c>
      <x:c r="E86" s="1"/>
    </x:row>
    <x:row r="87" ht="23" customHeight="1">
      <x:c r="A87" s="1" t="n">
        <x:v>10</x:v>
      </x:c>
      <x:c r="B87" s="1" t="str">
        <x:v>Marketing</x:v>
      </x:c>
      <x:c r="C87" s="1" t="str">
        <x:v>Expense</x:v>
      </x:c>
      <x:c r="D87" s="7" t="n">
        <x:v>2500</x:v>
      </x:c>
      <x:c r="E87" s="1"/>
    </x:row>
    <x:row r="88" ht="23" customHeight="1">
      <x:c r="A88" s="1" t="n">
        <x:v>11</x:v>
      </x:c>
      <x:c r="B88" s="1" t="str">
        <x:v>Marketing</x:v>
      </x:c>
      <x:c r="C88" s="1" t="str">
        <x:v>Expense</x:v>
      </x:c>
      <x:c r="D88" s="7" t="n">
        <x:v>2500</x:v>
      </x:c>
      <x:c r="E88" s="1"/>
    </x:row>
    <x:row r="89" ht="23" customHeight="1">
      <x:c r="A89" s="1" t="n">
        <x:v>12</x:v>
      </x:c>
      <x:c r="B89" s="1" t="str">
        <x:v>Marketing</x:v>
      </x:c>
      <x:c r="C89" s="1" t="str">
        <x:v>Expense</x:v>
      </x:c>
      <x:c r="D89" s="7" t="n">
        <x:v>2500</x:v>
      </x:c>
      <x:c r="E89" s="1"/>
    </x:row>
    <x:row r="90" ht="23" customHeight="1">
      <x:c r="A90" s="1" t="n">
        <x:v>1</x:v>
      </x:c>
      <x:c r="B90" s="1" t="str">
        <x:v>Business Insurance</x:v>
      </x:c>
      <x:c r="C90" s="1" t="str">
        <x:v>Expense</x:v>
      </x:c>
      <x:c r="D90" s="7" t="n">
        <x:v>1000</x:v>
      </x:c>
      <x:c r="E90" s="1"/>
    </x:row>
    <x:row r="91" ht="23" customHeight="1">
      <x:c r="A91" s="1" t="n">
        <x:v>2</x:v>
      </x:c>
      <x:c r="B91" s="1" t="str">
        <x:v>Business Insurance</x:v>
      </x:c>
      <x:c r="C91" s="1" t="str">
        <x:v>Expense</x:v>
      </x:c>
      <x:c r="D91" s="7" t="n">
        <x:v>1000</x:v>
      </x:c>
      <x:c r="E91" s="1"/>
    </x:row>
    <x:row r="92" ht="23" customHeight="1">
      <x:c r="A92" s="1" t="n">
        <x:v>3</x:v>
      </x:c>
      <x:c r="B92" s="1" t="str">
        <x:v>Business Insurance</x:v>
      </x:c>
      <x:c r="C92" s="1" t="str">
        <x:v>Expense</x:v>
      </x:c>
      <x:c r="D92" s="7" t="n">
        <x:v>1000</x:v>
      </x:c>
      <x:c r="E92" s="1"/>
    </x:row>
    <x:row r="93" ht="23" customHeight="1">
      <x:c r="A93" s="1" t="n">
        <x:v>4</x:v>
      </x:c>
      <x:c r="B93" s="1" t="str">
        <x:v>Business Insurance</x:v>
      </x:c>
      <x:c r="C93" s="1" t="str">
        <x:v>Expense</x:v>
      </x:c>
      <x:c r="D93" s="7" t="n">
        <x:v>1000</x:v>
      </x:c>
      <x:c r="E93" s="1"/>
    </x:row>
    <x:row r="94" ht="23" customHeight="1">
      <x:c r="A94" s="1" t="n">
        <x:v>5</x:v>
      </x:c>
      <x:c r="B94" s="1" t="str">
        <x:v>Business Insurance</x:v>
      </x:c>
      <x:c r="C94" s="1" t="str">
        <x:v>Expense</x:v>
      </x:c>
      <x:c r="D94" s="7" t="n">
        <x:v>1000</x:v>
      </x:c>
      <x:c r="E94" s="1"/>
    </x:row>
    <x:row r="95" ht="23" customHeight="1">
      <x:c r="A95" s="1" t="n">
        <x:v>6</x:v>
      </x:c>
      <x:c r="B95" s="1" t="str">
        <x:v>Business Insurance</x:v>
      </x:c>
      <x:c r="C95" s="1" t="str">
        <x:v>Expense</x:v>
      </x:c>
      <x:c r="D95" s="7" t="n">
        <x:v>1000</x:v>
      </x:c>
      <x:c r="E95" s="1"/>
    </x:row>
    <x:row r="96" ht="23" customHeight="1">
      <x:c r="A96" s="1" t="n">
        <x:v>7</x:v>
      </x:c>
      <x:c r="B96" s="1" t="str">
        <x:v>Business Insurance</x:v>
      </x:c>
      <x:c r="C96" s="1" t="str">
        <x:v>Expense</x:v>
      </x:c>
      <x:c r="D96" s="7" t="n">
        <x:v>1000</x:v>
      </x:c>
      <x:c r="E96" s="1"/>
    </x:row>
    <x:row r="97" ht="23" customHeight="1">
      <x:c r="A97" s="1" t="n">
        <x:v>8</x:v>
      </x:c>
      <x:c r="B97" s="1" t="str">
        <x:v>Business Insurance</x:v>
      </x:c>
      <x:c r="C97" s="1" t="str">
        <x:v>Expense</x:v>
      </x:c>
      <x:c r="D97" s="7" t="n">
        <x:v>1000</x:v>
      </x:c>
      <x:c r="E97" s="1"/>
    </x:row>
    <x:row r="98" ht="23" customHeight="1">
      <x:c r="A98" s="1" t="n">
        <x:v>9</x:v>
      </x:c>
      <x:c r="B98" s="1" t="str">
        <x:v>Business Insurance</x:v>
      </x:c>
      <x:c r="C98" s="1" t="str">
        <x:v>Expense</x:v>
      </x:c>
      <x:c r="D98" s="7" t="n">
        <x:v>1000</x:v>
      </x:c>
      <x:c r="E98" s="1"/>
    </x:row>
    <x:row r="99" ht="23" customHeight="1">
      <x:c r="A99" s="1" t="n">
        <x:v>10</x:v>
      </x:c>
      <x:c r="B99" s="1" t="str">
        <x:v>Business Insurance</x:v>
      </x:c>
      <x:c r="C99" s="1" t="str">
        <x:v>Expense</x:v>
      </x:c>
      <x:c r="D99" s="7" t="n">
        <x:v>1000</x:v>
      </x:c>
      <x:c r="E99" s="1"/>
    </x:row>
    <x:row r="100" ht="23" customHeight="1">
      <x:c r="A100" s="1" t="n">
        <x:v>11</x:v>
      </x:c>
      <x:c r="B100" s="1" t="str">
        <x:v>Business Insurance</x:v>
      </x:c>
      <x:c r="C100" s="1" t="str">
        <x:v>Expense</x:v>
      </x:c>
      <x:c r="D100" s="7" t="n">
        <x:v>1000</x:v>
      </x:c>
      <x:c r="E100" s="1"/>
    </x:row>
    <x:row r="101" ht="23" customHeight="1">
      <x:c r="A101" s="1" t="n">
        <x:v>12</x:v>
      </x:c>
      <x:c r="B101" s="1" t="str">
        <x:v>Business Insurance</x:v>
      </x:c>
      <x:c r="C101" s="1" t="str">
        <x:v>Expense</x:v>
      </x:c>
      <x:c r="D101" s="7" t="n">
        <x:v>1000</x:v>
      </x:c>
      <x:c r="E101" s="1"/>
    </x:row>
    <x:row r="102" ht="23" customHeight="1">
      <x:c r="A102" s="1" t="n">
        <x:v>1</x:v>
      </x:c>
      <x:c r="B102" s="1" t="str">
        <x:v>Other Expenses</x:v>
      </x:c>
      <x:c r="C102" s="1" t="str">
        <x:v>Expense</x:v>
      </x:c>
      <x:c r="D102" s="7" t="n">
        <x:v>3000</x:v>
      </x:c>
      <x:c r="E102" s="1"/>
    </x:row>
    <x:row r="103" ht="23" customHeight="1">
      <x:c r="A103" s="1" t="n">
        <x:v>2</x:v>
      </x:c>
      <x:c r="B103" s="1" t="str">
        <x:v>Other Expenses</x:v>
      </x:c>
      <x:c r="C103" s="1" t="str">
        <x:v>Expense</x:v>
      </x:c>
      <x:c r="D103" s="7" t="n">
        <x:v>3000</x:v>
      </x:c>
      <x:c r="E103" s="1"/>
    </x:row>
    <x:row r="104" ht="23" customHeight="1">
      <x:c r="A104" s="1" t="n">
        <x:v>3</x:v>
      </x:c>
      <x:c r="B104" s="1" t="str">
        <x:v>Other Expenses</x:v>
      </x:c>
      <x:c r="C104" s="1" t="str">
        <x:v>Expense</x:v>
      </x:c>
      <x:c r="D104" s="7" t="n">
        <x:v>3000</x:v>
      </x:c>
      <x:c r="E104" s="1"/>
    </x:row>
    <x:row r="105" ht="23" customHeight="1">
      <x:c r="A105" s="1" t="n">
        <x:v>4</x:v>
      </x:c>
      <x:c r="B105" s="1" t="str">
        <x:v>Other Expenses</x:v>
      </x:c>
      <x:c r="C105" s="1" t="str">
        <x:v>Expense</x:v>
      </x:c>
      <x:c r="D105" s="7" t="n">
        <x:v>3000</x:v>
      </x:c>
      <x:c r="E105" s="1"/>
    </x:row>
    <x:row r="106" ht="23" customHeight="1">
      <x:c r="A106" s="1" t="n">
        <x:v>5</x:v>
      </x:c>
      <x:c r="B106" s="1" t="str">
        <x:v>Other Expenses</x:v>
      </x:c>
      <x:c r="C106" s="1" t="str">
        <x:v>Expense</x:v>
      </x:c>
      <x:c r="D106" s="7" t="n">
        <x:v>3000</x:v>
      </x:c>
      <x:c r="E106" s="1"/>
    </x:row>
    <x:row r="107" ht="23" customHeight="1">
      <x:c r="A107" s="1" t="n">
        <x:v>6</x:v>
      </x:c>
      <x:c r="B107" s="1" t="str">
        <x:v>Other Expenses</x:v>
      </x:c>
      <x:c r="C107" s="1" t="str">
        <x:v>Expense</x:v>
      </x:c>
      <x:c r="D107" s="7" t="n">
        <x:v>3000</x:v>
      </x:c>
      <x:c r="E107" s="1"/>
    </x:row>
    <x:row r="108" ht="23" customHeight="1">
      <x:c r="A108" s="1" t="n">
        <x:v>7</x:v>
      </x:c>
      <x:c r="B108" s="1" t="str">
        <x:v>Other Expenses</x:v>
      </x:c>
      <x:c r="C108" s="1" t="str">
        <x:v>Expense</x:v>
      </x:c>
      <x:c r="D108" s="7" t="n">
        <x:v>3000</x:v>
      </x:c>
      <x:c r="E108" s="1"/>
    </x:row>
    <x:row r="109" ht="23" customHeight="1">
      <x:c r="A109" s="1" t="n">
        <x:v>8</x:v>
      </x:c>
      <x:c r="B109" s="1" t="str">
        <x:v>Other Expenses</x:v>
      </x:c>
      <x:c r="C109" s="1" t="str">
        <x:v>Expense</x:v>
      </x:c>
      <x:c r="D109" s="7" t="n">
        <x:v>3000</x:v>
      </x:c>
      <x:c r="E109" s="1"/>
    </x:row>
    <x:row r="110" ht="23" customHeight="1">
      <x:c r="A110" s="1" t="n">
        <x:v>9</x:v>
      </x:c>
      <x:c r="B110" s="1" t="str">
        <x:v>Other Expenses</x:v>
      </x:c>
      <x:c r="C110" s="1" t="str">
        <x:v>Expense</x:v>
      </x:c>
      <x:c r="D110" s="7" t="n">
        <x:v>3000</x:v>
      </x:c>
      <x:c r="E110" s="1"/>
    </x:row>
    <x:row r="111" ht="23" customHeight="1">
      <x:c r="A111" s="1" t="n">
        <x:v>10</x:v>
      </x:c>
      <x:c r="B111" s="1" t="str">
        <x:v>Other Expenses</x:v>
      </x:c>
      <x:c r="C111" s="1" t="str">
        <x:v>Expense</x:v>
      </x:c>
      <x:c r="D111" s="7" t="n">
        <x:v>3000</x:v>
      </x:c>
      <x:c r="E111" s="1"/>
    </x:row>
    <x:row r="112" ht="23" customHeight="1">
      <x:c r="A112" s="1" t="n">
        <x:v>11</x:v>
      </x:c>
      <x:c r="B112" s="1" t="str">
        <x:v>Other Expenses</x:v>
      </x:c>
      <x:c r="C112" s="1" t="str">
        <x:v>Expense</x:v>
      </x:c>
      <x:c r="D112" s="7" t="n">
        <x:v>3000</x:v>
      </x:c>
      <x:c r="E112" s="1"/>
    </x:row>
    <x:row r="113" ht="23" customHeight="1">
      <x:c r="A113" s="1" t="n">
        <x:v>12</x:v>
      </x:c>
      <x:c r="B113" s="1" t="str">
        <x:v>Other Expenses</x:v>
      </x:c>
      <x:c r="C113" s="1" t="str">
        <x:v>Expense</x:v>
      </x:c>
      <x:c r="D113" s="7" t="n">
        <x:v>3000</x:v>
      </x:c>
      <x:c r="E113" s="1"/>
    </x:row>
    <x:row r="114" ht="23" customHeight="1">
      <x:c r="A114" s="1"/>
      <x:c r="B114" s="1"/>
      <x:c r="C114" s="1"/>
      <x:c r="D114" s="1"/>
      <x:c r="E114" s="1"/>
    </x:row>
    <x:row r="115" ht="23" customHeight="1">
      <x:c r="A115" s="1"/>
      <x:c r="B115" s="1"/>
      <x:c r="C115" s="1"/>
      <x:c r="D115" s="1"/>
      <x:c r="E115" s="1"/>
    </x:row>
  </x:sheetData>
  <x:pageMargins left="0.7" right="0.7" top="0.75" bottom="0.75" header="0.3" footer="0.3"/>
</x:worksheet>
</file>