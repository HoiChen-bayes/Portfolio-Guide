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448d8fbd4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3" sheetId="1" r:id="Rdc9f42987c3840d8"/>
    <x:sheet xmlns:r="http://schemas.openxmlformats.org/officeDocument/2006/relationships" name="Actual" sheetId="2" r:id="R970d8fc6baaf4545"/>
    <x:sheet xmlns:r="http://schemas.openxmlformats.org/officeDocument/2006/relationships" name="Budget" sheetId="3" r:id="R56bf75157b9a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(#,##0.00);&quot;—&quot;"/>
    <x:numFmt numFmtId="202" formatCode="0.0%;(0.0%);&quot;—&quot;"/>
    <x:numFmt numFmtId="203" formatCode="0.00"/>
  </x:numFmts>
  <x:fonts count="9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1" fontId="6" fillId="0" borderId="0" xfId="0" applyNumberFormat="1" applyFont="1" applyFill="1" applyBorder="1"/>
    <x:xf numFmtId="201" fontId="5" fillId="0" borderId="0" xfId="0" applyNumberFormat="1" applyFont="1" applyFill="1" applyBorder="1"/>
    <x:xf numFmtId="201" fontId="8" fillId="3" borderId="0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8" fillId="3" borderId="0" xfId="0" applyNumberFormat="1" applyFont="1" applyFill="1" applyBorder="1"/>
    <x:xf numFmtId="203" fontId="5" fillId="0" borderId="0" xfId="0" applyNumberFormat="1" applyFont="1" applyFill="1" applyBorder="1"/>
  </x:cellXfs>
  <x:cellStyles count="1">
    <x:cellStyle name="Normal" xfId="0"/>
  </x:cellStyles>
  <x:dxfs count="2">
    <x:dxf>
      <x:font>
        <x:color rgb="FF9C5700"/>
      </x:font>
      <x:fill>
        <x:patternFill patternType="solid">
          <x:bgColor rgb="FFFFF0CC"/>
        </x:patternFill>
      </x:fill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893d2092f49fe" /><Relationship Type="http://schemas.openxmlformats.org/officeDocument/2006/relationships/theme" Target="/xl/theme/theme1.xml" Id="Rd1f9fbd22ffe4504" /><Relationship Type="http://schemas.openxmlformats.org/officeDocument/2006/relationships/sharedStrings" Target="/xl/sharedStrings.xml" Id="R24088085205e46e4" /><Relationship Type="http://schemas.openxmlformats.org/officeDocument/2006/relationships/worksheet" Target="/xl/worksheets/sheet1.xml" Id="Rdc9f42987c3840d8" /><Relationship Type="http://schemas.openxmlformats.org/officeDocument/2006/relationships/worksheet" Target="/xl/worksheets/sheet2.xml" Id="R970d8fc6baaf4545" /><Relationship Type="http://schemas.openxmlformats.org/officeDocument/2006/relationships/worksheet" Target="/xl/worksheets/sheet3.xml" Id="R56bf75157b9a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Budget variance | May 2022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 t="str">
        <x:v>USD | May treated as complete for illustration; closure unconfirmed.</x:v>
      </x:c>
      <x:c r="B3" s="1"/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Category</x:v>
      </x:c>
      <x:c r="B5" s="5" t="str">
        <x:v>Type</x:v>
      </x:c>
      <x:c r="C5" s="5" t="str">
        <x:v>Budget</x:v>
      </x:c>
      <x:c r="D5" s="5" t="str">
        <x:v>Actual</x:v>
      </x:c>
      <x:c r="E5" s="5" t="str">
        <x:v>Actual − Budget</x:v>
      </x:c>
      <x:c r="F5" s="5" t="str">
        <x:v>Variance %</x:v>
      </x:c>
      <x:c r="G5" s="5" t="str">
        <x:v>Net contribution</x:v>
      </x:c>
      <x:c r="H5" s="5" t="str">
        <x:v>Assessment</x:v>
      </x:c>
    </x:row>
    <x:row r="6" ht="23" customHeight="1">
      <x:c r="A6" s="1" t="str">
        <x:v>Sales</x:v>
      </x:c>
      <x:c r="B6" s="1" t="str">
        <x:v>Income</x:v>
      </x:c>
      <x:c r="C6" s="14" t="n">
        <x:f>SUMIFS('Budget'!$D$6:$D$113,'Budget'!$B$6:$B$113,$A6,'Budget'!$A$6:$A$113,5)</x:f>
        <x:v>6000</x:v>
      </x:c>
      <x:c r="D6" s="14" t="n">
        <x:f>SUMIFS('Actual'!$G$6:$G$60,'Actual'!$D$6:$D$60,$A6,'Actual'!$C$6:$C$60,5)</x:f>
        <x:v>3000</x:v>
      </x:c>
      <x:c r="E6" s="15" t="n">
        <x:f>D6-C6</x:f>
        <x:v>-3000</x:v>
      </x:c>
      <x:c r="F6" s="17" t="n">
        <x:f>IF(C6=0,"n.a.",E6/C6)</x:f>
        <x:v>-0.5</x:v>
      </x:c>
      <x:c r="G6" s="15" t="n">
        <x:f>IF(B6="Income",E6,-E6)</x:f>
        <x:v>-3000</x:v>
      </x:c>
      <x:c r="H6" s="8" t="str">
        <x:f>IF(G6&gt;0,"Favorable",IF(G6&lt;0,"Unfavorable","On budget"))</x:f>
        <x:v>Unfavorable</x:v>
      </x:c>
    </x:row>
    <x:row r="7" ht="23" customHeight="1">
      <x:c r="A7" s="1" t="str">
        <x:v>Services</x:v>
      </x:c>
      <x:c r="B7" s="1" t="str">
        <x:v>Income</x:v>
      </x:c>
      <x:c r="C7" s="14" t="n">
        <x:f>SUMIFS('Budget'!$D$6:$D$113,'Budget'!$B$6:$B$113,$A7,'Budget'!$A$6:$A$113,5)</x:f>
        <x:v>3000</x:v>
      </x:c>
      <x:c r="D7" s="14" t="n">
        <x:f>SUMIFS('Actual'!$G$6:$G$60,'Actual'!$D$6:$D$60,$A7,'Actual'!$C$6:$C$60,5)</x:f>
        <x:v>4000</x:v>
      </x:c>
      <x:c r="E7" s="15" t="n">
        <x:f>D7-C7</x:f>
        <x:v>1000</x:v>
      </x:c>
      <x:c r="F7" s="17" t="n">
        <x:f>IF(C7=0,"n.a.",E7/C7)</x:f>
        <x:v>0.3333333333333333</x:v>
      </x:c>
      <x:c r="G7" s="15" t="n">
        <x:f>IF(B7="Income",E7,-E7)</x:f>
        <x:v>1000</x:v>
      </x:c>
      <x:c r="H7" s="8" t="str">
        <x:f>IF(G7&gt;0,"Favorable",IF(G7&lt;0,"Unfavorable","On budget"))</x:f>
        <x:v>Favorable</x:v>
      </x:c>
    </x:row>
    <x:row r="8" ht="23" customHeight="1">
      <x:c r="A8" s="1" t="str">
        <x:v>Other Income</x:v>
      </x:c>
      <x:c r="B8" s="1" t="str">
        <x:v>Income</x:v>
      </x:c>
      <x:c r="C8" s="14" t="n">
        <x:f>SUMIFS('Budget'!$D$6:$D$113,'Budget'!$B$6:$B$113,$A8,'Budget'!$A$6:$A$113,5)</x:f>
        <x:v>8000</x:v>
      </x:c>
      <x:c r="D8" s="14" t="n">
        <x:f>SUMIFS('Actual'!$G$6:$G$60,'Actual'!$D$6:$D$60,$A8,'Actual'!$C$6:$C$60,5)</x:f>
        <x:v>8800</x:v>
      </x:c>
      <x:c r="E8" s="15" t="n">
        <x:f>D8-C8</x:f>
        <x:v>800</x:v>
      </x:c>
      <x:c r="F8" s="17" t="n">
        <x:f>IF(C8=0,"n.a.",E8/C8)</x:f>
        <x:v>0.1</x:v>
      </x:c>
      <x:c r="G8" s="15" t="n">
        <x:f>IF(B8="Income",E8,-E8)</x:f>
        <x:v>800</x:v>
      </x:c>
      <x:c r="H8" s="8" t="str">
        <x:f>IF(G8&gt;0,"Favorable",IF(G8&lt;0,"Unfavorable","On budget"))</x:f>
        <x:v>Favorable</x:v>
      </x:c>
    </x:row>
    <x:row r="9" ht="23" customHeight="1">
      <x:c r="A9" s="1" t="str">
        <x:v>Rent</x:v>
      </x:c>
      <x:c r="B9" s="1" t="str">
        <x:v>Expense</x:v>
      </x:c>
      <x:c r="C9" s="14" t="n">
        <x:f>SUMIFS('Budget'!$D$6:$D$113,'Budget'!$B$6:$B$113,$A9,'Budget'!$A$6:$A$113,5)</x:f>
        <x:v>7000</x:v>
      </x:c>
      <x:c r="D9" s="14" t="n">
        <x:f>SUMIFS('Actual'!$G$6:$G$60,'Actual'!$D$6:$D$60,$A9,'Actual'!$C$6:$C$60,5)</x:f>
        <x:v>7000</x:v>
      </x:c>
      <x:c r="E9" s="15" t="n">
        <x:f>D9-C9</x:f>
        <x:v>0</x:v>
      </x:c>
      <x:c r="F9" s="17" t="n">
        <x:f>IF(C9=0,"n.a.",E9/C9)</x:f>
        <x:v>0</x:v>
      </x:c>
      <x:c r="G9" s="15" t="n">
        <x:f>IF(B9="Income",E9,-E9)</x:f>
        <x:v>0</x:v>
      </x:c>
      <x:c r="H9" s="8" t="str">
        <x:f>IF(G9&gt;0,"Favorable",IF(G9&lt;0,"Unfavorable","On budget"))</x:f>
        <x:v>On budget</x:v>
      </x:c>
    </x:row>
    <x:row r="10" ht="23" customHeight="1">
      <x:c r="A10" s="1" t="str">
        <x:v>Utilities</x:v>
      </x:c>
      <x:c r="B10" s="1" t="str">
        <x:v>Expense</x:v>
      </x:c>
      <x:c r="C10" s="14" t="n">
        <x:f>SUMIFS('Budget'!$D$6:$D$113,'Budget'!$B$6:$B$113,$A10,'Budget'!$A$6:$A$113,5)</x:f>
        <x:v>4000</x:v>
      </x:c>
      <x:c r="D10" s="14" t="n">
        <x:f>SUMIFS('Actual'!$G$6:$G$60,'Actual'!$D$6:$D$60,$A10,'Actual'!$C$6:$C$60,5)</x:f>
        <x:v>3969</x:v>
      </x:c>
      <x:c r="E10" s="15" t="n">
        <x:f>D10-C10</x:f>
        <x:v>-31</x:v>
      </x:c>
      <x:c r="F10" s="17" t="n">
        <x:f>IF(C10=0,"n.a.",E10/C10)</x:f>
        <x:v>-0.00775</x:v>
      </x:c>
      <x:c r="G10" s="15" t="n">
        <x:f>IF(B10="Income",E10,-E10)</x:f>
        <x:v>31</x:v>
      </x:c>
      <x:c r="H10" s="8" t="str">
        <x:f>IF(G10&gt;0,"Favorable",IF(G10&lt;0,"Unfavorable","On budget"))</x:f>
        <x:v>Favorable</x:v>
      </x:c>
    </x:row>
    <x:row r="11" ht="23" customHeight="1">
      <x:c r="A11" s="1" t="str">
        <x:v>Transport</x:v>
      </x:c>
      <x:c r="B11" s="1" t="str">
        <x:v>Expense</x:v>
      </x:c>
      <x:c r="C11" s="14" t="n">
        <x:f>SUMIFS('Budget'!$D$6:$D$113,'Budget'!$B$6:$B$113,$A11,'Budget'!$A$6:$A$113,5)</x:f>
        <x:v>2000</x:v>
      </x:c>
      <x:c r="D11" s="14" t="n">
        <x:f>SUMIFS('Actual'!$G$6:$G$60,'Actual'!$D$6:$D$60,$A11,'Actual'!$C$6:$C$60,5)</x:f>
        <x:v>2900</x:v>
      </x:c>
      <x:c r="E11" s="15" t="n">
        <x:f>D11-C11</x:f>
        <x:v>900</x:v>
      </x:c>
      <x:c r="F11" s="17" t="n">
        <x:f>IF(C11=0,"n.a.",E11/C11)</x:f>
        <x:v>0.45</x:v>
      </x:c>
      <x:c r="G11" s="15" t="n">
        <x:f>IF(B11="Income",E11,-E11)</x:f>
        <x:v>-900</x:v>
      </x:c>
      <x:c r="H11" s="8" t="str">
        <x:f>IF(G11&gt;0,"Favorable",IF(G11&lt;0,"Unfavorable","On budget"))</x:f>
        <x:v>Unfavorable</x:v>
      </x:c>
    </x:row>
    <x:row r="12" ht="23" customHeight="1">
      <x:c r="A12" s="1" t="str">
        <x:v>Marketing</x:v>
      </x:c>
      <x:c r="B12" s="1" t="str">
        <x:v>Expense</x:v>
      </x:c>
      <x:c r="C12" s="14" t="n">
        <x:f>SUMIFS('Budget'!$D$6:$D$113,'Budget'!$B$6:$B$113,$A12,'Budget'!$A$6:$A$113,5)</x:f>
        <x:v>2500</x:v>
      </x:c>
      <x:c r="D12" s="14" t="n">
        <x:f>SUMIFS('Actual'!$G$6:$G$60,'Actual'!$D$6:$D$60,$A12,'Actual'!$C$6:$C$60,5)</x:f>
        <x:v>2500</x:v>
      </x:c>
      <x:c r="E12" s="15" t="n">
        <x:f>D12-C12</x:f>
        <x:v>0</x:v>
      </x:c>
      <x:c r="F12" s="17" t="n">
        <x:f>IF(C12=0,"n.a.",E12/C12)</x:f>
        <x:v>0</x:v>
      </x:c>
      <x:c r="G12" s="15" t="n">
        <x:f>IF(B12="Income",E12,-E12)</x:f>
        <x:v>0</x:v>
      </x:c>
      <x:c r="H12" s="8" t="str">
        <x:f>IF(G12&gt;0,"Favorable",IF(G12&lt;0,"Unfavorable","On budget"))</x:f>
        <x:v>On budget</x:v>
      </x:c>
    </x:row>
    <x:row r="13" ht="23" customHeight="1">
      <x:c r="A13" s="1" t="str">
        <x:v>Business Insurance</x:v>
      </x:c>
      <x:c r="B13" s="1" t="str">
        <x:v>Expense</x:v>
      </x:c>
      <x:c r="C13" s="14" t="n">
        <x:f>SUMIFS('Budget'!$D$6:$D$113,'Budget'!$B$6:$B$113,$A13,'Budget'!$A$6:$A$113,5)</x:f>
        <x:v>1000</x:v>
      </x:c>
      <x:c r="D13" s="14" t="n">
        <x:f>SUMIFS('Actual'!$G$6:$G$60,'Actual'!$D$6:$D$60,$A13,'Actual'!$C$6:$C$60,5)</x:f>
        <x:v>1000</x:v>
      </x:c>
      <x:c r="E13" s="15" t="n">
        <x:f>D13-C13</x:f>
        <x:v>0</x:v>
      </x:c>
      <x:c r="F13" s="17" t="n">
        <x:f>IF(C13=0,"n.a.",E13/C13)</x:f>
        <x:v>0</x:v>
      </x:c>
      <x:c r="G13" s="15" t="n">
        <x:f>IF(B13="Income",E13,-E13)</x:f>
        <x:v>0</x:v>
      </x:c>
      <x:c r="H13" s="8" t="str">
        <x:f>IF(G13&gt;0,"Favorable",IF(G13&lt;0,"Unfavorable","On budget"))</x:f>
        <x:v>On budget</x:v>
      </x:c>
    </x:row>
    <x:row r="14" ht="23" customHeight="1">
      <x:c r="A14" s="1" t="str">
        <x:v>Other Expenses</x:v>
      </x:c>
      <x:c r="B14" s="1" t="str">
        <x:v>Expense</x:v>
      </x:c>
      <x:c r="C14" s="14" t="n">
        <x:f>SUMIFS('Budget'!$D$6:$D$113,'Budget'!$B$6:$B$113,$A14,'Budget'!$A$6:$A$113,5)</x:f>
        <x:v>3000</x:v>
      </x:c>
      <x:c r="D14" s="14" t="n">
        <x:f>SUMIFS('Actual'!$G$6:$G$60,'Actual'!$D$6:$D$60,$A14,'Actual'!$C$6:$C$60,5)</x:f>
        <x:v>1320</x:v>
      </x:c>
      <x:c r="E14" s="15" t="n">
        <x:f>D14-C14</x:f>
        <x:v>-1680</x:v>
      </x:c>
      <x:c r="F14" s="17" t="n">
        <x:f>IF(C14=0,"n.a.",E14/C14)</x:f>
        <x:v>-0.56</x:v>
      </x:c>
      <x:c r="G14" s="15" t="n">
        <x:f>IF(B14="Income",E14,-E14)</x:f>
        <x:v>1680</x:v>
      </x:c>
      <x:c r="H14" s="8" t="str">
        <x:f>IF(G14&gt;0,"Favorable",IF(G14&lt;0,"Unfavorable","On budget"))</x:f>
        <x:v>Favorable</x:v>
      </x:c>
    </x:row>
    <x:row r="15" ht="23" customHeight="1">
      <x:c r="A15" s="1"/>
      <x:c r="B15" s="1"/>
      <x:c r="C15" s="7"/>
      <x:c r="D15" s="7"/>
      <x:c r="E15" s="7"/>
      <x:c r="F15" s="18"/>
      <x:c r="G15" s="7"/>
      <x:c r="H15" s="1"/>
    </x:row>
    <x:row r="16" ht="23" customHeight="1">
      <x:c r="A16" s="12" t="str">
        <x:v>Income</x:v>
      </x:c>
      <x:c r="B16" s="12"/>
      <x:c r="C16" s="16" t="n">
        <x:f>SUM(C6:C8)</x:f>
        <x:v>17000</x:v>
      </x:c>
      <x:c r="D16" s="16" t="n">
        <x:f>SUM(D6:D8)</x:f>
        <x:v>15800</x:v>
      </x:c>
      <x:c r="E16" s="16" t="n">
        <x:f>SUM(E6:E8)</x:f>
        <x:v>-1200</x:v>
      </x:c>
      <x:c r="F16" s="19" t="n">
        <x:f>IF(C16=0,"n.a.",E16/C16)</x:f>
        <x:v>-0.07058823529411765</x:v>
      </x:c>
      <x:c r="G16" s="16" t="n">
        <x:f>SUM(G6:G8)</x:f>
        <x:v>-1200</x:v>
      </x:c>
      <x:c r="H16" s="12"/>
    </x:row>
    <x:row r="17" ht="23" customHeight="1">
      <x:c r="A17" s="12" t="str">
        <x:v>Expenses</x:v>
      </x:c>
      <x:c r="B17" s="12"/>
      <x:c r="C17" s="16" t="n">
        <x:f>SUM(C9:C14)</x:f>
        <x:v>19500</x:v>
      </x:c>
      <x:c r="D17" s="16" t="n">
        <x:f>SUM(D9:D14)</x:f>
        <x:v>18689</x:v>
      </x:c>
      <x:c r="E17" s="16" t="n">
        <x:f>SUM(E9:E14)</x:f>
        <x:v>-811</x:v>
      </x:c>
      <x:c r="F17" s="19" t="n">
        <x:f>IF(C17=0,"n.a.",E17/C17)</x:f>
        <x:v>-0.04158974358974359</x:v>
      </x:c>
      <x:c r="G17" s="16" t="n">
        <x:f>SUM(G9:G14)</x:f>
        <x:v>811</x:v>
      </x:c>
      <x:c r="H17" s="12"/>
    </x:row>
    <x:row r="18" ht="23" customHeight="1">
      <x:c r="A18" s="12" t="str">
        <x:v>Income less expenses</x:v>
      </x:c>
      <x:c r="B18" s="12"/>
      <x:c r="C18" s="16" t="n">
        <x:f>C16-C17</x:f>
        <x:v>-2500</x:v>
      </x:c>
      <x:c r="D18" s="16" t="n">
        <x:f>D16-D17</x:f>
        <x:v>-2889</x:v>
      </x:c>
      <x:c r="E18" s="16" t="n">
        <x:f>E16-E17</x:f>
        <x:v>-389</x:v>
      </x:c>
      <x:c r="F18" s="12"/>
      <x:c r="G18" s="16" t="n">
        <x:f>SUM(G6:G14)</x:f>
        <x:v>-389</x:v>
      </x:c>
      <x:c r="H18" s="12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1" t="str">
        <x:v>Bridge check</x:v>
      </x:c>
      <x:c r="B20" s="1"/>
      <x:c r="C20" s="1"/>
      <x:c r="D20" s="20" t="n">
        <x:f>G18-E18</x:f>
        <x:v>0</x:v>
      </x:c>
      <x:c r="E20" s="1"/>
      <x:c r="F20" s="1"/>
      <x:c r="G20" s="1"/>
      <x:c r="H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</x:row>
  </x:sheetData>
  <x:conditionalFormatting sqref="G6:G14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